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4746" documentId="8_{FFD3F640-2E40-47C1-84C1-F4354B0012A4}" xr6:coauthVersionLast="47" xr6:coauthVersionMax="47" xr10:uidLastSave="{274E6097-B7E8-4E6D-B3D4-8CAC04F2DF35}"/>
  <bookViews>
    <workbookView xWindow="28680" yWindow="-120" windowWidth="29040" windowHeight="15720" xr2:uid="{05E34EB3-A6D4-4458-A1A9-62743B803EDB}"/>
  </bookViews>
  <sheets>
    <sheet name="Cliente" sheetId="6" r:id="rId1"/>
    <sheet name="Dotación de recursos" sheetId="1" r:id="rId2"/>
    <sheet name="Inversión" sheetId="4" r:id="rId3"/>
    <sheet name="Estructura Productiva" sheetId="2" r:id="rId4"/>
    <sheet name="Flujo proyectado " sheetId="9" r:id="rId5"/>
    <sheet name="Comentarios generales Opinion" sheetId="5" r:id="rId6"/>
    <sheet name="Anexo 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J20" i="2"/>
  <c r="I20" i="2"/>
  <c r="H20" i="2"/>
  <c r="G20" i="2"/>
  <c r="F20" i="2"/>
  <c r="D17" i="2"/>
  <c r="D18" i="2"/>
  <c r="D19" i="2"/>
  <c r="D16" i="2"/>
  <c r="C20" i="2"/>
  <c r="B20" i="2"/>
  <c r="D110" i="9"/>
  <c r="D108" i="9"/>
  <c r="D107" i="9"/>
  <c r="E100" i="9"/>
  <c r="D100" i="9"/>
  <c r="F100" i="9"/>
  <c r="G100" i="9"/>
  <c r="H100" i="9"/>
  <c r="I100" i="9"/>
  <c r="J100" i="9"/>
  <c r="K100" i="9"/>
  <c r="L100" i="9"/>
  <c r="M100" i="9"/>
  <c r="N100" i="9"/>
  <c r="D85" i="9"/>
  <c r="E85" i="9"/>
  <c r="F85" i="9"/>
  <c r="G85" i="9"/>
  <c r="H85" i="9"/>
  <c r="I85" i="9"/>
  <c r="J85" i="9"/>
  <c r="K85" i="9"/>
  <c r="L85" i="9"/>
  <c r="M85" i="9"/>
  <c r="N85" i="9"/>
  <c r="E84" i="9"/>
  <c r="F84" i="9"/>
  <c r="G84" i="9"/>
  <c r="H84" i="9"/>
  <c r="I84" i="9"/>
  <c r="J84" i="9"/>
  <c r="K84" i="9"/>
  <c r="L84" i="9"/>
  <c r="M84" i="9"/>
  <c r="N84" i="9"/>
  <c r="D84" i="9"/>
  <c r="E83" i="9"/>
  <c r="F83" i="9"/>
  <c r="G83" i="9"/>
  <c r="H83" i="9"/>
  <c r="I83" i="9"/>
  <c r="J83" i="9"/>
  <c r="K83" i="9"/>
  <c r="L83" i="9"/>
  <c r="M83" i="9"/>
  <c r="N83" i="9"/>
  <c r="D83" i="9"/>
  <c r="E82" i="9"/>
  <c r="F82" i="9"/>
  <c r="G82" i="9"/>
  <c r="H82" i="9"/>
  <c r="I82" i="9"/>
  <c r="J82" i="9"/>
  <c r="K82" i="9"/>
  <c r="L82" i="9"/>
  <c r="M82" i="9"/>
  <c r="N82" i="9"/>
  <c r="D82" i="9"/>
  <c r="D57" i="9"/>
  <c r="D58" i="9"/>
  <c r="D20" i="2" l="1"/>
  <c r="E108" i="9"/>
  <c r="F108" i="9"/>
  <c r="G108" i="9"/>
  <c r="H108" i="9"/>
  <c r="I108" i="9"/>
  <c r="J108" i="9"/>
  <c r="K108" i="9"/>
  <c r="L108" i="9"/>
  <c r="M108" i="9"/>
  <c r="N108" i="9"/>
  <c r="G95" i="9"/>
  <c r="E98" i="9"/>
  <c r="F98" i="9"/>
  <c r="G98" i="9"/>
  <c r="H98" i="9"/>
  <c r="I98" i="9"/>
  <c r="J98" i="9"/>
  <c r="K98" i="9"/>
  <c r="L98" i="9"/>
  <c r="M98" i="9"/>
  <c r="N98" i="9"/>
  <c r="E97" i="9"/>
  <c r="F97" i="9"/>
  <c r="G97" i="9"/>
  <c r="H97" i="9"/>
  <c r="I97" i="9"/>
  <c r="J97" i="9"/>
  <c r="K97" i="9"/>
  <c r="L97" i="9"/>
  <c r="M97" i="9"/>
  <c r="N97" i="9"/>
  <c r="E96" i="9"/>
  <c r="F96" i="9"/>
  <c r="G96" i="9"/>
  <c r="H96" i="9"/>
  <c r="I96" i="9"/>
  <c r="J96" i="9"/>
  <c r="K96" i="9"/>
  <c r="L96" i="9"/>
  <c r="M96" i="9"/>
  <c r="N96" i="9"/>
  <c r="E95" i="9"/>
  <c r="F95" i="9"/>
  <c r="H95" i="9"/>
  <c r="I95" i="9"/>
  <c r="J95" i="9"/>
  <c r="K95" i="9"/>
  <c r="L95" i="9"/>
  <c r="M95" i="9"/>
  <c r="N95" i="9"/>
  <c r="D95" i="9"/>
  <c r="D98" i="9"/>
  <c r="D97" i="9"/>
  <c r="D96" i="9"/>
  <c r="E90" i="9"/>
  <c r="E93" i="9"/>
  <c r="F93" i="9"/>
  <c r="G93" i="9"/>
  <c r="H93" i="9"/>
  <c r="I93" i="9"/>
  <c r="J93" i="9"/>
  <c r="K93" i="9"/>
  <c r="L93" i="9"/>
  <c r="M93" i="9"/>
  <c r="N93" i="9"/>
  <c r="E92" i="9"/>
  <c r="F92" i="9"/>
  <c r="G92" i="9"/>
  <c r="H92" i="9"/>
  <c r="I92" i="9"/>
  <c r="J92" i="9"/>
  <c r="K92" i="9"/>
  <c r="L92" i="9"/>
  <c r="M92" i="9"/>
  <c r="N92" i="9"/>
  <c r="E91" i="9"/>
  <c r="F91" i="9"/>
  <c r="G91" i="9"/>
  <c r="H91" i="9"/>
  <c r="I91" i="9"/>
  <c r="J91" i="9"/>
  <c r="K91" i="9"/>
  <c r="L91" i="9"/>
  <c r="M91" i="9"/>
  <c r="N91" i="9"/>
  <c r="F90" i="9"/>
  <c r="G90" i="9"/>
  <c r="H90" i="9"/>
  <c r="I90" i="9"/>
  <c r="J90" i="9"/>
  <c r="K90" i="9"/>
  <c r="L90" i="9"/>
  <c r="M90" i="9"/>
  <c r="N90" i="9"/>
  <c r="D93" i="9"/>
  <c r="D92" i="9"/>
  <c r="D91" i="9"/>
  <c r="D90" i="9"/>
  <c r="E77" i="9"/>
  <c r="E80" i="9"/>
  <c r="F80" i="9"/>
  <c r="G80" i="9"/>
  <c r="H80" i="9"/>
  <c r="I80" i="9"/>
  <c r="J80" i="9"/>
  <c r="K80" i="9"/>
  <c r="L80" i="9"/>
  <c r="M80" i="9"/>
  <c r="N80" i="9"/>
  <c r="E79" i="9"/>
  <c r="F79" i="9"/>
  <c r="G79" i="9"/>
  <c r="H79" i="9"/>
  <c r="I79" i="9"/>
  <c r="J79" i="9"/>
  <c r="K79" i="9"/>
  <c r="L79" i="9"/>
  <c r="M79" i="9"/>
  <c r="N79" i="9"/>
  <c r="E78" i="9"/>
  <c r="F78" i="9"/>
  <c r="G78" i="9"/>
  <c r="H78" i="9"/>
  <c r="I78" i="9"/>
  <c r="J78" i="9"/>
  <c r="K78" i="9"/>
  <c r="L78" i="9"/>
  <c r="M78" i="9"/>
  <c r="N78" i="9"/>
  <c r="F77" i="9"/>
  <c r="G77" i="9"/>
  <c r="H77" i="9"/>
  <c r="I77" i="9"/>
  <c r="J77" i="9"/>
  <c r="K77" i="9"/>
  <c r="L77" i="9"/>
  <c r="M77" i="9"/>
  <c r="N77" i="9"/>
  <c r="D80" i="9"/>
  <c r="D79" i="9"/>
  <c r="D78" i="9"/>
  <c r="D77" i="9"/>
  <c r="D72" i="9"/>
  <c r="E75" i="9"/>
  <c r="F75" i="9"/>
  <c r="G75" i="9"/>
  <c r="H75" i="9"/>
  <c r="I75" i="9"/>
  <c r="J75" i="9"/>
  <c r="K75" i="9"/>
  <c r="L75" i="9"/>
  <c r="M75" i="9"/>
  <c r="N75" i="9"/>
  <c r="E74" i="9"/>
  <c r="F74" i="9"/>
  <c r="G74" i="9"/>
  <c r="H74" i="9"/>
  <c r="I74" i="9"/>
  <c r="J74" i="9"/>
  <c r="K74" i="9"/>
  <c r="L74" i="9"/>
  <c r="M74" i="9"/>
  <c r="N74" i="9"/>
  <c r="E73" i="9"/>
  <c r="F73" i="9"/>
  <c r="G73" i="9"/>
  <c r="H73" i="9"/>
  <c r="I73" i="9"/>
  <c r="J73" i="9"/>
  <c r="K73" i="9"/>
  <c r="L73" i="9"/>
  <c r="M73" i="9"/>
  <c r="N73" i="9"/>
  <c r="E72" i="9"/>
  <c r="F72" i="9"/>
  <c r="G72" i="9"/>
  <c r="H72" i="9"/>
  <c r="I72" i="9"/>
  <c r="J72" i="9"/>
  <c r="K72" i="9"/>
  <c r="L72" i="9"/>
  <c r="M72" i="9"/>
  <c r="N72" i="9"/>
  <c r="D75" i="9"/>
  <c r="D74" i="9"/>
  <c r="D73" i="9"/>
  <c r="D65" i="9"/>
  <c r="D62" i="9"/>
  <c r="D67" i="9" s="1"/>
  <c r="K65" i="9"/>
  <c r="K70" i="9" s="1"/>
  <c r="L65" i="9"/>
  <c r="L70" i="9" s="1"/>
  <c r="M65" i="9"/>
  <c r="M70" i="9" s="1"/>
  <c r="N65" i="9"/>
  <c r="N70" i="9" s="1"/>
  <c r="D63" i="9"/>
  <c r="D68" i="9" s="1"/>
  <c r="E65" i="9"/>
  <c r="E70" i="9" s="1"/>
  <c r="F65" i="9"/>
  <c r="F70" i="9" s="1"/>
  <c r="G65" i="9"/>
  <c r="H65" i="9"/>
  <c r="I65" i="9"/>
  <c r="J65" i="9"/>
  <c r="E64" i="9"/>
  <c r="F64" i="9"/>
  <c r="G64" i="9"/>
  <c r="H64" i="9"/>
  <c r="I64" i="9"/>
  <c r="J64" i="9"/>
  <c r="K64" i="9"/>
  <c r="L64" i="9"/>
  <c r="M64" i="9"/>
  <c r="M69" i="9" s="1"/>
  <c r="N64" i="9"/>
  <c r="N69" i="9" s="1"/>
  <c r="E63" i="9"/>
  <c r="E68" i="9" s="1"/>
  <c r="F63" i="9"/>
  <c r="G63" i="9"/>
  <c r="H63" i="9"/>
  <c r="I63" i="9"/>
  <c r="J63" i="9"/>
  <c r="K63" i="9"/>
  <c r="L63" i="9"/>
  <c r="M63" i="9"/>
  <c r="N63" i="9"/>
  <c r="E62" i="9"/>
  <c r="F62" i="9"/>
  <c r="F67" i="9" s="1"/>
  <c r="G62" i="9"/>
  <c r="G67" i="9" s="1"/>
  <c r="H62" i="9"/>
  <c r="I62" i="9"/>
  <c r="J62" i="9"/>
  <c r="K62" i="9"/>
  <c r="K67" i="9" s="1"/>
  <c r="L62" i="9"/>
  <c r="M62" i="9"/>
  <c r="M67" i="9" s="1"/>
  <c r="N62" i="9"/>
  <c r="D64" i="9"/>
  <c r="D69" i="9" s="1"/>
  <c r="F58" i="9"/>
  <c r="F57" i="9"/>
  <c r="F60" i="9"/>
  <c r="F59" i="9"/>
  <c r="E60" i="9"/>
  <c r="G60" i="9"/>
  <c r="H60" i="9"/>
  <c r="I60" i="9"/>
  <c r="J60" i="9"/>
  <c r="K60" i="9"/>
  <c r="L60" i="9"/>
  <c r="M60" i="9"/>
  <c r="N60" i="9"/>
  <c r="E59" i="9"/>
  <c r="G59" i="9"/>
  <c r="H59" i="9"/>
  <c r="I59" i="9"/>
  <c r="J59" i="9"/>
  <c r="K59" i="9"/>
  <c r="L59" i="9"/>
  <c r="M59" i="9"/>
  <c r="N59" i="9"/>
  <c r="E58" i="9"/>
  <c r="G58" i="9"/>
  <c r="H58" i="9"/>
  <c r="I58" i="9"/>
  <c r="J58" i="9"/>
  <c r="K58" i="9"/>
  <c r="L58" i="9"/>
  <c r="M58" i="9"/>
  <c r="N58" i="9"/>
  <c r="E57" i="9"/>
  <c r="G57" i="9"/>
  <c r="H57" i="9"/>
  <c r="I57" i="9"/>
  <c r="J57" i="9"/>
  <c r="K57" i="9"/>
  <c r="L57" i="9"/>
  <c r="M57" i="9"/>
  <c r="N57" i="9"/>
  <c r="D59" i="9"/>
  <c r="D56" i="9" s="1"/>
  <c r="D60" i="9"/>
  <c r="J5" i="4"/>
  <c r="F4" i="7"/>
  <c r="M4" i="7"/>
  <c r="G15" i="4"/>
  <c r="H15" i="4"/>
  <c r="J7" i="4"/>
  <c r="J9" i="4"/>
  <c r="J11" i="4"/>
  <c r="J10" i="4"/>
  <c r="J15" i="4"/>
  <c r="J14" i="4"/>
  <c r="J13" i="4"/>
  <c r="J12" i="4"/>
  <c r="J8" i="4"/>
  <c r="J6" i="4"/>
  <c r="I15" i="4"/>
  <c r="C15" i="4"/>
  <c r="H17" i="1"/>
  <c r="F17" i="1"/>
  <c r="E17" i="1"/>
  <c r="C37" i="1"/>
  <c r="H27" i="1"/>
  <c r="M14" i="1"/>
  <c r="M15" i="1"/>
  <c r="M16" i="1"/>
  <c r="M13" i="1"/>
  <c r="L17" i="1"/>
  <c r="K17" i="1"/>
  <c r="J14" i="1"/>
  <c r="J15" i="1"/>
  <c r="J16" i="1"/>
  <c r="J13" i="1"/>
  <c r="I17" i="1"/>
  <c r="G14" i="1"/>
  <c r="G15" i="1"/>
  <c r="G16" i="1"/>
  <c r="G13" i="1"/>
  <c r="D14" i="1"/>
  <c r="D15" i="1"/>
  <c r="D16" i="1"/>
  <c r="D13" i="1"/>
  <c r="C17" i="1"/>
  <c r="B17" i="1"/>
  <c r="K8" i="7"/>
  <c r="K19" i="7"/>
  <c r="M22" i="7"/>
  <c r="M19" i="7"/>
  <c r="M16" i="7"/>
  <c r="M17" i="7"/>
  <c r="M18" i="7"/>
  <c r="M15" i="7"/>
  <c r="I19" i="7"/>
  <c r="I16" i="7"/>
  <c r="I17" i="7"/>
  <c r="I18" i="7"/>
  <c r="I15" i="7"/>
  <c r="F19" i="7"/>
  <c r="F16" i="7"/>
  <c r="F17" i="7"/>
  <c r="F18" i="7"/>
  <c r="F15" i="7"/>
  <c r="M11" i="7"/>
  <c r="M6" i="7"/>
  <c r="M5" i="7"/>
  <c r="M7" i="7"/>
  <c r="M8" i="7"/>
  <c r="I8" i="7"/>
  <c r="I7" i="7"/>
  <c r="I5" i="7"/>
  <c r="I6" i="7"/>
  <c r="F8" i="7"/>
  <c r="F5" i="7"/>
  <c r="F6" i="7"/>
  <c r="F7" i="7"/>
  <c r="D11" i="2"/>
  <c r="G17" i="1" l="1"/>
  <c r="H69" i="9"/>
  <c r="G69" i="9"/>
  <c r="L68" i="9"/>
  <c r="N67" i="9"/>
  <c r="J68" i="9"/>
  <c r="F69" i="9"/>
  <c r="D70" i="9"/>
  <c r="J69" i="9"/>
  <c r="E67" i="9"/>
  <c r="N68" i="9"/>
  <c r="E69" i="9"/>
  <c r="L67" i="9"/>
  <c r="H68" i="9"/>
  <c r="J70" i="9"/>
  <c r="M68" i="9"/>
  <c r="G68" i="9"/>
  <c r="I70" i="9"/>
  <c r="K69" i="9"/>
  <c r="K68" i="9"/>
  <c r="I68" i="9"/>
  <c r="J67" i="9"/>
  <c r="F68" i="9"/>
  <c r="H70" i="9"/>
  <c r="L69" i="9"/>
  <c r="I69" i="9"/>
  <c r="I67" i="9"/>
  <c r="G70" i="9"/>
  <c r="H67" i="9"/>
  <c r="E89" i="9"/>
  <c r="E106" i="9" s="1"/>
  <c r="L89" i="9"/>
  <c r="L106" i="9" s="1"/>
  <c r="G89" i="9"/>
  <c r="G106" i="9" s="1"/>
  <c r="I94" i="9"/>
  <c r="I107" i="9" s="1"/>
  <c r="N89" i="9"/>
  <c r="N106" i="9" s="1"/>
  <c r="M94" i="9"/>
  <c r="M107" i="9" s="1"/>
  <c r="D61" i="9"/>
  <c r="H94" i="9"/>
  <c r="H107" i="9" s="1"/>
  <c r="D89" i="9"/>
  <c r="D106" i="9" s="1"/>
  <c r="M89" i="9"/>
  <c r="M106" i="9" s="1"/>
  <c r="E94" i="9"/>
  <c r="E107" i="9" s="1"/>
  <c r="H56" i="9"/>
  <c r="K89" i="9"/>
  <c r="K106" i="9" s="1"/>
  <c r="D94" i="9"/>
  <c r="J89" i="9"/>
  <c r="J106" i="9" s="1"/>
  <c r="L94" i="9"/>
  <c r="L107" i="9" s="1"/>
  <c r="G94" i="9"/>
  <c r="G107" i="9" s="1"/>
  <c r="I89" i="9"/>
  <c r="I106" i="9" s="1"/>
  <c r="K94" i="9"/>
  <c r="K107" i="9" s="1"/>
  <c r="F94" i="9"/>
  <c r="F107" i="9" s="1"/>
  <c r="J94" i="9"/>
  <c r="J107" i="9" s="1"/>
  <c r="F89" i="9"/>
  <c r="F106" i="9" s="1"/>
  <c r="H89" i="9"/>
  <c r="H106" i="9" s="1"/>
  <c r="H110" i="9" s="1"/>
  <c r="N94" i="9"/>
  <c r="N107" i="9" s="1"/>
  <c r="F56" i="9"/>
  <c r="E61" i="9"/>
  <c r="G56" i="9"/>
  <c r="H61" i="9"/>
  <c r="F61" i="9"/>
  <c r="G61" i="9"/>
  <c r="K61" i="9"/>
  <c r="N61" i="9"/>
  <c r="M61" i="9"/>
  <c r="L61" i="9"/>
  <c r="J61" i="9"/>
  <c r="I61" i="9"/>
  <c r="E56" i="9"/>
  <c r="M56" i="9"/>
  <c r="N56" i="9"/>
  <c r="L56" i="9"/>
  <c r="K56" i="9"/>
  <c r="J56" i="9"/>
  <c r="I56" i="9"/>
  <c r="D17" i="1"/>
  <c r="J17" i="1"/>
  <c r="M17" i="1"/>
  <c r="H112" i="9" l="1"/>
  <c r="H111" i="9"/>
  <c r="M110" i="9"/>
  <c r="E110" i="9"/>
  <c r="N110" i="9"/>
  <c r="I110" i="9"/>
  <c r="G110" i="9"/>
  <c r="L110" i="9"/>
  <c r="L111" i="9" s="1"/>
  <c r="K110" i="9"/>
  <c r="J110" i="9"/>
  <c r="E37" i="6"/>
  <c r="D111" i="9"/>
  <c r="L112" i="9"/>
  <c r="H37" i="6"/>
  <c r="D37" i="6"/>
  <c r="F110" i="9"/>
  <c r="F111" i="9" s="1"/>
  <c r="M112" i="9"/>
  <c r="I112" i="9" l="1"/>
  <c r="I111" i="9"/>
  <c r="G112" i="9"/>
  <c r="G111" i="9"/>
  <c r="C37" i="6"/>
  <c r="J112" i="9"/>
  <c r="J111" i="9"/>
  <c r="G37" i="6"/>
  <c r="K111" i="9"/>
  <c r="N112" i="9"/>
  <c r="N111" i="9"/>
  <c r="E112" i="9"/>
  <c r="E111" i="9"/>
  <c r="I37" i="6"/>
  <c r="M111" i="9"/>
  <c r="D112" i="9"/>
  <c r="K112" i="9"/>
  <c r="F37" i="6"/>
  <c r="F112" i="9"/>
  <c r="B37" i="6"/>
</calcChain>
</file>

<file path=xl/sharedStrings.xml><?xml version="1.0" encoding="utf-8"?>
<sst xmlns="http://schemas.openxmlformats.org/spreadsheetml/2006/main" count="348" uniqueCount="220">
  <si>
    <t>INFORME AGROECONÓMICO</t>
  </si>
  <si>
    <t xml:space="preserve">Cliente </t>
  </si>
  <si>
    <t>Fecha Visita</t>
  </si>
  <si>
    <t>Sucursal</t>
  </si>
  <si>
    <t>Fecha Emisión Informe</t>
  </si>
  <si>
    <t xml:space="preserve">Propietario </t>
  </si>
  <si>
    <t>ESTRUCTURA PRODUCTIVA (TEMPORADA)</t>
  </si>
  <si>
    <t>Especie</t>
  </si>
  <si>
    <t xml:space="preserve">Escala Productiva Actual </t>
  </si>
  <si>
    <t>Consolidación productiva</t>
  </si>
  <si>
    <t>Condición de Tenencia de los Suelos (ha)</t>
  </si>
  <si>
    <t xml:space="preserve">Superficie (ha) </t>
  </si>
  <si>
    <t>%</t>
  </si>
  <si>
    <t xml:space="preserve">Propio </t>
  </si>
  <si>
    <t xml:space="preserve">Arriendo </t>
  </si>
  <si>
    <t>Otros</t>
  </si>
  <si>
    <t>Total (ha)</t>
  </si>
  <si>
    <t>RESUMEN RESULTADOS DE TEMPORADA</t>
  </si>
  <si>
    <t>ITEM</t>
  </si>
  <si>
    <t xml:space="preserve">Última temporada </t>
  </si>
  <si>
    <t>25/26</t>
  </si>
  <si>
    <t>Proyección Corto Plazo</t>
  </si>
  <si>
    <t>26/27</t>
  </si>
  <si>
    <t>M$</t>
  </si>
  <si>
    <t>UF</t>
  </si>
  <si>
    <t>Ingresos Operacionales</t>
  </si>
  <si>
    <t>Costos Directos</t>
  </si>
  <si>
    <t xml:space="preserve">Margen Bruto </t>
  </si>
  <si>
    <t>Costos Indirectos</t>
  </si>
  <si>
    <t xml:space="preserve">RESULTADO OPERACIONAL NETO </t>
  </si>
  <si>
    <t xml:space="preserve">Temporada </t>
  </si>
  <si>
    <t>2025/26 Real</t>
  </si>
  <si>
    <t>2026/27</t>
  </si>
  <si>
    <t>2027/28</t>
  </si>
  <si>
    <t>2028/29</t>
  </si>
  <si>
    <t>2029/30</t>
  </si>
  <si>
    <t>2030/31</t>
  </si>
  <si>
    <t>2031/32</t>
  </si>
  <si>
    <t>2032/33</t>
  </si>
  <si>
    <t>RESULTADO OPERACIONAL NETO M$</t>
  </si>
  <si>
    <t>IMAGEN EMPLAZAMIENTO UNIDAD PRINCIPAL</t>
  </si>
  <si>
    <t>DOTACIÓN DE RECURSOS</t>
  </si>
  <si>
    <t>SUELOS</t>
  </si>
  <si>
    <t>Cliente</t>
  </si>
  <si>
    <t xml:space="preserve">RIEGO </t>
  </si>
  <si>
    <t xml:space="preserve">SECANO </t>
  </si>
  <si>
    <t>TOTAL</t>
  </si>
  <si>
    <t>I-II</t>
  </si>
  <si>
    <t>III-IV</t>
  </si>
  <si>
    <t>V-VI</t>
  </si>
  <si>
    <t>VII-VIII</t>
  </si>
  <si>
    <t>Total ha físicas</t>
  </si>
  <si>
    <t xml:space="preserve">AGUAS DE RIEGO </t>
  </si>
  <si>
    <t xml:space="preserve">Predio </t>
  </si>
  <si>
    <t xml:space="preserve">Comuna </t>
  </si>
  <si>
    <t>Tipo de Fuente</t>
  </si>
  <si>
    <t xml:space="preserve">Nombre de la fuente </t>
  </si>
  <si>
    <t>Dominio</t>
  </si>
  <si>
    <t>Cantidad (D°/acciones)</t>
  </si>
  <si>
    <t xml:space="preserve">Caudal nominal L/s        </t>
  </si>
  <si>
    <t>Caudal Real  L/s</t>
  </si>
  <si>
    <t>Datos Inscripción CBR</t>
  </si>
  <si>
    <t xml:space="preserve">Fojas </t>
  </si>
  <si>
    <t xml:space="preserve">Número </t>
  </si>
  <si>
    <t xml:space="preserve">Año </t>
  </si>
  <si>
    <t xml:space="preserve">CBR </t>
  </si>
  <si>
    <t xml:space="preserve">TOTAL AGUAS DISPONIBLES </t>
  </si>
  <si>
    <t>ESTIMACIÓN REQUERIMIENTO AGUAS DE RIEGO</t>
  </si>
  <si>
    <t>Comuna</t>
  </si>
  <si>
    <t>Especie/variedad</t>
  </si>
  <si>
    <t>Año Plantación</t>
  </si>
  <si>
    <t>Superficie (ha)</t>
  </si>
  <si>
    <t xml:space="preserve">Sistema de Riego </t>
  </si>
  <si>
    <t>Eficiencia Sis. Riego</t>
  </si>
  <si>
    <t>ETo Máximo-mm (enero)</t>
  </si>
  <si>
    <t>Coef. Cultivo Kc (enero)</t>
  </si>
  <si>
    <t>Requerimiento Q Maximo L/s/ha</t>
  </si>
  <si>
    <t>Requerimiento Total por Plantación L/s</t>
  </si>
  <si>
    <t>Requerimiento Total Predio L/s</t>
  </si>
  <si>
    <t>Disponibilidad Total Predio L/s</t>
  </si>
  <si>
    <t xml:space="preserve">Densidad de plantación </t>
  </si>
  <si>
    <t>DOTACIÓN DE MAQUINARIA E INFRESTRUCTURA</t>
  </si>
  <si>
    <t xml:space="preserve">Tipo de Maquinaria </t>
  </si>
  <si>
    <t xml:space="preserve">Cantidad </t>
  </si>
  <si>
    <t xml:space="preserve">Estado </t>
  </si>
  <si>
    <t xml:space="preserve">Infraestructura </t>
  </si>
  <si>
    <t>Cantidad</t>
  </si>
  <si>
    <t>COMENTARIOS DOTACIÓN DE RECURSOS</t>
  </si>
  <si>
    <t>INVERSIONES</t>
  </si>
  <si>
    <t xml:space="preserve">Proyecto </t>
  </si>
  <si>
    <t xml:space="preserve">Item </t>
  </si>
  <si>
    <t>Cantidad/ha</t>
  </si>
  <si>
    <t>Costo unitario USD</t>
  </si>
  <si>
    <t>Costo unitario USD/ha</t>
  </si>
  <si>
    <t>Costo Inversión Total USD</t>
  </si>
  <si>
    <t>Costo Inversión $</t>
  </si>
  <si>
    <t xml:space="preserve">% En relación al Total </t>
  </si>
  <si>
    <t>Total</t>
  </si>
  <si>
    <t>COMENTARIOS INVERSIONES</t>
  </si>
  <si>
    <t xml:space="preserve">ESTRUCTURA PRODUCTIVA </t>
  </si>
  <si>
    <t>PLANTACIONES AL 2026</t>
  </si>
  <si>
    <t xml:space="preserve">Especie </t>
  </si>
  <si>
    <t>Variedad</t>
  </si>
  <si>
    <t xml:space="preserve">Año Plantación </t>
  </si>
  <si>
    <t xml:space="preserve">Sistema Conducción </t>
  </si>
  <si>
    <t xml:space="preserve">Dominio </t>
  </si>
  <si>
    <t xml:space="preserve">Riego </t>
  </si>
  <si>
    <t xml:space="preserve">Densidad plantación </t>
  </si>
  <si>
    <t xml:space="preserve">RESUMEN SUPERFICIE PLANTADA </t>
  </si>
  <si>
    <t xml:space="preserve">Resumen superficie </t>
  </si>
  <si>
    <t>Propietario (ha)</t>
  </si>
  <si>
    <t>Arrendatario (ha)</t>
  </si>
  <si>
    <t xml:space="preserve">% por especie </t>
  </si>
  <si>
    <t>Plena Producción (ha)</t>
  </si>
  <si>
    <t xml:space="preserve">Rendimientos Crecientes (ha) </t>
  </si>
  <si>
    <t xml:space="preserve">Formación (ha) </t>
  </si>
  <si>
    <t xml:space="preserve">Proyectos de Plantación (ha) </t>
  </si>
  <si>
    <t xml:space="preserve">Superficie Total con Proyectos (ha) </t>
  </si>
  <si>
    <t xml:space="preserve">Total </t>
  </si>
  <si>
    <t>Porcentajes (%)</t>
  </si>
  <si>
    <t>SISTEMA DE PRODUCCIÓN EMPLEADO</t>
  </si>
  <si>
    <t>Sistema de producción</t>
  </si>
  <si>
    <t>Densidad de plantación</t>
  </si>
  <si>
    <t xml:space="preserve">Sistema de riego </t>
  </si>
  <si>
    <t xml:space="preserve">Variedades con Royalty </t>
  </si>
  <si>
    <t>Considera Techos o similares</t>
  </si>
  <si>
    <t xml:space="preserve">Sistema de Contra heladas </t>
  </si>
  <si>
    <t xml:space="preserve">Nivel Tecnológico </t>
  </si>
  <si>
    <t xml:space="preserve">Nivel Homogeneidad </t>
  </si>
  <si>
    <t xml:space="preserve">Nivel Productivo Promedio </t>
  </si>
  <si>
    <t xml:space="preserve">SISTEMA DE COMERCIALIZACIÓN </t>
  </si>
  <si>
    <t xml:space="preserve">Empresas comercializadoras </t>
  </si>
  <si>
    <t>Comercialización</t>
  </si>
  <si>
    <t xml:space="preserve">Mercado </t>
  </si>
  <si>
    <t>Periodo de Cosecha desde-hasta</t>
  </si>
  <si>
    <t>Periodo Liquidaciones desde-hasta</t>
  </si>
  <si>
    <t xml:space="preserve">Proceso </t>
  </si>
  <si>
    <t>Gestión de Exportación</t>
  </si>
  <si>
    <t xml:space="preserve">PROYECCIÓN LARGO PLAZO </t>
  </si>
  <si>
    <t xml:space="preserve">Cliente: </t>
  </si>
  <si>
    <t xml:space="preserve">Tipo de cambio: </t>
  </si>
  <si>
    <t>$/USD</t>
  </si>
  <si>
    <t>2023/24</t>
  </si>
  <si>
    <t>2025/26</t>
  </si>
  <si>
    <t>$</t>
  </si>
  <si>
    <t>Historicos</t>
  </si>
  <si>
    <t xml:space="preserve">Assumptions </t>
  </si>
  <si>
    <t>2024/25</t>
  </si>
  <si>
    <t>2033/34</t>
  </si>
  <si>
    <t xml:space="preserve">Real </t>
  </si>
  <si>
    <t>Preliminar</t>
  </si>
  <si>
    <t xml:space="preserve">Projection </t>
  </si>
  <si>
    <t>Especie/Variedad/Año</t>
  </si>
  <si>
    <t>Precio exportación (USD/Kg)</t>
  </si>
  <si>
    <t>Precio Mercado Interno (USD/Kg)</t>
  </si>
  <si>
    <t>Producción/Rendimiento (Kg/ha)</t>
  </si>
  <si>
    <t>Ratio Exportación (%)</t>
  </si>
  <si>
    <t>Costos (USD/ha)</t>
  </si>
  <si>
    <t>Producción Total (kg)</t>
  </si>
  <si>
    <t xml:space="preserve">Ingresos Exportación </t>
  </si>
  <si>
    <t xml:space="preserve">Ingresos Mercado Interno </t>
  </si>
  <si>
    <t>RESUMEN DE INDICADORES GENERALES</t>
  </si>
  <si>
    <t xml:space="preserve">Producción Total </t>
  </si>
  <si>
    <t xml:space="preserve">Producción promedio (Kg/ha) </t>
  </si>
  <si>
    <t>Precio de venta promedio (USD/Kg)</t>
  </si>
  <si>
    <t>Costo Promedio (USD/ha)</t>
  </si>
  <si>
    <t>Costo unitario (USD/Kg)</t>
  </si>
  <si>
    <t>ESTADO DE RESULTADOS</t>
  </si>
  <si>
    <t xml:space="preserve">Ingresos </t>
  </si>
  <si>
    <t>Costos Totales</t>
  </si>
  <si>
    <t xml:space="preserve">Administración </t>
  </si>
  <si>
    <t>Ingresos totales</t>
  </si>
  <si>
    <t xml:space="preserve">EBITDA </t>
  </si>
  <si>
    <t>EBITDA/ha</t>
  </si>
  <si>
    <t>EBITDA/Ingresos</t>
  </si>
  <si>
    <t xml:space="preserve">Nivel de Respaldo de Ventas </t>
  </si>
  <si>
    <t xml:space="preserve">Monto de Ingresos Respaldado </t>
  </si>
  <si>
    <t xml:space="preserve">% de Respaldo </t>
  </si>
  <si>
    <t xml:space="preserve">Comentarios </t>
  </si>
  <si>
    <t>COMENTARIOS GENERALES</t>
  </si>
  <si>
    <t xml:space="preserve">Gestión Administrativa y Productiva </t>
  </si>
  <si>
    <t>CALIFICACIÓN</t>
  </si>
  <si>
    <t xml:space="preserve">Conocimiento y Manejo de Canales Comerciales </t>
  </si>
  <si>
    <t>Calidad de los Activos Productivos Disponibles</t>
  </si>
  <si>
    <t xml:space="preserve">Conclusión Final </t>
  </si>
  <si>
    <t xml:space="preserve">CALIFICACIÓN </t>
  </si>
  <si>
    <t xml:space="preserve">RESULTADO REAL TEMPORADA </t>
  </si>
  <si>
    <t xml:space="preserve">Producción Exportación (Kg) </t>
  </si>
  <si>
    <t>Producción Merc. Interno (Kg)</t>
  </si>
  <si>
    <t>ProduccIón total (Kg)</t>
  </si>
  <si>
    <t>Ventas Exportación ($)</t>
  </si>
  <si>
    <t>Ventas Merc. Interno ($)</t>
  </si>
  <si>
    <t>Total ventas ($)</t>
  </si>
  <si>
    <t>Total ventas USD</t>
  </si>
  <si>
    <t>Costos Directos Totales por Rubro ($)</t>
  </si>
  <si>
    <t>Costos Directos Totales por Rubro USD</t>
  </si>
  <si>
    <t>Margen Bruto ($)</t>
  </si>
  <si>
    <t>Administracion $</t>
  </si>
  <si>
    <t xml:space="preserve">Gastos generales $ </t>
  </si>
  <si>
    <t xml:space="preserve">EBITDA $ </t>
  </si>
  <si>
    <t>RESULTRADO PRELIMINAR TEMPORADA</t>
  </si>
  <si>
    <t>Producción exportación (Kg)</t>
  </si>
  <si>
    <t xml:space="preserve">Producción Total (Kg) </t>
  </si>
  <si>
    <t>Margen bruto ($)</t>
  </si>
  <si>
    <t>Gastos generales $</t>
  </si>
  <si>
    <t>Proyección</t>
  </si>
  <si>
    <t xml:space="preserve">Gastos Generales </t>
  </si>
  <si>
    <t>Costo General</t>
  </si>
  <si>
    <t xml:space="preserve">Costo Generales </t>
  </si>
  <si>
    <t>Ejecutivo</t>
  </si>
  <si>
    <t>ANTECEDENTES GENERALES</t>
  </si>
  <si>
    <t>N° Solicitud</t>
  </si>
  <si>
    <t>RUT</t>
  </si>
  <si>
    <t>Predio</t>
  </si>
  <si>
    <t>Rol Avalúo</t>
  </si>
  <si>
    <t>Clase Uso</t>
  </si>
  <si>
    <t>Superficie Total Plantada (ha)</t>
  </si>
  <si>
    <t>Inscripción de Dominio</t>
  </si>
  <si>
    <t>Comentarios Plantaciones:</t>
  </si>
  <si>
    <t>Agrónomo Informante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</si>
</sst>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11" xfId="0" applyBorder="1"/>
    <xf numFmtId="0" fontId="0" fillId="2" borderId="8" xfId="0" applyFill="1" applyBorder="1"/>
    <xf numFmtId="0" fontId="0" fillId="2" borderId="11" xfId="0" applyFill="1" applyBorder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0" borderId="11" xfId="0" applyFont="1" applyBorder="1"/>
    <xf numFmtId="0" fontId="0" fillId="0" borderId="16" xfId="0" applyBorder="1"/>
    <xf numFmtId="0" fontId="0" fillId="0" borderId="17" xfId="0" applyBorder="1"/>
    <xf numFmtId="0" fontId="1" fillId="0" borderId="19" xfId="0" applyFont="1" applyBorder="1"/>
    <xf numFmtId="0" fontId="0" fillId="0" borderId="18" xfId="0" applyBorder="1" applyAlignment="1">
      <alignment horizontal="left"/>
    </xf>
    <xf numFmtId="0" fontId="0" fillId="0" borderId="19" xfId="0" applyBorder="1"/>
    <xf numFmtId="0" fontId="0" fillId="2" borderId="19" xfId="0" applyFill="1" applyBorder="1"/>
    <xf numFmtId="0" fontId="0" fillId="2" borderId="23" xfId="0" applyFill="1" applyBorder="1"/>
    <xf numFmtId="0" fontId="0" fillId="2" borderId="24" xfId="0" applyFill="1" applyBorder="1"/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0" fillId="0" borderId="15" xfId="0" applyBorder="1"/>
    <xf numFmtId="0" fontId="1" fillId="0" borderId="8" xfId="0" applyFont="1" applyBorder="1"/>
    <xf numFmtId="0" fontId="0" fillId="2" borderId="22" xfId="0" applyFill="1" applyBorder="1"/>
    <xf numFmtId="0" fontId="0" fillId="0" borderId="38" xfId="0" applyBorder="1"/>
    <xf numFmtId="0" fontId="0" fillId="0" borderId="39" xfId="0" applyBorder="1"/>
    <xf numFmtId="0" fontId="0" fillId="2" borderId="39" xfId="0" applyFill="1" applyBorder="1"/>
    <xf numFmtId="0" fontId="0" fillId="2" borderId="40" xfId="0" applyFill="1" applyBorder="1"/>
    <xf numFmtId="0" fontId="0" fillId="0" borderId="18" xfId="0" applyBorder="1"/>
    <xf numFmtId="0" fontId="0" fillId="0" borderId="44" xfId="0" applyBorder="1"/>
    <xf numFmtId="0" fontId="0" fillId="0" borderId="40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6" xfId="0" applyBorder="1"/>
    <xf numFmtId="0" fontId="2" fillId="3" borderId="27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4" xfId="0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4" xfId="0" applyFont="1" applyBorder="1" applyAlignment="1">
      <alignment horizontal="left"/>
    </xf>
    <xf numFmtId="0" fontId="1" fillId="4" borderId="38" xfId="0" applyFont="1" applyFill="1" applyBorder="1"/>
    <xf numFmtId="0" fontId="1" fillId="4" borderId="17" xfId="0" applyFont="1" applyFill="1" applyBorder="1"/>
    <xf numFmtId="0" fontId="1" fillId="4" borderId="16" xfId="0" applyFont="1" applyFill="1" applyBorder="1"/>
    <xf numFmtId="0" fontId="1" fillId="4" borderId="39" xfId="0" applyFont="1" applyFill="1" applyBorder="1"/>
    <xf numFmtId="0" fontId="1" fillId="4" borderId="19" xfId="0" applyFont="1" applyFill="1" applyBorder="1"/>
    <xf numFmtId="0" fontId="1" fillId="4" borderId="11" xfId="0" applyFont="1" applyFill="1" applyBorder="1"/>
    <xf numFmtId="0" fontId="1" fillId="4" borderId="13" xfId="0" applyFont="1" applyFill="1" applyBorder="1"/>
    <xf numFmtId="0" fontId="0" fillId="4" borderId="14" xfId="0" applyFill="1" applyBorder="1"/>
    <xf numFmtId="0" fontId="0" fillId="4" borderId="25" xfId="0" applyFill="1" applyBorder="1"/>
    <xf numFmtId="0" fontId="0" fillId="0" borderId="20" xfId="0" applyBorder="1"/>
    <xf numFmtId="0" fontId="0" fillId="0" borderId="21" xfId="0" applyBorder="1"/>
    <xf numFmtId="0" fontId="0" fillId="0" borderId="26" xfId="0" applyBorder="1"/>
    <xf numFmtId="0" fontId="1" fillId="4" borderId="15" xfId="0" applyFont="1" applyFill="1" applyBorder="1"/>
    <xf numFmtId="0" fontId="0" fillId="0" borderId="22" xfId="0" applyBorder="1"/>
    <xf numFmtId="0" fontId="0" fillId="0" borderId="14" xfId="0" applyBorder="1"/>
    <xf numFmtId="0" fontId="0" fillId="0" borderId="25" xfId="0" applyBorder="1"/>
    <xf numFmtId="0" fontId="0" fillId="0" borderId="37" xfId="0" applyBorder="1"/>
    <xf numFmtId="0" fontId="0" fillId="4" borderId="40" xfId="0" applyFill="1" applyBorder="1"/>
    <xf numFmtId="0" fontId="1" fillId="0" borderId="39" xfId="0" applyFont="1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1" fillId="0" borderId="32" xfId="0" applyFont="1" applyBorder="1"/>
    <xf numFmtId="0" fontId="1" fillId="4" borderId="12" xfId="0" applyFont="1" applyFill="1" applyBorder="1"/>
    <xf numFmtId="0" fontId="0" fillId="4" borderId="50" xfId="0" applyFill="1" applyBorder="1"/>
    <xf numFmtId="0" fontId="0" fillId="4" borderId="51" xfId="0" applyFill="1" applyBorder="1"/>
    <xf numFmtId="0" fontId="0" fillId="4" borderId="52" xfId="0" applyFill="1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1" fillId="0" borderId="48" xfId="0" applyFont="1" applyBorder="1"/>
    <xf numFmtId="0" fontId="1" fillId="0" borderId="31" xfId="0" applyFont="1" applyBorder="1"/>
    <xf numFmtId="0" fontId="1" fillId="0" borderId="57" xfId="0" applyFont="1" applyBorder="1"/>
    <xf numFmtId="0" fontId="1" fillId="4" borderId="31" xfId="0" applyFont="1" applyFill="1" applyBorder="1"/>
    <xf numFmtId="0" fontId="1" fillId="0" borderId="12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6" xfId="0" applyBorder="1"/>
    <xf numFmtId="0" fontId="1" fillId="0" borderId="45" xfId="0" applyFont="1" applyBorder="1"/>
    <xf numFmtId="0" fontId="0" fillId="0" borderId="35" xfId="0" applyBorder="1"/>
    <xf numFmtId="0" fontId="0" fillId="0" borderId="63" xfId="0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65" xfId="0" applyBorder="1"/>
    <xf numFmtId="0" fontId="2" fillId="0" borderId="0" xfId="0" applyFont="1"/>
    <xf numFmtId="0" fontId="5" fillId="0" borderId="0" xfId="0" applyFont="1"/>
    <xf numFmtId="0" fontId="6" fillId="0" borderId="14" xfId="0" applyFont="1" applyBorder="1"/>
    <xf numFmtId="0" fontId="6" fillId="0" borderId="18" xfId="0" applyFont="1" applyBorder="1"/>
    <xf numFmtId="0" fontId="6" fillId="0" borderId="20" xfId="0" applyFont="1" applyBorder="1"/>
    <xf numFmtId="0" fontId="6" fillId="0" borderId="21" xfId="0" applyFont="1" applyBorder="1"/>
    <xf numFmtId="0" fontId="0" fillId="0" borderId="68" xfId="0" applyBorder="1"/>
    <xf numFmtId="0" fontId="1" fillId="0" borderId="29" xfId="0" applyFont="1" applyBorder="1"/>
    <xf numFmtId="0" fontId="0" fillId="0" borderId="62" xfId="0" applyBorder="1"/>
    <xf numFmtId="0" fontId="0" fillId="0" borderId="60" xfId="0" applyBorder="1"/>
    <xf numFmtId="0" fontId="0" fillId="0" borderId="60" xfId="0" applyBorder="1" applyAlignment="1">
      <alignment horizontal="center"/>
    </xf>
    <xf numFmtId="0" fontId="0" fillId="0" borderId="69" xfId="0" applyBorder="1"/>
    <xf numFmtId="0" fontId="1" fillId="2" borderId="58" xfId="0" applyFont="1" applyFill="1" applyBorder="1"/>
    <xf numFmtId="0" fontId="1" fillId="2" borderId="67" xfId="0" applyFont="1" applyFill="1" applyBorder="1"/>
    <xf numFmtId="0" fontId="1" fillId="2" borderId="59" xfId="0" applyFont="1" applyFill="1" applyBorder="1"/>
    <xf numFmtId="0" fontId="1" fillId="2" borderId="60" xfId="0" applyFont="1" applyFill="1" applyBorder="1"/>
    <xf numFmtId="0" fontId="1" fillId="2" borderId="6" xfId="0" applyFont="1" applyFill="1" applyBorder="1"/>
    <xf numFmtId="0" fontId="1" fillId="2" borderId="61" xfId="0" applyFont="1" applyFill="1" applyBorder="1"/>
    <xf numFmtId="0" fontId="0" fillId="0" borderId="70" xfId="0" applyBorder="1"/>
    <xf numFmtId="0" fontId="0" fillId="0" borderId="71" xfId="0" applyBorder="1"/>
    <xf numFmtId="0" fontId="0" fillId="0" borderId="3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22" xfId="0" applyFont="1" applyBorder="1"/>
    <xf numFmtId="0" fontId="0" fillId="0" borderId="72" xfId="0" applyBorder="1"/>
    <xf numFmtId="0" fontId="1" fillId="2" borderId="20" xfId="0" applyFont="1" applyFill="1" applyBorder="1"/>
    <xf numFmtId="0" fontId="0" fillId="2" borderId="58" xfId="0" applyFill="1" applyBorder="1"/>
    <xf numFmtId="0" fontId="0" fillId="2" borderId="60" xfId="0" applyFill="1" applyBorder="1"/>
    <xf numFmtId="0" fontId="0" fillId="2" borderId="62" xfId="0" applyFill="1" applyBorder="1"/>
    <xf numFmtId="0" fontId="1" fillId="2" borderId="33" xfId="0" applyFont="1" applyFill="1" applyBorder="1"/>
    <xf numFmtId="0" fontId="2" fillId="0" borderId="21" xfId="0" applyFont="1" applyBorder="1" applyAlignment="1">
      <alignment horizontal="center"/>
    </xf>
    <xf numFmtId="0" fontId="0" fillId="2" borderId="20" xfId="0" applyFill="1" applyBorder="1"/>
    <xf numFmtId="0" fontId="0" fillId="2" borderId="21" xfId="0" applyFill="1" applyBorder="1"/>
    <xf numFmtId="0" fontId="0" fillId="2" borderId="18" xfId="0" applyFill="1" applyBorder="1"/>
    <xf numFmtId="0" fontId="0" fillId="2" borderId="0" xfId="0" applyFill="1"/>
    <xf numFmtId="0" fontId="1" fillId="0" borderId="13" xfId="0" applyFont="1" applyBorder="1"/>
    <xf numFmtId="0" fontId="1" fillId="0" borderId="14" xfId="0" applyFont="1" applyBorder="1"/>
    <xf numFmtId="0" fontId="0" fillId="0" borderId="18" xfId="0" applyBorder="1" applyAlignment="1">
      <alignment vertical="top"/>
    </xf>
    <xf numFmtId="0" fontId="0" fillId="0" borderId="0" xfId="0" applyAlignment="1">
      <alignment vertical="top"/>
    </xf>
    <xf numFmtId="0" fontId="2" fillId="3" borderId="37" xfId="0" applyFont="1" applyFill="1" applyBorder="1" applyAlignment="1">
      <alignment vertical="center"/>
    </xf>
    <xf numFmtId="0" fontId="2" fillId="3" borderId="30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25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1" fillId="0" borderId="28" xfId="0" applyFont="1" applyBorder="1"/>
    <xf numFmtId="0" fontId="1" fillId="0" borderId="54" xfId="0" applyFont="1" applyBorder="1"/>
    <xf numFmtId="0" fontId="1" fillId="0" borderId="33" xfId="0" applyFont="1" applyBorder="1"/>
    <xf numFmtId="0" fontId="0" fillId="0" borderId="74" xfId="0" applyBorder="1"/>
    <xf numFmtId="0" fontId="1" fillId="0" borderId="38" xfId="0" applyFont="1" applyBorder="1"/>
    <xf numFmtId="0" fontId="1" fillId="0" borderId="0" xfId="0" applyFont="1" applyAlignment="1">
      <alignment vertical="center"/>
    </xf>
    <xf numFmtId="0" fontId="0" fillId="2" borderId="1" xfId="0" applyFill="1" applyBorder="1"/>
    <xf numFmtId="0" fontId="0" fillId="2" borderId="36" xfId="0" applyFill="1" applyBorder="1"/>
    <xf numFmtId="0" fontId="6" fillId="0" borderId="5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9" xfId="0" applyFont="1" applyBorder="1"/>
    <xf numFmtId="0" fontId="6" fillId="0" borderId="12" xfId="0" applyFont="1" applyBorder="1" applyAlignment="1">
      <alignment horizontal="center" vertical="center"/>
    </xf>
    <xf numFmtId="0" fontId="6" fillId="0" borderId="6" xfId="0" applyFont="1" applyBorder="1"/>
    <xf numFmtId="0" fontId="6" fillId="0" borderId="41" xfId="0" applyFont="1" applyBorder="1"/>
    <xf numFmtId="0" fontId="6" fillId="0" borderId="44" xfId="0" applyFont="1" applyBorder="1"/>
    <xf numFmtId="0" fontId="6" fillId="0" borderId="42" xfId="0" applyFont="1" applyBorder="1"/>
    <xf numFmtId="0" fontId="6" fillId="0" borderId="66" xfId="0" applyFont="1" applyBorder="1"/>
    <xf numFmtId="0" fontId="7" fillId="0" borderId="52" xfId="0" applyFont="1" applyBorder="1"/>
    <xf numFmtId="9" fontId="1" fillId="4" borderId="31" xfId="1" applyFont="1" applyFill="1" applyBorder="1"/>
    <xf numFmtId="9" fontId="1" fillId="4" borderId="48" xfId="1" applyFont="1" applyFill="1" applyBorder="1"/>
    <xf numFmtId="9" fontId="1" fillId="4" borderId="57" xfId="1" applyFont="1" applyFill="1" applyBorder="1"/>
    <xf numFmtId="9" fontId="1" fillId="4" borderId="32" xfId="1" applyFont="1" applyFill="1" applyBorder="1"/>
    <xf numFmtId="0" fontId="1" fillId="6" borderId="36" xfId="0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0" borderId="75" xfId="0" applyBorder="1"/>
    <xf numFmtId="0" fontId="0" fillId="0" borderId="32" xfId="0" applyBorder="1"/>
    <xf numFmtId="0" fontId="0" fillId="0" borderId="3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4" borderId="13" xfId="0" applyFill="1" applyBorder="1"/>
    <xf numFmtId="0" fontId="0" fillId="4" borderId="18" xfId="0" applyFill="1" applyBorder="1"/>
    <xf numFmtId="0" fontId="0" fillId="4" borderId="0" xfId="0" applyFill="1"/>
    <xf numFmtId="0" fontId="0" fillId="4" borderId="44" xfId="0" applyFill="1" applyBorder="1"/>
    <xf numFmtId="0" fontId="0" fillId="4" borderId="20" xfId="0" applyFill="1" applyBorder="1"/>
    <xf numFmtId="0" fontId="0" fillId="4" borderId="21" xfId="0" applyFill="1" applyBorder="1"/>
    <xf numFmtId="0" fontId="0" fillId="4" borderId="26" xfId="0" applyFill="1" applyBorder="1"/>
    <xf numFmtId="0" fontId="6" fillId="0" borderId="34" xfId="0" applyFont="1" applyBorder="1" applyAlignment="1">
      <alignment vertical="center"/>
    </xf>
    <xf numFmtId="0" fontId="7" fillId="0" borderId="35" xfId="0" applyFont="1" applyBorder="1" applyAlignment="1">
      <alignment horizontal="right" vertical="center"/>
    </xf>
    <xf numFmtId="0" fontId="7" fillId="0" borderId="35" xfId="0" applyFont="1" applyBorder="1" applyAlignment="1">
      <alignment horizontal="center" vertical="center"/>
    </xf>
    <xf numFmtId="0" fontId="6" fillId="0" borderId="75" xfId="0" applyFont="1" applyBorder="1"/>
    <xf numFmtId="0" fontId="6" fillId="0" borderId="51" xfId="0" applyFont="1" applyBorder="1"/>
    <xf numFmtId="0" fontId="7" fillId="0" borderId="52" xfId="0" applyFont="1" applyBorder="1" applyAlignment="1">
      <alignment horizontal="left" wrapText="1"/>
    </xf>
    <xf numFmtId="0" fontId="6" fillId="0" borderId="26" xfId="0" applyFont="1" applyBorder="1" applyAlignment="1">
      <alignment horizontal="center" vertical="center"/>
    </xf>
    <xf numFmtId="0" fontId="0" fillId="0" borderId="10" xfId="0" applyBorder="1"/>
    <xf numFmtId="0" fontId="0" fillId="0" borderId="7" xfId="0" applyBorder="1"/>
    <xf numFmtId="0" fontId="0" fillId="0" borderId="64" xfId="0" applyBorder="1"/>
    <xf numFmtId="0" fontId="1" fillId="0" borderId="57" xfId="0" applyFont="1" applyBorder="1" applyAlignment="1">
      <alignment horizontal="center" vertical="center" wrapText="1"/>
    </xf>
    <xf numFmtId="0" fontId="0" fillId="0" borderId="43" xfId="0" applyBorder="1"/>
    <xf numFmtId="0" fontId="6" fillId="0" borderId="21" xfId="0" applyFont="1" applyBorder="1" applyAlignment="1">
      <alignment vertical="center"/>
    </xf>
    <xf numFmtId="0" fontId="6" fillId="0" borderId="47" xfId="0" applyFont="1" applyBorder="1"/>
    <xf numFmtId="0" fontId="1" fillId="0" borderId="31" xfId="0" applyFont="1" applyBorder="1" applyAlignment="1">
      <alignment horizontal="center" vertical="center" wrapText="1"/>
    </xf>
    <xf numFmtId="0" fontId="1" fillId="0" borderId="27" xfId="0" applyFont="1" applyBorder="1"/>
    <xf numFmtId="0" fontId="1" fillId="0" borderId="36" xfId="0" applyFont="1" applyBorder="1"/>
    <xf numFmtId="0" fontId="1" fillId="0" borderId="27" xfId="0" applyFont="1" applyBorder="1" applyAlignment="1">
      <alignment wrapText="1"/>
    </xf>
    <xf numFmtId="0" fontId="1" fillId="0" borderId="31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164" fontId="0" fillId="0" borderId="0" xfId="1" applyNumberFormat="1" applyFont="1"/>
    <xf numFmtId="3" fontId="0" fillId="0" borderId="0" xfId="0" applyNumberFormat="1"/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16" xfId="0" applyFont="1" applyBorder="1"/>
    <xf numFmtId="0" fontId="6" fillId="0" borderId="11" xfId="0" applyFont="1" applyBorder="1"/>
    <xf numFmtId="0" fontId="6" fillId="0" borderId="4" xfId="0" applyFont="1" applyBorder="1"/>
    <xf numFmtId="2" fontId="0" fillId="0" borderId="0" xfId="0" applyNumberFormat="1"/>
    <xf numFmtId="0" fontId="1" fillId="4" borderId="25" xfId="0" applyFont="1" applyFill="1" applyBorder="1"/>
    <xf numFmtId="0" fontId="1" fillId="4" borderId="44" xfId="0" applyFont="1" applyFill="1" applyBorder="1"/>
    <xf numFmtId="0" fontId="1" fillId="4" borderId="8" xfId="0" applyFont="1" applyFill="1" applyBorder="1"/>
    <xf numFmtId="0" fontId="1" fillId="0" borderId="44" xfId="0" applyFont="1" applyBorder="1"/>
    <xf numFmtId="0" fontId="0" fillId="4" borderId="22" xfId="0" applyFill="1" applyBorder="1"/>
    <xf numFmtId="0" fontId="0" fillId="4" borderId="23" xfId="0" applyFill="1" applyBorder="1"/>
    <xf numFmtId="0" fontId="1" fillId="4" borderId="54" xfId="0" applyFont="1" applyFill="1" applyBorder="1"/>
    <xf numFmtId="0" fontId="7" fillId="0" borderId="43" xfId="0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13" xfId="0" applyFont="1" applyBorder="1" applyAlignment="1">
      <alignment horizontal="left"/>
    </xf>
    <xf numFmtId="0" fontId="6" fillId="0" borderId="0" xfId="0" applyFont="1"/>
    <xf numFmtId="0" fontId="6" fillId="0" borderId="67" xfId="0" applyFont="1" applyBorder="1"/>
    <xf numFmtId="0" fontId="0" fillId="4" borderId="65" xfId="0" applyFill="1" applyBorder="1"/>
    <xf numFmtId="0" fontId="0" fillId="4" borderId="60" xfId="0" applyFill="1" applyBorder="1"/>
    <xf numFmtId="0" fontId="1" fillId="0" borderId="12" xfId="0" applyFont="1" applyBorder="1"/>
    <xf numFmtId="0" fontId="1" fillId="4" borderId="28" xfId="0" applyFont="1" applyFill="1" applyBorder="1" applyAlignment="1">
      <alignment horizontal="center"/>
    </xf>
    <xf numFmtId="0" fontId="1" fillId="0" borderId="35" xfId="0" applyFont="1" applyBorder="1"/>
    <xf numFmtId="0" fontId="10" fillId="0" borderId="38" xfId="0" applyFont="1" applyBorder="1"/>
    <xf numFmtId="0" fontId="10" fillId="0" borderId="15" xfId="0" applyFont="1" applyBorder="1"/>
    <xf numFmtId="0" fontId="10" fillId="0" borderId="16" xfId="0" applyFont="1" applyBorder="1"/>
    <xf numFmtId="0" fontId="10" fillId="0" borderId="25" xfId="0" applyFont="1" applyBorder="1"/>
    <xf numFmtId="0" fontId="0" fillId="0" borderId="9" xfId="0" applyBorder="1"/>
    <xf numFmtId="0" fontId="0" fillId="0" borderId="66" xfId="0" applyBorder="1"/>
    <xf numFmtId="0" fontId="0" fillId="0" borderId="3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65" xfId="0" applyFont="1" applyBorder="1" applyAlignment="1">
      <alignment horizontal="center"/>
    </xf>
    <xf numFmtId="0" fontId="6" fillId="0" borderId="6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6" fillId="0" borderId="4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7" fillId="0" borderId="20" xfId="0" applyFont="1" applyBorder="1" applyAlignment="1">
      <alignment horizontal="center" wrapText="1"/>
    </xf>
    <xf numFmtId="0" fontId="7" fillId="0" borderId="26" xfId="0" applyFont="1" applyBorder="1" applyAlignment="1">
      <alignment horizontal="center" wrapText="1"/>
    </xf>
    <xf numFmtId="0" fontId="7" fillId="0" borderId="20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48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49" xfId="0" applyFont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1" fillId="4" borderId="35" xfId="0" applyFont="1" applyFill="1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1" fillId="4" borderId="18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44" xfId="0" applyFont="1" applyFill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/>
    </xf>
    <xf numFmtId="0" fontId="2" fillId="3" borderId="46" xfId="0" applyFont="1" applyFill="1" applyBorder="1" applyAlignment="1">
      <alignment horizontal="center"/>
    </xf>
    <xf numFmtId="0" fontId="2" fillId="3" borderId="47" xfId="0" applyFont="1" applyFill="1" applyBorder="1" applyAlignment="1">
      <alignment horizontal="center"/>
    </xf>
    <xf numFmtId="0" fontId="2" fillId="3" borderId="45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left"/>
    </xf>
    <xf numFmtId="0" fontId="1" fillId="4" borderId="1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5" borderId="33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1" fillId="4" borderId="58" xfId="0" applyFont="1" applyFill="1" applyBorder="1" applyAlignment="1">
      <alignment horizontal="left"/>
    </xf>
    <xf numFmtId="0" fontId="1" fillId="4" borderId="67" xfId="0" applyFont="1" applyFill="1" applyBorder="1" applyAlignment="1">
      <alignment horizontal="left"/>
    </xf>
    <xf numFmtId="0" fontId="1" fillId="4" borderId="73" xfId="0" applyFont="1" applyFill="1" applyBorder="1" applyAlignment="1">
      <alignment horizontal="left"/>
    </xf>
    <xf numFmtId="0" fontId="1" fillId="4" borderId="60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4" borderId="45" xfId="0" applyFont="1" applyFill="1" applyBorder="1" applyAlignment="1">
      <alignment horizontal="left"/>
    </xf>
    <xf numFmtId="0" fontId="1" fillId="4" borderId="46" xfId="0" applyFont="1" applyFill="1" applyBorder="1" applyAlignment="1">
      <alignment horizontal="left"/>
    </xf>
    <xf numFmtId="0" fontId="1" fillId="4" borderId="64" xfId="0" applyFont="1" applyFill="1" applyBorder="1" applyAlignment="1">
      <alignment horizontal="left"/>
    </xf>
    <xf numFmtId="0" fontId="2" fillId="3" borderId="37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4" xfId="0" applyFont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4" borderId="21" xfId="0" applyFill="1" applyBorder="1" applyAlignment="1">
      <alignment horizontal="left"/>
    </xf>
    <xf numFmtId="0" fontId="0" fillId="4" borderId="26" xfId="0" applyFill="1" applyBorder="1" applyAlignment="1">
      <alignment horizontal="left"/>
    </xf>
    <xf numFmtId="0" fontId="1" fillId="0" borderId="57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6" borderId="58" xfId="0" applyFont="1" applyFill="1" applyBorder="1" applyAlignment="1">
      <alignment horizontal="center" vertical="center"/>
    </xf>
    <xf numFmtId="0" fontId="1" fillId="6" borderId="73" xfId="0" applyFont="1" applyFill="1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1" fillId="4" borderId="64" xfId="0" applyFont="1" applyFill="1" applyBorder="1" applyAlignment="1">
      <alignment horizontal="center"/>
    </xf>
    <xf numFmtId="0" fontId="0" fillId="0" borderId="0" xfId="0" applyBorder="1"/>
    <xf numFmtId="0" fontId="1" fillId="0" borderId="64" xfId="0" applyFont="1" applyBorder="1"/>
    <xf numFmtId="0" fontId="1" fillId="0" borderId="37" xfId="0" applyFont="1" applyBorder="1"/>
    <xf numFmtId="0" fontId="6" fillId="0" borderId="7" xfId="0" applyFont="1" applyBorder="1" applyAlignment="1">
      <alignment horizontal="center"/>
    </xf>
    <xf numFmtId="0" fontId="0" fillId="0" borderId="61" xfId="0" applyBorder="1"/>
    <xf numFmtId="0" fontId="1" fillId="0" borderId="30" xfId="0" applyFont="1" applyBorder="1"/>
    <xf numFmtId="0" fontId="1" fillId="0" borderId="47" xfId="0" applyFont="1" applyBorder="1"/>
    <xf numFmtId="0" fontId="0" fillId="0" borderId="76" xfId="0" applyBorder="1"/>
    <xf numFmtId="0" fontId="0" fillId="0" borderId="77" xfId="0" applyBorder="1"/>
    <xf numFmtId="0" fontId="0" fillId="0" borderId="47" xfId="0" applyBorder="1"/>
    <xf numFmtId="0" fontId="0" fillId="0" borderId="73" xfId="0" applyBorder="1"/>
    <xf numFmtId="0" fontId="0" fillId="4" borderId="0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60199</xdr:colOff>
      <xdr:row>0</xdr:row>
      <xdr:rowOff>46193</xdr:rowOff>
    </xdr:from>
    <xdr:to>
      <xdr:col>8</xdr:col>
      <xdr:colOff>596123</xdr:colOff>
      <xdr:row>2</xdr:row>
      <xdr:rowOff>163258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E0B9E6-57DA-35B8-672A-6FA05EF2F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540" b="18723"/>
        <a:stretch>
          <a:fillRect/>
        </a:stretch>
      </xdr:blipFill>
      <xdr:spPr>
        <a:xfrm>
          <a:off x="5742801" y="46193"/>
          <a:ext cx="1825362" cy="479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DF5A-4EF5-425D-9175-2AFC686AB219}">
  <sheetPr>
    <pageSetUpPr fitToPage="1"/>
  </sheetPr>
  <dimension ref="A3:L41"/>
  <sheetViews>
    <sheetView showGridLines="0" tabSelected="1" zoomScale="98" zoomScaleNormal="102" zoomScalePageLayoutView="85" workbookViewId="0">
      <selection activeCell="A14" sqref="A14"/>
    </sheetView>
  </sheetViews>
  <sheetFormatPr baseColWidth="10" defaultColWidth="11.453125" defaultRowHeight="14.5" x14ac:dyDescent="0.35"/>
  <cols>
    <col min="1" max="1" width="29.36328125" customWidth="1"/>
    <col min="2" max="2" width="10.26953125" customWidth="1"/>
    <col min="3" max="3" width="10.453125" customWidth="1"/>
    <col min="4" max="4" width="9.453125" customWidth="1"/>
    <col min="5" max="5" width="8.7265625" customWidth="1"/>
    <col min="6" max="6" width="9.90625" customWidth="1"/>
    <col min="7" max="7" width="9.7265625" customWidth="1"/>
    <col min="8" max="8" width="8.7265625" customWidth="1"/>
    <col min="9" max="9" width="10.453125" customWidth="1"/>
    <col min="10" max="10" width="12.453125" customWidth="1"/>
    <col min="11" max="11" width="13.453125" customWidth="1"/>
    <col min="12" max="12" width="13.453125" hidden="1" customWidth="1"/>
  </cols>
  <sheetData>
    <row r="3" spans="1:11" ht="18.5" customHeight="1" x14ac:dyDescent="0.35"/>
    <row r="4" spans="1:11" ht="14.5" customHeight="1" x14ac:dyDescent="0.35">
      <c r="A4" s="281" t="s">
        <v>0</v>
      </c>
      <c r="B4" s="281"/>
      <c r="C4" s="281"/>
      <c r="D4" s="281"/>
      <c r="E4" s="281"/>
      <c r="F4" s="281"/>
      <c r="G4" s="281"/>
      <c r="H4" s="281"/>
      <c r="I4" s="281"/>
      <c r="J4" s="102"/>
      <c r="K4" s="102"/>
    </row>
    <row r="5" spans="1:11" ht="7.5" customHeight="1" x14ac:dyDescent="0.35">
      <c r="A5" s="281"/>
      <c r="B5" s="281"/>
      <c r="C5" s="281"/>
      <c r="D5" s="281"/>
      <c r="E5" s="281"/>
      <c r="F5" s="281"/>
      <c r="G5" s="281"/>
      <c r="H5" s="281"/>
      <c r="I5" s="281"/>
      <c r="J5" s="102"/>
      <c r="K5" s="102"/>
    </row>
    <row r="6" spans="1:11" ht="8.15" customHeight="1" x14ac:dyDescent="0.35"/>
    <row r="7" spans="1:11" ht="8.15" customHeight="1" x14ac:dyDescent="0.35"/>
    <row r="8" spans="1:11" ht="15" customHeight="1" x14ac:dyDescent="0.35">
      <c r="A8" s="266" t="s">
        <v>210</v>
      </c>
      <c r="B8" s="266"/>
      <c r="C8" s="266"/>
      <c r="D8" s="266"/>
      <c r="E8" s="266"/>
      <c r="F8" s="266"/>
      <c r="G8" s="266"/>
      <c r="H8" s="266"/>
      <c r="I8" s="266"/>
    </row>
    <row r="9" spans="1:11" ht="4" customHeight="1" thickBot="1" x14ac:dyDescent="0.4">
      <c r="A9" s="163"/>
      <c r="B9" s="163"/>
      <c r="C9" s="163"/>
      <c r="D9" s="163"/>
      <c r="E9" s="163"/>
      <c r="F9" s="163"/>
      <c r="G9" s="163"/>
      <c r="H9" s="163"/>
      <c r="I9" s="163"/>
    </row>
    <row r="10" spans="1:11" x14ac:dyDescent="0.35">
      <c r="A10" s="233" t="s">
        <v>1</v>
      </c>
      <c r="B10" s="235"/>
      <c r="C10" s="235"/>
      <c r="D10" s="107"/>
      <c r="E10" s="107" t="s">
        <v>212</v>
      </c>
      <c r="F10" s="67"/>
      <c r="G10" s="235"/>
      <c r="H10" s="67"/>
      <c r="I10" s="68"/>
    </row>
    <row r="11" spans="1:11" x14ac:dyDescent="0.35">
      <c r="A11" s="108" t="s">
        <v>209</v>
      </c>
      <c r="B11" s="166"/>
      <c r="C11" s="166"/>
      <c r="D11" s="234"/>
      <c r="E11" s="234" t="s">
        <v>2</v>
      </c>
      <c r="G11" s="166"/>
      <c r="I11" s="35"/>
    </row>
    <row r="12" spans="1:11" x14ac:dyDescent="0.35">
      <c r="A12" s="108" t="s">
        <v>3</v>
      </c>
      <c r="B12" s="166"/>
      <c r="C12" s="166"/>
      <c r="D12" s="234"/>
      <c r="E12" s="234" t="s">
        <v>4</v>
      </c>
      <c r="G12" s="164"/>
      <c r="I12" s="35"/>
    </row>
    <row r="13" spans="1:11" ht="16.5" customHeight="1" x14ac:dyDescent="0.35">
      <c r="A13" s="108" t="s">
        <v>219</v>
      </c>
      <c r="B13" s="166"/>
      <c r="C13" s="166"/>
      <c r="E13" s="234" t="s">
        <v>211</v>
      </c>
      <c r="G13" s="166"/>
      <c r="I13" s="35"/>
    </row>
    <row r="14" spans="1:11" ht="12" customHeight="1" thickBot="1" x14ac:dyDescent="0.4">
      <c r="A14" s="109"/>
      <c r="B14" s="110"/>
      <c r="C14" s="110"/>
      <c r="D14" s="63"/>
      <c r="E14" s="110"/>
      <c r="F14" s="63"/>
      <c r="G14" s="110"/>
      <c r="H14" s="63"/>
      <c r="I14" s="64"/>
    </row>
    <row r="15" spans="1:11" ht="11" customHeight="1" x14ac:dyDescent="0.35">
      <c r="A15" s="234"/>
      <c r="B15" s="234"/>
      <c r="C15" s="234"/>
      <c r="E15" s="234"/>
      <c r="G15" s="234"/>
    </row>
    <row r="16" spans="1:11" x14ac:dyDescent="0.35">
      <c r="A16" s="266" t="s">
        <v>6</v>
      </c>
      <c r="B16" s="266"/>
      <c r="C16" s="266"/>
      <c r="D16" s="266"/>
      <c r="E16" s="266"/>
      <c r="F16" s="266"/>
      <c r="G16" s="266"/>
      <c r="H16" s="266"/>
      <c r="I16" s="266"/>
      <c r="J16" s="105"/>
    </row>
    <row r="17" spans="1:11" ht="6" customHeight="1" thickBot="1" x14ac:dyDescent="0.4">
      <c r="B17" s="101"/>
      <c r="C17" s="101"/>
      <c r="D17" s="101"/>
      <c r="E17" s="101"/>
      <c r="F17" s="101"/>
      <c r="G17" s="101"/>
      <c r="H17" s="101"/>
      <c r="I17" s="101"/>
      <c r="J17" s="101"/>
      <c r="K17" s="101"/>
    </row>
    <row r="18" spans="1:11" ht="24" customHeight="1" x14ac:dyDescent="0.35">
      <c r="A18" s="308" t="s">
        <v>7</v>
      </c>
      <c r="B18" s="282" t="s">
        <v>8</v>
      </c>
      <c r="C18" s="283"/>
      <c r="D18" s="282" t="s">
        <v>9</v>
      </c>
      <c r="E18" s="283"/>
      <c r="F18" s="282" t="s">
        <v>10</v>
      </c>
      <c r="G18" s="305"/>
      <c r="H18" s="305"/>
      <c r="I18" s="283"/>
    </row>
    <row r="19" spans="1:11" ht="10.5" customHeight="1" thickBot="1" x14ac:dyDescent="0.4">
      <c r="A19" s="309"/>
      <c r="B19" s="303" t="s">
        <v>11</v>
      </c>
      <c r="C19" s="304"/>
      <c r="D19" s="303" t="s">
        <v>12</v>
      </c>
      <c r="E19" s="304"/>
      <c r="F19" s="303" t="s">
        <v>13</v>
      </c>
      <c r="G19" s="306"/>
      <c r="H19" s="204" t="s">
        <v>14</v>
      </c>
      <c r="I19" s="198" t="s">
        <v>15</v>
      </c>
    </row>
    <row r="20" spans="1:11" x14ac:dyDescent="0.35">
      <c r="A20" s="167"/>
      <c r="B20" s="292"/>
      <c r="C20" s="307"/>
      <c r="D20" s="292"/>
      <c r="E20" s="293"/>
      <c r="F20" s="274"/>
      <c r="G20" s="278"/>
      <c r="H20" s="219"/>
      <c r="I20" s="168"/>
    </row>
    <row r="21" spans="1:11" x14ac:dyDescent="0.35">
      <c r="A21" s="169"/>
      <c r="B21" s="274"/>
      <c r="C21" s="278"/>
      <c r="D21" s="274"/>
      <c r="E21" s="275"/>
      <c r="F21" s="274"/>
      <c r="G21" s="278"/>
      <c r="H21" s="220"/>
      <c r="I21" s="168"/>
    </row>
    <row r="22" spans="1:11" x14ac:dyDescent="0.35">
      <c r="A22" s="169"/>
      <c r="B22" s="274"/>
      <c r="C22" s="278"/>
      <c r="D22" s="274"/>
      <c r="E22" s="275"/>
      <c r="F22" s="274"/>
      <c r="G22" s="278"/>
      <c r="H22" s="220"/>
      <c r="I22" s="168"/>
    </row>
    <row r="23" spans="1:11" x14ac:dyDescent="0.35">
      <c r="A23" s="169"/>
      <c r="B23" s="276"/>
      <c r="C23" s="279"/>
      <c r="D23" s="276"/>
      <c r="E23" s="277"/>
      <c r="F23" s="276"/>
      <c r="G23" s="279"/>
      <c r="H23" s="221"/>
      <c r="I23" s="170"/>
    </row>
    <row r="24" spans="1:11" ht="15" thickBot="1" x14ac:dyDescent="0.4">
      <c r="A24" s="171" t="s">
        <v>16</v>
      </c>
      <c r="B24" s="301"/>
      <c r="C24" s="302"/>
      <c r="D24" s="299"/>
      <c r="E24" s="300"/>
      <c r="F24" s="298"/>
      <c r="G24" s="298"/>
      <c r="H24" s="218"/>
      <c r="I24" s="205"/>
    </row>
    <row r="25" spans="1:11" x14ac:dyDescent="0.35">
      <c r="B25" s="9"/>
    </row>
    <row r="26" spans="1:11" x14ac:dyDescent="0.35">
      <c r="A26" s="266" t="s">
        <v>17</v>
      </c>
      <c r="B26" s="266"/>
      <c r="C26" s="266"/>
      <c r="D26" s="266"/>
      <c r="E26" s="266"/>
      <c r="F26" s="266"/>
      <c r="G26" s="266"/>
      <c r="H26" s="266"/>
      <c r="I26" s="266"/>
    </row>
    <row r="27" spans="1:11" ht="6.65" customHeight="1" thickBot="1" x14ac:dyDescent="0.4"/>
    <row r="28" spans="1:11" ht="19" customHeight="1" thickBot="1" x14ac:dyDescent="0.4">
      <c r="A28" s="290" t="s">
        <v>18</v>
      </c>
      <c r="B28" s="288" t="s">
        <v>19</v>
      </c>
      <c r="C28" s="289"/>
      <c r="D28" s="289"/>
      <c r="E28" s="194" t="s">
        <v>20</v>
      </c>
      <c r="F28" s="271" t="s">
        <v>21</v>
      </c>
      <c r="G28" s="272"/>
      <c r="H28" s="192"/>
      <c r="I28" s="193" t="s">
        <v>22</v>
      </c>
    </row>
    <row r="29" spans="1:11" ht="15" customHeight="1" thickBot="1" x14ac:dyDescent="0.4">
      <c r="A29" s="291"/>
      <c r="B29" s="284" t="s">
        <v>23</v>
      </c>
      <c r="C29" s="285"/>
      <c r="D29" s="278" t="s">
        <v>24</v>
      </c>
      <c r="E29" s="275"/>
      <c r="F29" s="284" t="s">
        <v>23</v>
      </c>
      <c r="G29" s="285"/>
      <c r="H29" s="286" t="s">
        <v>24</v>
      </c>
      <c r="I29" s="287"/>
    </row>
    <row r="30" spans="1:11" x14ac:dyDescent="0.35">
      <c r="A30" s="195" t="s">
        <v>25</v>
      </c>
      <c r="B30" s="292"/>
      <c r="C30" s="293"/>
      <c r="D30" s="292"/>
      <c r="E30" s="293"/>
      <c r="F30" s="292"/>
      <c r="G30" s="293"/>
      <c r="H30" s="292"/>
      <c r="I30" s="293"/>
    </row>
    <row r="31" spans="1:11" x14ac:dyDescent="0.35">
      <c r="A31" s="196" t="s">
        <v>26</v>
      </c>
      <c r="B31" s="274"/>
      <c r="C31" s="275"/>
      <c r="D31" s="274"/>
      <c r="E31" s="275"/>
      <c r="F31" s="274"/>
      <c r="G31" s="275"/>
      <c r="H31" s="274"/>
      <c r="I31" s="275"/>
    </row>
    <row r="32" spans="1:11" x14ac:dyDescent="0.35">
      <c r="A32" s="196" t="s">
        <v>27</v>
      </c>
      <c r="B32" s="274"/>
      <c r="C32" s="275"/>
      <c r="D32" s="274"/>
      <c r="E32" s="275"/>
      <c r="F32" s="274"/>
      <c r="G32" s="275"/>
      <c r="H32" s="274"/>
      <c r="I32" s="275"/>
    </row>
    <row r="33" spans="1:9" x14ac:dyDescent="0.35">
      <c r="A33" s="196" t="s">
        <v>28</v>
      </c>
      <c r="B33" s="274"/>
      <c r="C33" s="275"/>
      <c r="D33" s="274"/>
      <c r="E33" s="275"/>
      <c r="F33" s="274"/>
      <c r="G33" s="275"/>
      <c r="H33" s="274"/>
      <c r="I33" s="275"/>
    </row>
    <row r="34" spans="1:9" ht="15" thickBot="1" x14ac:dyDescent="0.4">
      <c r="A34" s="197" t="s">
        <v>29</v>
      </c>
      <c r="B34" s="294"/>
      <c r="C34" s="295"/>
      <c r="D34" s="296"/>
      <c r="E34" s="297"/>
      <c r="F34" s="296"/>
      <c r="G34" s="297"/>
      <c r="H34" s="296"/>
      <c r="I34" s="297"/>
    </row>
    <row r="35" spans="1:9" ht="15" thickBot="1" x14ac:dyDescent="0.4">
      <c r="B35" s="103"/>
      <c r="C35" s="103"/>
      <c r="D35" s="106"/>
      <c r="E35" s="106"/>
    </row>
    <row r="36" spans="1:9" ht="26.5" customHeight="1" thickBot="1" x14ac:dyDescent="0.4">
      <c r="A36" s="165" t="s">
        <v>30</v>
      </c>
      <c r="B36" s="215" t="s">
        <v>31</v>
      </c>
      <c r="C36" s="216" t="s">
        <v>32</v>
      </c>
      <c r="D36" s="216" t="s">
        <v>33</v>
      </c>
      <c r="E36" s="216" t="s">
        <v>34</v>
      </c>
      <c r="F36" s="217" t="s">
        <v>35</v>
      </c>
      <c r="G36" s="216" t="s">
        <v>36</v>
      </c>
      <c r="H36" s="216" t="s">
        <v>37</v>
      </c>
      <c r="I36" s="216" t="s">
        <v>38</v>
      </c>
    </row>
    <row r="37" spans="1:9" ht="15" thickBot="1" x14ac:dyDescent="0.4">
      <c r="A37" s="230" t="s">
        <v>39</v>
      </c>
      <c r="B37" s="203">
        <f>'Flujo proyectado '!F110</f>
        <v>0</v>
      </c>
      <c r="C37" s="203">
        <f>'Flujo proyectado '!G110</f>
        <v>0</v>
      </c>
      <c r="D37" s="203">
        <f>'Flujo proyectado '!H110</f>
        <v>0</v>
      </c>
      <c r="E37" s="203">
        <f>'Flujo proyectado '!I110</f>
        <v>0</v>
      </c>
      <c r="F37" s="203">
        <f>'Flujo proyectado '!J110</f>
        <v>0</v>
      </c>
      <c r="G37" s="203">
        <f>'Flujo proyectado '!K110</f>
        <v>0</v>
      </c>
      <c r="H37" s="203">
        <f>'Flujo proyectado '!L110</f>
        <v>0</v>
      </c>
      <c r="I37" s="203">
        <f>'Flujo proyectado '!M110</f>
        <v>0</v>
      </c>
    </row>
    <row r="39" spans="1:9" x14ac:dyDescent="0.35">
      <c r="A39" s="280" t="s">
        <v>40</v>
      </c>
      <c r="B39" s="280"/>
      <c r="C39" s="280"/>
      <c r="D39" s="280"/>
      <c r="E39" s="280"/>
      <c r="F39" s="280"/>
      <c r="G39" s="280"/>
      <c r="H39" s="280"/>
      <c r="I39" s="280"/>
    </row>
    <row r="40" spans="1:9" x14ac:dyDescent="0.35">
      <c r="B40" s="9"/>
    </row>
    <row r="41" spans="1:9" x14ac:dyDescent="0.35">
      <c r="B41" s="9"/>
    </row>
  </sheetData>
  <mergeCells count="54">
    <mergeCell ref="A16:I16"/>
    <mergeCell ref="B20:C20"/>
    <mergeCell ref="B21:C21"/>
    <mergeCell ref="B22:C22"/>
    <mergeCell ref="B23:C23"/>
    <mergeCell ref="A18:A19"/>
    <mergeCell ref="B19:C19"/>
    <mergeCell ref="F24:G24"/>
    <mergeCell ref="D24:E24"/>
    <mergeCell ref="B24:C24"/>
    <mergeCell ref="A26:I26"/>
    <mergeCell ref="D18:E18"/>
    <mergeCell ref="D19:E19"/>
    <mergeCell ref="F18:I18"/>
    <mergeCell ref="F19:G19"/>
    <mergeCell ref="D30:E30"/>
    <mergeCell ref="D31:E31"/>
    <mergeCell ref="D32:E32"/>
    <mergeCell ref="D33:E33"/>
    <mergeCell ref="B30:C30"/>
    <mergeCell ref="B31:C31"/>
    <mergeCell ref="B32:C32"/>
    <mergeCell ref="B33:C33"/>
    <mergeCell ref="H34:I34"/>
    <mergeCell ref="F30:G30"/>
    <mergeCell ref="F31:G31"/>
    <mergeCell ref="F32:G32"/>
    <mergeCell ref="F33:G33"/>
    <mergeCell ref="H30:I30"/>
    <mergeCell ref="H31:I31"/>
    <mergeCell ref="H32:I32"/>
    <mergeCell ref="H33:I33"/>
    <mergeCell ref="A39:I39"/>
    <mergeCell ref="A4:I5"/>
    <mergeCell ref="A8:I8"/>
    <mergeCell ref="B18:C18"/>
    <mergeCell ref="D29:E29"/>
    <mergeCell ref="B29:C29"/>
    <mergeCell ref="F29:G29"/>
    <mergeCell ref="H29:I29"/>
    <mergeCell ref="B28:D28"/>
    <mergeCell ref="A28:A29"/>
    <mergeCell ref="F28:G28"/>
    <mergeCell ref="D20:E20"/>
    <mergeCell ref="D21:E21"/>
    <mergeCell ref="B34:C34"/>
    <mergeCell ref="D34:E34"/>
    <mergeCell ref="F34:G34"/>
    <mergeCell ref="D22:E22"/>
    <mergeCell ref="D23:E23"/>
    <mergeCell ref="F20:G20"/>
    <mergeCell ref="F21:G21"/>
    <mergeCell ref="F22:G22"/>
    <mergeCell ref="F23:G23"/>
  </mergeCells>
  <pageMargins left="0.7" right="0.7" top="0.75" bottom="0.75" header="0.3" footer="0.3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80A3-D155-4AA6-8FDD-883FA426F809}">
  <dimension ref="A1:N53"/>
  <sheetViews>
    <sheetView showGridLines="0" topLeftCell="A28" zoomScale="95" zoomScaleNormal="85" workbookViewId="0">
      <selection activeCell="F55" sqref="F55"/>
    </sheetView>
  </sheetViews>
  <sheetFormatPr baseColWidth="10" defaultColWidth="11.453125" defaultRowHeight="14.5" x14ac:dyDescent="0.35"/>
  <cols>
    <col min="1" max="1" width="22.453125" customWidth="1"/>
    <col min="2" max="2" width="10.54296875" customWidth="1"/>
    <col min="3" max="3" width="10.81640625" customWidth="1"/>
    <col min="4" max="4" width="11.81640625" customWidth="1"/>
    <col min="5" max="5" width="13.54296875" customWidth="1"/>
    <col min="6" max="6" width="13.81640625" customWidth="1"/>
    <col min="7" max="7" width="10.1796875" customWidth="1"/>
    <col min="8" max="8" width="13" customWidth="1"/>
    <col min="9" max="9" width="13.1796875" customWidth="1"/>
    <col min="10" max="10" width="12.81640625" customWidth="1"/>
    <col min="11" max="11" width="13.54296875" customWidth="1"/>
    <col min="12" max="12" width="9.453125" customWidth="1"/>
    <col min="13" max="13" width="10.1796875" customWidth="1"/>
    <col min="14" max="14" width="10.453125" customWidth="1"/>
  </cols>
  <sheetData>
    <row r="1" spans="1:14" x14ac:dyDescent="0.35">
      <c r="B1" s="9"/>
    </row>
    <row r="2" spans="1:14" ht="18.5" x14ac:dyDescent="0.45">
      <c r="A2" s="267" t="s">
        <v>41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</row>
    <row r="3" spans="1:14" ht="10" customHeight="1" x14ac:dyDescent="0.35"/>
    <row r="4" spans="1:14" x14ac:dyDescent="0.35">
      <c r="A4" s="268" t="s">
        <v>42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157"/>
    </row>
    <row r="5" spans="1:14" ht="10.5" customHeight="1" thickBot="1" x14ac:dyDescent="0.4"/>
    <row r="6" spans="1:14" ht="15" thickBot="1" x14ac:dyDescent="0.4">
      <c r="A6" s="156" t="s">
        <v>43</v>
      </c>
      <c r="B6" s="116"/>
      <c r="C6" s="67"/>
      <c r="D6" s="67"/>
      <c r="E6" s="67"/>
      <c r="F6" s="67"/>
      <c r="G6" s="67"/>
      <c r="H6" s="67"/>
      <c r="I6" s="67"/>
      <c r="J6" s="67"/>
      <c r="K6" s="67"/>
      <c r="L6" s="67"/>
      <c r="M6" s="68"/>
    </row>
    <row r="7" spans="1:14" x14ac:dyDescent="0.35">
      <c r="A7" s="185" t="s">
        <v>213</v>
      </c>
      <c r="B7" s="117"/>
      <c r="C7" s="118"/>
      <c r="D7" s="119"/>
      <c r="E7" s="118"/>
      <c r="F7" s="159"/>
      <c r="G7" s="118"/>
      <c r="H7" s="117"/>
      <c r="I7" s="159"/>
      <c r="J7" s="118"/>
      <c r="K7" s="117"/>
      <c r="L7" s="159"/>
      <c r="M7" s="119"/>
      <c r="N7" s="9"/>
    </row>
    <row r="8" spans="1:14" x14ac:dyDescent="0.35">
      <c r="A8" s="236" t="s">
        <v>57</v>
      </c>
      <c r="B8" s="120"/>
      <c r="C8" s="121"/>
      <c r="D8" s="122"/>
      <c r="E8" s="121"/>
      <c r="F8" s="158"/>
      <c r="G8" s="121"/>
      <c r="H8" s="120"/>
      <c r="I8" s="158"/>
      <c r="J8" s="121"/>
      <c r="K8" s="120"/>
      <c r="L8" s="158"/>
      <c r="M8" s="122"/>
      <c r="N8" s="9"/>
    </row>
    <row r="9" spans="1:14" x14ac:dyDescent="0.35">
      <c r="A9" s="237" t="s">
        <v>214</v>
      </c>
      <c r="B9" s="114"/>
      <c r="C9" s="97"/>
      <c r="D9" s="394"/>
      <c r="E9" s="256"/>
      <c r="F9" s="256"/>
      <c r="G9" s="250"/>
      <c r="H9" s="255"/>
      <c r="I9" s="256"/>
      <c r="J9" s="250"/>
      <c r="K9" s="255"/>
      <c r="L9" s="256"/>
      <c r="M9" s="250"/>
    </row>
    <row r="10" spans="1:14" x14ac:dyDescent="0.35">
      <c r="A10" s="237" t="s">
        <v>68</v>
      </c>
      <c r="B10" s="114"/>
      <c r="C10" s="97"/>
      <c r="D10" s="394"/>
      <c r="E10" s="232"/>
      <c r="F10" s="232"/>
      <c r="G10" s="231"/>
      <c r="H10" s="115"/>
      <c r="I10" s="232"/>
      <c r="J10" s="231"/>
      <c r="K10" s="115"/>
      <c r="L10" s="232"/>
      <c r="M10" s="231"/>
    </row>
    <row r="11" spans="1:14" x14ac:dyDescent="0.35">
      <c r="A11" s="186" t="s">
        <v>217</v>
      </c>
      <c r="B11" s="114"/>
      <c r="C11" s="97"/>
      <c r="D11" s="394"/>
      <c r="E11" s="245"/>
      <c r="F11" s="390"/>
      <c r="G11" s="245"/>
      <c r="H11" s="104"/>
      <c r="I11" s="390"/>
      <c r="J11" s="245"/>
      <c r="K11" s="104"/>
      <c r="L11" s="390"/>
      <c r="M11" s="246"/>
    </row>
    <row r="12" spans="1:14" x14ac:dyDescent="0.35">
      <c r="A12" s="237" t="s">
        <v>215</v>
      </c>
      <c r="B12" s="160" t="s">
        <v>44</v>
      </c>
      <c r="C12" s="161" t="s">
        <v>45</v>
      </c>
      <c r="D12" s="162" t="s">
        <v>46</v>
      </c>
      <c r="E12" s="393" t="s">
        <v>44</v>
      </c>
      <c r="F12" s="161" t="s">
        <v>45</v>
      </c>
      <c r="G12" s="162" t="s">
        <v>46</v>
      </c>
      <c r="H12" s="160" t="s">
        <v>44</v>
      </c>
      <c r="I12" s="161" t="s">
        <v>45</v>
      </c>
      <c r="J12" s="162" t="s">
        <v>46</v>
      </c>
      <c r="K12" s="160" t="s">
        <v>44</v>
      </c>
      <c r="L12" s="161" t="s">
        <v>45</v>
      </c>
      <c r="M12" s="162" t="s">
        <v>46</v>
      </c>
    </row>
    <row r="13" spans="1:14" x14ac:dyDescent="0.35">
      <c r="A13" s="115" t="s">
        <v>47</v>
      </c>
      <c r="B13" s="80"/>
      <c r="C13" s="1"/>
      <c r="D13" s="81">
        <f>B13+C13</f>
        <v>0</v>
      </c>
      <c r="E13" s="200"/>
      <c r="F13" s="1"/>
      <c r="G13" s="81">
        <f>E13+F13</f>
        <v>0</v>
      </c>
      <c r="H13" s="80"/>
      <c r="I13" s="1"/>
      <c r="J13" s="81">
        <f>H13+I13</f>
        <v>0</v>
      </c>
      <c r="K13" s="80"/>
      <c r="L13" s="1"/>
      <c r="M13" s="81">
        <f>K13+L13</f>
        <v>0</v>
      </c>
    </row>
    <row r="14" spans="1:14" x14ac:dyDescent="0.35">
      <c r="A14" s="115" t="s">
        <v>48</v>
      </c>
      <c r="B14" s="80"/>
      <c r="C14" s="1"/>
      <c r="D14" s="81">
        <f>B14+C14</f>
        <v>0</v>
      </c>
      <c r="E14" s="200"/>
      <c r="F14" s="1"/>
      <c r="G14" s="81">
        <f t="shared" ref="G14:G16" si="0">E14+F14</f>
        <v>0</v>
      </c>
      <c r="H14" s="80"/>
      <c r="I14" s="1"/>
      <c r="J14" s="81">
        <f t="shared" ref="J14:J16" si="1">H14+I14</f>
        <v>0</v>
      </c>
      <c r="K14" s="80"/>
      <c r="L14" s="1"/>
      <c r="M14" s="81">
        <f t="shared" ref="M14:M16" si="2">K14+L14</f>
        <v>0</v>
      </c>
    </row>
    <row r="15" spans="1:14" x14ac:dyDescent="0.35">
      <c r="A15" s="115" t="s">
        <v>49</v>
      </c>
      <c r="B15" s="80"/>
      <c r="C15" s="1"/>
      <c r="D15" s="81">
        <f t="shared" ref="D15:D16" si="3">B15+C15</f>
        <v>0</v>
      </c>
      <c r="E15" s="200"/>
      <c r="F15" s="1"/>
      <c r="G15" s="81">
        <f t="shared" si="0"/>
        <v>0</v>
      </c>
      <c r="H15" s="80"/>
      <c r="I15" s="1"/>
      <c r="J15" s="81">
        <f t="shared" si="1"/>
        <v>0</v>
      </c>
      <c r="K15" s="80"/>
      <c r="L15" s="1"/>
      <c r="M15" s="81">
        <f t="shared" si="2"/>
        <v>0</v>
      </c>
    </row>
    <row r="16" spans="1:14" x14ac:dyDescent="0.35">
      <c r="A16" s="115" t="s">
        <v>50</v>
      </c>
      <c r="B16" s="80"/>
      <c r="C16" s="1"/>
      <c r="D16" s="81">
        <f t="shared" si="3"/>
        <v>0</v>
      </c>
      <c r="E16" s="200"/>
      <c r="F16" s="1"/>
      <c r="G16" s="81">
        <f t="shared" si="0"/>
        <v>0</v>
      </c>
      <c r="H16" s="80"/>
      <c r="I16" s="1"/>
      <c r="J16" s="81">
        <f t="shared" si="1"/>
        <v>0</v>
      </c>
      <c r="K16" s="80"/>
      <c r="L16" s="1"/>
      <c r="M16" s="81">
        <f t="shared" si="2"/>
        <v>0</v>
      </c>
    </row>
    <row r="17" spans="1:14" ht="15" thickBot="1" x14ac:dyDescent="0.4">
      <c r="A17" s="98" t="s">
        <v>51</v>
      </c>
      <c r="B17" s="112">
        <f>SUM(B13:B16)</f>
        <v>0</v>
      </c>
      <c r="C17" s="392">
        <f>SUM(C13:C16)</f>
        <v>0</v>
      </c>
      <c r="D17" s="395">
        <f t="shared" ref="D17" si="4">SUM(D13:D16)</f>
        <v>0</v>
      </c>
      <c r="E17" s="112">
        <f t="shared" ref="E17:K17" si="5">SUM(E13:E16)</f>
        <v>0</v>
      </c>
      <c r="F17" s="392">
        <f t="shared" si="5"/>
        <v>0</v>
      </c>
      <c r="G17" s="391">
        <f t="shared" si="5"/>
        <v>0</v>
      </c>
      <c r="H17" s="112">
        <f t="shared" si="5"/>
        <v>0</v>
      </c>
      <c r="I17" s="392">
        <f t="shared" si="5"/>
        <v>0</v>
      </c>
      <c r="J17" s="391">
        <f t="shared" si="5"/>
        <v>0</v>
      </c>
      <c r="K17" s="112">
        <f t="shared" si="5"/>
        <v>0</v>
      </c>
      <c r="L17" s="392">
        <f t="shared" ref="L17:M17" si="6">SUM(L13:L16)</f>
        <v>0</v>
      </c>
      <c r="M17" s="396">
        <f t="shared" si="6"/>
        <v>0</v>
      </c>
    </row>
    <row r="19" spans="1:14" x14ac:dyDescent="0.35">
      <c r="A19" s="266" t="s">
        <v>52</v>
      </c>
      <c r="B19" s="266"/>
      <c r="C19" s="266"/>
      <c r="D19" s="266"/>
      <c r="E19" s="266"/>
      <c r="F19" s="266"/>
      <c r="G19" s="266"/>
      <c r="H19" s="266"/>
      <c r="I19" s="266"/>
      <c r="J19" s="266"/>
      <c r="K19" s="266"/>
      <c r="L19" s="266"/>
      <c r="M19" s="266"/>
      <c r="N19" s="105"/>
    </row>
    <row r="20" spans="1:14" ht="9" customHeight="1" thickBot="1" x14ac:dyDescent="0.4"/>
    <row r="21" spans="1:14" ht="29.5" customHeight="1" thickBot="1" x14ac:dyDescent="0.4">
      <c r="A21" s="262" t="s">
        <v>53</v>
      </c>
      <c r="B21" s="269" t="s">
        <v>54</v>
      </c>
      <c r="C21" s="260" t="s">
        <v>55</v>
      </c>
      <c r="D21" s="260" t="s">
        <v>56</v>
      </c>
      <c r="E21" s="269" t="s">
        <v>57</v>
      </c>
      <c r="F21" s="260" t="s">
        <v>58</v>
      </c>
      <c r="G21" s="260" t="s">
        <v>59</v>
      </c>
      <c r="H21" s="260" t="s">
        <v>60</v>
      </c>
      <c r="I21" s="271" t="s">
        <v>61</v>
      </c>
      <c r="J21" s="272"/>
      <c r="K21" s="272"/>
      <c r="L21" s="273"/>
      <c r="M21" s="269" t="s">
        <v>5</v>
      </c>
    </row>
    <row r="22" spans="1:14" ht="15" thickBot="1" x14ac:dyDescent="0.4">
      <c r="A22" s="263"/>
      <c r="B22" s="270"/>
      <c r="C22" s="261"/>
      <c r="D22" s="261"/>
      <c r="E22" s="270"/>
      <c r="F22" s="261"/>
      <c r="G22" s="261"/>
      <c r="H22" s="261"/>
      <c r="I22" s="125" t="s">
        <v>62</v>
      </c>
      <c r="J22" s="126" t="s">
        <v>63</v>
      </c>
      <c r="K22" s="126" t="s">
        <v>64</v>
      </c>
      <c r="L22" s="127" t="s">
        <v>65</v>
      </c>
      <c r="M22" s="270"/>
    </row>
    <row r="23" spans="1:14" x14ac:dyDescent="0.35">
      <c r="A23" s="104"/>
      <c r="B23" s="72"/>
      <c r="C23" s="72"/>
      <c r="D23" s="72"/>
      <c r="E23" s="72"/>
      <c r="F23" s="72"/>
      <c r="G23" s="72"/>
      <c r="H23" s="72"/>
      <c r="I23" s="38"/>
      <c r="J23" s="400"/>
      <c r="K23" s="42"/>
      <c r="L23" s="39"/>
      <c r="M23" s="246"/>
    </row>
    <row r="24" spans="1:14" x14ac:dyDescent="0.35">
      <c r="A24" s="114"/>
      <c r="B24" s="73"/>
      <c r="C24" s="73"/>
      <c r="D24" s="73"/>
      <c r="E24" s="73"/>
      <c r="F24" s="73"/>
      <c r="G24" s="73"/>
      <c r="H24" s="73"/>
      <c r="I24" s="80"/>
      <c r="J24" s="200"/>
      <c r="K24" s="1"/>
      <c r="L24" s="81"/>
      <c r="M24" s="394"/>
    </row>
    <row r="25" spans="1:14" x14ac:dyDescent="0.35">
      <c r="A25" s="113"/>
      <c r="B25" s="124"/>
      <c r="C25" s="124"/>
      <c r="D25" s="124"/>
      <c r="E25" s="124"/>
      <c r="F25" s="124"/>
      <c r="G25" s="124"/>
      <c r="H25" s="124"/>
      <c r="I25" s="129"/>
      <c r="J25" s="397"/>
      <c r="K25" s="2"/>
      <c r="L25" s="155"/>
      <c r="M25" s="398"/>
    </row>
    <row r="26" spans="1:14" ht="15" thickBot="1" x14ac:dyDescent="0.4">
      <c r="A26" s="113"/>
      <c r="B26" s="74"/>
      <c r="C26" s="124"/>
      <c r="D26" s="124"/>
      <c r="E26" s="124"/>
      <c r="F26" s="124"/>
      <c r="G26" s="124"/>
      <c r="H26" s="74"/>
      <c r="I26" s="40"/>
      <c r="J26" s="201"/>
      <c r="K26" s="69"/>
      <c r="L26" s="41"/>
      <c r="M26" s="399"/>
    </row>
    <row r="27" spans="1:14" ht="15" thickBot="1" x14ac:dyDescent="0.4">
      <c r="A27" s="257" t="s">
        <v>66</v>
      </c>
      <c r="B27" s="258"/>
      <c r="C27" s="258"/>
      <c r="D27" s="258"/>
      <c r="E27" s="258"/>
      <c r="F27" s="258"/>
      <c r="G27" s="259"/>
      <c r="H27" s="128">
        <f>SUM(H23:H26)</f>
        <v>0</v>
      </c>
      <c r="I27" s="37"/>
      <c r="J27" s="37"/>
      <c r="K27" s="123"/>
      <c r="L27" s="63"/>
      <c r="M27" s="64"/>
    </row>
    <row r="29" spans="1:14" x14ac:dyDescent="0.35">
      <c r="A29" s="266" t="s">
        <v>67</v>
      </c>
      <c r="B29" s="266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</row>
    <row r="30" spans="1:14" ht="6" customHeight="1" x14ac:dyDescent="0.35"/>
    <row r="31" spans="1:14" ht="12.65" customHeight="1" thickBot="1" x14ac:dyDescent="0.4">
      <c r="A31" t="s">
        <v>53</v>
      </c>
      <c r="C31" t="s">
        <v>68</v>
      </c>
    </row>
    <row r="32" spans="1:14" ht="41.15" customHeight="1" thickBot="1" x14ac:dyDescent="0.4">
      <c r="A32" s="206" t="s">
        <v>69</v>
      </c>
      <c r="B32" s="90" t="s">
        <v>70</v>
      </c>
      <c r="C32" s="90" t="s">
        <v>71</v>
      </c>
      <c r="D32" s="90" t="s">
        <v>72</v>
      </c>
      <c r="E32" s="90" t="s">
        <v>73</v>
      </c>
      <c r="F32" s="90" t="s">
        <v>74</v>
      </c>
      <c r="G32" s="90" t="s">
        <v>75</v>
      </c>
      <c r="H32" s="90" t="s">
        <v>76</v>
      </c>
      <c r="I32" s="90" t="s">
        <v>77</v>
      </c>
      <c r="J32" s="90" t="s">
        <v>78</v>
      </c>
      <c r="K32" s="90" t="s">
        <v>79</v>
      </c>
      <c r="L32" s="264" t="s">
        <v>80</v>
      </c>
      <c r="M32" s="265"/>
    </row>
    <row r="33" spans="1:13" x14ac:dyDescent="0.35">
      <c r="A33" s="111"/>
      <c r="B33" s="3"/>
      <c r="C33" s="3"/>
      <c r="D33" s="3"/>
      <c r="E33" s="3"/>
      <c r="F33" s="3"/>
      <c r="G33" s="3"/>
      <c r="H33" s="3"/>
      <c r="I33" s="3"/>
      <c r="J33" s="253">
        <f>SUM(I33:I36)</f>
        <v>0</v>
      </c>
      <c r="K33" s="253"/>
      <c r="L33" s="247"/>
      <c r="M33" s="248"/>
    </row>
    <row r="34" spans="1:13" x14ac:dyDescent="0.35">
      <c r="A34" s="80"/>
      <c r="B34" s="1"/>
      <c r="C34" s="1"/>
      <c r="D34" s="1"/>
      <c r="E34" s="1"/>
      <c r="F34" s="1"/>
      <c r="G34" s="1"/>
      <c r="H34" s="1"/>
      <c r="I34" s="1"/>
      <c r="J34" s="253"/>
      <c r="K34" s="253"/>
      <c r="L34" s="249"/>
      <c r="M34" s="250"/>
    </row>
    <row r="35" spans="1:13" x14ac:dyDescent="0.35">
      <c r="A35" s="80"/>
      <c r="B35" s="1"/>
      <c r="C35" s="1"/>
      <c r="D35" s="1"/>
      <c r="E35" s="1"/>
      <c r="F35" s="1"/>
      <c r="G35" s="1"/>
      <c r="H35" s="1"/>
      <c r="I35" s="1"/>
      <c r="J35" s="253"/>
      <c r="K35" s="253"/>
      <c r="L35" s="249"/>
      <c r="M35" s="250"/>
    </row>
    <row r="36" spans="1:13" ht="15" thickBot="1" x14ac:dyDescent="0.4">
      <c r="A36" s="62"/>
      <c r="B36" s="69"/>
      <c r="C36" s="69"/>
      <c r="D36" s="69"/>
      <c r="E36" s="69"/>
      <c r="F36" s="69"/>
      <c r="G36" s="69"/>
      <c r="H36" s="69"/>
      <c r="I36" s="69"/>
      <c r="J36" s="254"/>
      <c r="K36" s="254"/>
      <c r="L36" s="251"/>
      <c r="M36" s="252"/>
    </row>
    <row r="37" spans="1:13" ht="15" thickBot="1" x14ac:dyDescent="0.4">
      <c r="A37" s="154" t="s">
        <v>216</v>
      </c>
      <c r="B37" s="99"/>
      <c r="C37" s="240">
        <f>SUM(C33:C36)</f>
        <v>0</v>
      </c>
      <c r="H37" s="9"/>
      <c r="I37" s="9"/>
    </row>
    <row r="38" spans="1:13" ht="14.5" customHeight="1" x14ac:dyDescent="0.35">
      <c r="H38" s="9"/>
      <c r="I38" s="9"/>
    </row>
    <row r="39" spans="1:13" x14ac:dyDescent="0.35">
      <c r="A39" s="266" t="s">
        <v>81</v>
      </c>
      <c r="B39" s="266"/>
      <c r="C39" s="266"/>
      <c r="D39" s="266"/>
      <c r="E39" s="266"/>
      <c r="F39" s="266"/>
      <c r="G39" s="266"/>
      <c r="H39" s="266"/>
      <c r="I39" s="266"/>
      <c r="J39" s="266"/>
      <c r="K39" s="266"/>
      <c r="L39" s="266"/>
      <c r="M39" s="266"/>
    </row>
    <row r="40" spans="1:13" ht="9.65" customHeight="1" thickBot="1" x14ac:dyDescent="0.4"/>
    <row r="41" spans="1:13" x14ac:dyDescent="0.35">
      <c r="A41" s="207" t="s">
        <v>82</v>
      </c>
      <c r="B41" s="208" t="s">
        <v>83</v>
      </c>
      <c r="C41" s="152" t="s">
        <v>84</v>
      </c>
      <c r="F41" s="209" t="s">
        <v>85</v>
      </c>
      <c r="G41" s="208" t="s">
        <v>86</v>
      </c>
      <c r="H41" s="152" t="s">
        <v>84</v>
      </c>
      <c r="K41" s="209" t="s">
        <v>85</v>
      </c>
      <c r="L41" s="208" t="s">
        <v>86</v>
      </c>
      <c r="M41" s="152" t="s">
        <v>84</v>
      </c>
    </row>
    <row r="42" spans="1:13" x14ac:dyDescent="0.35">
      <c r="A42" s="80"/>
      <c r="B42" s="1"/>
      <c r="C42" s="81"/>
      <c r="F42" s="80"/>
      <c r="G42" s="1"/>
      <c r="H42" s="81"/>
      <c r="K42" s="80"/>
      <c r="L42" s="1"/>
      <c r="M42" s="81"/>
    </row>
    <row r="43" spans="1:13" x14ac:dyDescent="0.35">
      <c r="A43" s="80"/>
      <c r="B43" s="1"/>
      <c r="C43" s="81"/>
      <c r="F43" s="80"/>
      <c r="G43" s="1"/>
      <c r="H43" s="81"/>
      <c r="K43" s="80"/>
      <c r="L43" s="1"/>
      <c r="M43" s="81"/>
    </row>
    <row r="44" spans="1:13" ht="15" thickBot="1" x14ac:dyDescent="0.4">
      <c r="A44" s="40"/>
      <c r="B44" s="69"/>
      <c r="C44" s="41"/>
      <c r="F44" s="40"/>
      <c r="G44" s="69"/>
      <c r="H44" s="41"/>
      <c r="K44" s="40"/>
      <c r="L44" s="69"/>
      <c r="M44" s="41"/>
    </row>
    <row r="46" spans="1:13" x14ac:dyDescent="0.35">
      <c r="A46" s="266" t="s">
        <v>87</v>
      </c>
      <c r="B46" s="266"/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</row>
    <row r="47" spans="1:13" ht="4.5" customHeight="1" thickBot="1" x14ac:dyDescent="0.4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</row>
    <row r="48" spans="1:13" x14ac:dyDescent="0.35">
      <c r="A48" s="185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1"/>
    </row>
    <row r="49" spans="1:13" x14ac:dyDescent="0.35">
      <c r="A49" s="186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8"/>
    </row>
    <row r="50" spans="1:13" x14ac:dyDescent="0.35">
      <c r="A50" s="186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8"/>
    </row>
    <row r="51" spans="1:13" x14ac:dyDescent="0.35">
      <c r="A51" s="186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8"/>
    </row>
    <row r="52" spans="1:13" x14ac:dyDescent="0.35">
      <c r="A52" s="186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8"/>
    </row>
    <row r="53" spans="1:13" ht="15" thickBot="1" x14ac:dyDescent="0.4">
      <c r="A53" s="189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1"/>
    </row>
  </sheetData>
  <mergeCells count="27">
    <mergeCell ref="A46:M46"/>
    <mergeCell ref="A2:M2"/>
    <mergeCell ref="A4:M4"/>
    <mergeCell ref="A19:M19"/>
    <mergeCell ref="M21:M22"/>
    <mergeCell ref="B21:B22"/>
    <mergeCell ref="E21:E22"/>
    <mergeCell ref="F21:F22"/>
    <mergeCell ref="G21:G22"/>
    <mergeCell ref="H21:H22"/>
    <mergeCell ref="D21:D22"/>
    <mergeCell ref="I21:L21"/>
    <mergeCell ref="A29:M29"/>
    <mergeCell ref="A39:M39"/>
    <mergeCell ref="E9:G9"/>
    <mergeCell ref="H9:J9"/>
    <mergeCell ref="K9:M9"/>
    <mergeCell ref="A27:G27"/>
    <mergeCell ref="C21:C22"/>
    <mergeCell ref="A21:A22"/>
    <mergeCell ref="L32:M32"/>
    <mergeCell ref="L33:M33"/>
    <mergeCell ref="L34:M34"/>
    <mergeCell ref="L35:M35"/>
    <mergeCell ref="L36:M36"/>
    <mergeCell ref="J33:J36"/>
    <mergeCell ref="K33:K36"/>
  </mergeCells>
  <pageMargins left="0.7" right="0.7" top="0.75" bottom="0.75" header="0.3" footer="0.3"/>
  <pageSetup paperSize="9" orientation="portrait" r:id="rId1"/>
  <headerFooter>
    <oddHeader>&amp;L&amp;"Aptos"&amp;10&amp;K000000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2C44-F7E2-4A0C-A8B1-E97913A8139A}">
  <dimension ref="A2:M26"/>
  <sheetViews>
    <sheetView showGridLines="0" zoomScale="89" workbookViewId="0">
      <selection activeCell="A19" sqref="A19"/>
    </sheetView>
  </sheetViews>
  <sheetFormatPr baseColWidth="10" defaultColWidth="11.453125" defaultRowHeight="14.5" x14ac:dyDescent="0.35"/>
  <cols>
    <col min="4" max="4" width="20.453125" customWidth="1"/>
    <col min="6" max="6" width="9.54296875" customWidth="1"/>
    <col min="10" max="10" width="12.453125" customWidth="1"/>
  </cols>
  <sheetData>
    <row r="2" spans="1:11" ht="18.5" x14ac:dyDescent="0.45">
      <c r="A2" s="267" t="s">
        <v>88</v>
      </c>
      <c r="B2" s="267"/>
      <c r="C2" s="267"/>
      <c r="D2" s="267"/>
      <c r="E2" s="267"/>
      <c r="F2" s="267"/>
      <c r="G2" s="267"/>
      <c r="H2" s="267"/>
      <c r="I2" s="267"/>
      <c r="J2" s="267"/>
      <c r="K2" s="105"/>
    </row>
    <row r="3" spans="1:11" ht="7.5" customHeight="1" thickBot="1" x14ac:dyDescent="0.4"/>
    <row r="4" spans="1:11" ht="41.15" customHeight="1" thickBot="1" x14ac:dyDescent="0.4">
      <c r="A4" s="210" t="s">
        <v>89</v>
      </c>
      <c r="B4" s="211" t="s">
        <v>64</v>
      </c>
      <c r="C4" s="90" t="s">
        <v>71</v>
      </c>
      <c r="D4" s="212" t="s">
        <v>90</v>
      </c>
      <c r="E4" s="206" t="s">
        <v>91</v>
      </c>
      <c r="F4" s="90" t="s">
        <v>92</v>
      </c>
      <c r="G4" s="90" t="s">
        <v>93</v>
      </c>
      <c r="H4" s="90" t="s">
        <v>94</v>
      </c>
      <c r="I4" s="90" t="s">
        <v>95</v>
      </c>
      <c r="J4" s="91" t="s">
        <v>96</v>
      </c>
    </row>
    <row r="5" spans="1:11" ht="14.5" customHeight="1" thickBot="1" x14ac:dyDescent="0.4">
      <c r="A5" s="310"/>
      <c r="B5" s="313"/>
      <c r="C5" s="313"/>
      <c r="D5" s="181"/>
      <c r="E5" s="42"/>
      <c r="F5" s="42"/>
      <c r="G5" s="42"/>
      <c r="H5" s="42"/>
      <c r="I5" s="42"/>
      <c r="J5" s="39" t="e">
        <f>I5/$I$15</f>
        <v>#DIV/0!</v>
      </c>
    </row>
    <row r="6" spans="1:11" ht="15" thickBot="1" x14ac:dyDescent="0.4">
      <c r="A6" s="311"/>
      <c r="B6" s="314"/>
      <c r="C6" s="314"/>
      <c r="D6" s="182"/>
      <c r="E6" s="1"/>
      <c r="F6" s="1"/>
      <c r="G6" s="1"/>
      <c r="H6" s="1"/>
      <c r="I6" s="1"/>
      <c r="J6" s="39" t="e">
        <f t="shared" ref="J6:J14" si="0">I6/$I$15</f>
        <v>#DIV/0!</v>
      </c>
    </row>
    <row r="7" spans="1:11" ht="15" thickBot="1" x14ac:dyDescent="0.4">
      <c r="A7" s="311"/>
      <c r="B7" s="314"/>
      <c r="C7" s="314"/>
      <c r="D7" s="182"/>
      <c r="E7" s="1"/>
      <c r="F7" s="1"/>
      <c r="G7" s="1"/>
      <c r="H7" s="1"/>
      <c r="I7" s="1"/>
      <c r="J7" s="39" t="e">
        <f t="shared" si="0"/>
        <v>#DIV/0!</v>
      </c>
    </row>
    <row r="8" spans="1:11" ht="15" thickBot="1" x14ac:dyDescent="0.4">
      <c r="A8" s="311"/>
      <c r="B8" s="314"/>
      <c r="C8" s="314"/>
      <c r="D8" s="182"/>
      <c r="E8" s="1"/>
      <c r="F8" s="1"/>
      <c r="G8" s="1"/>
      <c r="H8" s="1"/>
      <c r="I8" s="1"/>
      <c r="J8" s="39" t="e">
        <f t="shared" si="0"/>
        <v>#DIV/0!</v>
      </c>
    </row>
    <row r="9" spans="1:11" ht="15" thickBot="1" x14ac:dyDescent="0.4">
      <c r="A9" s="311"/>
      <c r="B9" s="314"/>
      <c r="C9" s="314"/>
      <c r="D9" s="183"/>
      <c r="E9" s="2"/>
      <c r="F9" s="2"/>
      <c r="G9" s="2"/>
      <c r="H9" s="2"/>
      <c r="I9" s="2"/>
      <c r="J9" s="39" t="e">
        <f t="shared" si="0"/>
        <v>#DIV/0!</v>
      </c>
    </row>
    <row r="10" spans="1:11" ht="15" thickBot="1" x14ac:dyDescent="0.4">
      <c r="A10" s="310"/>
      <c r="B10" s="313"/>
      <c r="C10" s="313"/>
      <c r="D10" s="181"/>
      <c r="E10" s="42"/>
      <c r="F10" s="42"/>
      <c r="G10" s="42"/>
      <c r="H10" s="42"/>
      <c r="I10" s="42"/>
      <c r="J10" s="39" t="e">
        <f t="shared" si="0"/>
        <v>#DIV/0!</v>
      </c>
    </row>
    <row r="11" spans="1:11" ht="15" thickBot="1" x14ac:dyDescent="0.4">
      <c r="A11" s="311"/>
      <c r="B11" s="314"/>
      <c r="C11" s="314"/>
      <c r="D11" s="182"/>
      <c r="E11" s="1"/>
      <c r="F11" s="1"/>
      <c r="G11" s="1"/>
      <c r="H11" s="1"/>
      <c r="I11" s="1"/>
      <c r="J11" s="39" t="e">
        <f t="shared" si="0"/>
        <v>#DIV/0!</v>
      </c>
    </row>
    <row r="12" spans="1:11" ht="15" thickBot="1" x14ac:dyDescent="0.4">
      <c r="A12" s="311"/>
      <c r="B12" s="314"/>
      <c r="C12" s="314"/>
      <c r="D12" s="182"/>
      <c r="E12" s="1"/>
      <c r="F12" s="1"/>
      <c r="G12" s="1"/>
      <c r="H12" s="1"/>
      <c r="I12" s="1"/>
      <c r="J12" s="39" t="e">
        <f t="shared" si="0"/>
        <v>#DIV/0!</v>
      </c>
    </row>
    <row r="13" spans="1:11" ht="15" thickBot="1" x14ac:dyDescent="0.4">
      <c r="A13" s="311"/>
      <c r="B13" s="314"/>
      <c r="C13" s="314"/>
      <c r="D13" s="182"/>
      <c r="E13" s="1"/>
      <c r="F13" s="1"/>
      <c r="G13" s="1"/>
      <c r="H13" s="1"/>
      <c r="I13" s="1"/>
      <c r="J13" s="39" t="e">
        <f t="shared" si="0"/>
        <v>#DIV/0!</v>
      </c>
    </row>
    <row r="14" spans="1:11" ht="15" thickBot="1" x14ac:dyDescent="0.4">
      <c r="A14" s="312"/>
      <c r="B14" s="315"/>
      <c r="C14" s="315"/>
      <c r="D14" s="184"/>
      <c r="E14" s="69"/>
      <c r="F14" s="69"/>
      <c r="G14" s="69"/>
      <c r="H14" s="69"/>
      <c r="I14" s="69"/>
      <c r="J14" s="39" t="e">
        <f t="shared" si="0"/>
        <v>#DIV/0!</v>
      </c>
    </row>
    <row r="15" spans="1:11" x14ac:dyDescent="0.35">
      <c r="A15" t="s">
        <v>97</v>
      </c>
      <c r="C15">
        <f>SUM(C5:C14)</f>
        <v>0</v>
      </c>
      <c r="G15">
        <f>SUM(G5:G14)</f>
        <v>0</v>
      </c>
      <c r="H15">
        <f>SUM(H5:H14)</f>
        <v>0</v>
      </c>
      <c r="I15">
        <f>SUM(I5:I14)</f>
        <v>0</v>
      </c>
      <c r="J15" t="e">
        <f>SUM(J5:J14)</f>
        <v>#DIV/0!</v>
      </c>
    </row>
    <row r="17" spans="1:13" x14ac:dyDescent="0.35">
      <c r="A17" s="266" t="s">
        <v>98</v>
      </c>
      <c r="B17" s="266"/>
      <c r="C17" s="266"/>
      <c r="D17" s="266"/>
      <c r="E17" s="266"/>
      <c r="F17" s="266"/>
      <c r="G17" s="266"/>
      <c r="H17" s="266"/>
      <c r="I17" s="266"/>
      <c r="J17" s="266"/>
      <c r="K17" s="9"/>
      <c r="L17" s="9"/>
      <c r="M17" s="9"/>
    </row>
    <row r="18" spans="1:13" ht="6.65" customHeight="1" thickBot="1" x14ac:dyDescent="0.4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</row>
    <row r="19" spans="1:13" x14ac:dyDescent="0.35">
      <c r="A19" s="185"/>
      <c r="B19" s="60"/>
      <c r="C19" s="60"/>
      <c r="D19" s="60"/>
      <c r="E19" s="60"/>
      <c r="F19" s="60"/>
      <c r="G19" s="60"/>
      <c r="H19" s="60"/>
      <c r="I19" s="60"/>
      <c r="J19" s="61"/>
    </row>
    <row r="20" spans="1:13" x14ac:dyDescent="0.35">
      <c r="A20" s="186"/>
      <c r="B20" s="187"/>
      <c r="C20" s="187"/>
      <c r="D20" s="187"/>
      <c r="E20" s="187"/>
      <c r="F20" s="187"/>
      <c r="G20" s="187"/>
      <c r="H20" s="187"/>
      <c r="I20" s="187"/>
      <c r="J20" s="188"/>
    </row>
    <row r="21" spans="1:13" x14ac:dyDescent="0.35">
      <c r="A21" s="186"/>
      <c r="B21" s="187"/>
      <c r="C21" s="187"/>
      <c r="D21" s="187"/>
      <c r="E21" s="187"/>
      <c r="F21" s="187"/>
      <c r="G21" s="187"/>
      <c r="H21" s="187"/>
      <c r="I21" s="187"/>
      <c r="J21" s="188"/>
    </row>
    <row r="22" spans="1:13" x14ac:dyDescent="0.35">
      <c r="A22" s="186"/>
      <c r="B22" s="187"/>
      <c r="C22" s="187"/>
      <c r="D22" s="187"/>
      <c r="E22" s="187"/>
      <c r="F22" s="187"/>
      <c r="G22" s="187"/>
      <c r="H22" s="187"/>
      <c r="I22" s="187"/>
      <c r="J22" s="188"/>
    </row>
    <row r="23" spans="1:13" x14ac:dyDescent="0.35">
      <c r="A23" s="186"/>
      <c r="B23" s="187"/>
      <c r="C23" s="187"/>
      <c r="D23" s="187"/>
      <c r="E23" s="187"/>
      <c r="F23" s="187"/>
      <c r="G23" s="187"/>
      <c r="H23" s="187"/>
      <c r="I23" s="187"/>
      <c r="J23" s="188"/>
    </row>
    <row r="24" spans="1:13" ht="15" thickBot="1" x14ac:dyDescent="0.4">
      <c r="A24" s="189"/>
      <c r="B24" s="190"/>
      <c r="C24" s="190"/>
      <c r="D24" s="190"/>
      <c r="E24" s="190"/>
      <c r="F24" s="190"/>
      <c r="G24" s="190"/>
      <c r="H24" s="190"/>
      <c r="I24" s="190"/>
      <c r="J24" s="191"/>
    </row>
    <row r="26" spans="1:13" x14ac:dyDescent="0.35">
      <c r="I26" s="213"/>
    </row>
  </sheetData>
  <mergeCells count="8">
    <mergeCell ref="A10:A14"/>
    <mergeCell ref="B10:B14"/>
    <mergeCell ref="C10:C14"/>
    <mergeCell ref="A17:J17"/>
    <mergeCell ref="A2:J2"/>
    <mergeCell ref="A5:A9"/>
    <mergeCell ref="B5:B9"/>
    <mergeCell ref="C5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F519-838D-457C-92E2-C3824BBBB04F}">
  <dimension ref="A2:J42"/>
  <sheetViews>
    <sheetView showGridLines="0" topLeftCell="A13" zoomScale="95" workbookViewId="0">
      <selection activeCell="C17" sqref="C17"/>
    </sheetView>
  </sheetViews>
  <sheetFormatPr baseColWidth="10" defaultColWidth="11.453125" defaultRowHeight="14.5" x14ac:dyDescent="0.35"/>
  <cols>
    <col min="1" max="1" width="26.453125" customWidth="1"/>
    <col min="2" max="2" width="19.453125" customWidth="1"/>
    <col min="3" max="3" width="16.81640625" customWidth="1"/>
    <col min="4" max="4" width="15.81640625" customWidth="1"/>
    <col min="5" max="5" width="19.26953125" customWidth="1"/>
    <col min="6" max="6" width="14.453125" customWidth="1"/>
    <col min="7" max="7" width="14.81640625" customWidth="1"/>
    <col min="8" max="8" width="14.26953125" customWidth="1"/>
    <col min="9" max="9" width="17.453125" customWidth="1"/>
    <col min="10" max="10" width="20.54296875" customWidth="1"/>
    <col min="11" max="11" width="13.453125" customWidth="1"/>
    <col min="12" max="12" width="13.26953125" customWidth="1"/>
  </cols>
  <sheetData>
    <row r="2" spans="1:10" ht="18.5" x14ac:dyDescent="0.35">
      <c r="A2" s="281" t="s">
        <v>99</v>
      </c>
      <c r="B2" s="281"/>
      <c r="C2" s="281"/>
      <c r="D2" s="281"/>
      <c r="E2" s="281"/>
      <c r="F2" s="281"/>
      <c r="G2" s="281"/>
      <c r="H2" s="281"/>
      <c r="I2" s="281"/>
      <c r="J2" s="281"/>
    </row>
    <row r="4" spans="1:10" x14ac:dyDescent="0.35">
      <c r="A4" s="266" t="s">
        <v>100</v>
      </c>
      <c r="B4" s="266"/>
      <c r="C4" s="266"/>
      <c r="D4" s="266"/>
      <c r="E4" s="266"/>
      <c r="F4" s="266"/>
      <c r="G4" s="266"/>
      <c r="H4" s="266"/>
      <c r="I4" s="266"/>
      <c r="J4" s="266"/>
    </row>
    <row r="5" spans="1:10" ht="7" customHeight="1" thickBot="1" x14ac:dyDescent="0.4">
      <c r="A5" s="135"/>
      <c r="B5" s="135"/>
      <c r="C5" s="135"/>
      <c r="D5" s="135"/>
      <c r="E5" s="135"/>
      <c r="F5" s="135"/>
      <c r="G5" s="135"/>
      <c r="H5" s="135"/>
      <c r="I5" s="135"/>
      <c r="J5" s="135"/>
    </row>
    <row r="6" spans="1:10" ht="15" thickBot="1" x14ac:dyDescent="0.4">
      <c r="A6" s="88" t="s">
        <v>101</v>
      </c>
      <c r="B6" s="88" t="s">
        <v>102</v>
      </c>
      <c r="C6" s="96" t="s">
        <v>103</v>
      </c>
      <c r="D6" s="96" t="s">
        <v>71</v>
      </c>
      <c r="E6" s="96" t="s">
        <v>104</v>
      </c>
      <c r="F6" s="96" t="s">
        <v>53</v>
      </c>
      <c r="G6" s="88" t="s">
        <v>105</v>
      </c>
      <c r="H6" s="88" t="s">
        <v>106</v>
      </c>
      <c r="I6" s="88" t="s">
        <v>84</v>
      </c>
      <c r="J6" s="96" t="s">
        <v>107</v>
      </c>
    </row>
    <row r="7" spans="1:10" x14ac:dyDescent="0.35">
      <c r="A7" s="72"/>
      <c r="B7" s="72"/>
      <c r="C7" s="72"/>
      <c r="D7" s="72"/>
      <c r="E7" s="77"/>
      <c r="F7" s="72"/>
      <c r="G7" s="77"/>
      <c r="H7" s="77"/>
      <c r="I7" s="77"/>
      <c r="J7" s="72"/>
    </row>
    <row r="8" spans="1:10" x14ac:dyDescent="0.35">
      <c r="A8" s="73"/>
      <c r="B8" s="73"/>
      <c r="C8" s="73"/>
      <c r="D8" s="73"/>
      <c r="E8" s="78"/>
      <c r="F8" s="73"/>
      <c r="G8" s="78"/>
      <c r="H8" s="78"/>
      <c r="I8" s="78"/>
      <c r="J8" s="73"/>
    </row>
    <row r="9" spans="1:10" x14ac:dyDescent="0.35">
      <c r="A9" s="73"/>
      <c r="B9" s="73"/>
      <c r="C9" s="73"/>
      <c r="D9" s="73"/>
      <c r="E9" s="78"/>
      <c r="F9" s="73"/>
      <c r="G9" s="78"/>
      <c r="H9" s="78"/>
      <c r="I9" s="78"/>
      <c r="J9" s="73"/>
    </row>
    <row r="10" spans="1:10" ht="15" thickBot="1" x14ac:dyDescent="0.4">
      <c r="A10" s="74"/>
      <c r="B10" s="74"/>
      <c r="C10" s="74"/>
      <c r="D10" s="74"/>
      <c r="E10" s="79"/>
      <c r="F10" s="74"/>
      <c r="G10" s="79"/>
      <c r="H10" s="79"/>
      <c r="I10" s="79"/>
      <c r="J10" s="74"/>
    </row>
    <row r="11" spans="1:10" ht="15" thickBot="1" x14ac:dyDescent="0.4">
      <c r="A11" s="321" t="s">
        <v>216</v>
      </c>
      <c r="B11" s="322"/>
      <c r="C11" s="323"/>
      <c r="D11" s="76">
        <f>SUM(D7:D10)</f>
        <v>0</v>
      </c>
    </row>
    <row r="12" spans="1:10" x14ac:dyDescent="0.35">
      <c r="B12" s="48"/>
      <c r="C12" s="48"/>
      <c r="D12" s="48"/>
      <c r="E12" s="9"/>
    </row>
    <row r="13" spans="1:10" x14ac:dyDescent="0.35">
      <c r="A13" s="266" t="s">
        <v>108</v>
      </c>
      <c r="B13" s="266"/>
      <c r="C13" s="266"/>
      <c r="D13" s="266"/>
      <c r="E13" s="266"/>
      <c r="F13" s="266"/>
      <c r="G13" s="266"/>
      <c r="H13" s="266"/>
      <c r="I13" s="266"/>
      <c r="J13" s="266"/>
    </row>
    <row r="14" spans="1:10" ht="6.5" customHeight="1" thickBot="1" x14ac:dyDescent="0.4">
      <c r="B14" s="9"/>
    </row>
    <row r="15" spans="1:10" ht="29.5" thickBot="1" x14ac:dyDescent="0.4">
      <c r="A15" s="9" t="s">
        <v>109</v>
      </c>
      <c r="B15" s="92" t="s">
        <v>110</v>
      </c>
      <c r="C15" s="93" t="s">
        <v>111</v>
      </c>
      <c r="D15" s="94" t="s">
        <v>16</v>
      </c>
      <c r="E15" s="93" t="s">
        <v>112</v>
      </c>
      <c r="F15" s="93" t="s">
        <v>113</v>
      </c>
      <c r="G15" s="93" t="s">
        <v>114</v>
      </c>
      <c r="H15" s="93" t="s">
        <v>115</v>
      </c>
      <c r="I15" s="93" t="s">
        <v>116</v>
      </c>
      <c r="J15" s="95" t="s">
        <v>117</v>
      </c>
    </row>
    <row r="16" spans="1:10" x14ac:dyDescent="0.35">
      <c r="A16" s="131"/>
      <c r="B16" s="38"/>
      <c r="C16" s="42"/>
      <c r="D16" s="42">
        <f>SUM(B16:C16)</f>
        <v>0</v>
      </c>
      <c r="E16" s="82"/>
      <c r="F16" s="38"/>
      <c r="G16" s="42"/>
      <c r="H16" s="42"/>
      <c r="I16" s="42"/>
      <c r="J16" s="39"/>
    </row>
    <row r="17" spans="1:10" x14ac:dyDescent="0.35">
      <c r="A17" s="132"/>
      <c r="B17" s="80"/>
      <c r="C17" s="1"/>
      <c r="D17" s="1">
        <f t="shared" ref="D17:D19" si="0">SUM(B17:C17)</f>
        <v>0</v>
      </c>
      <c r="E17" s="4"/>
      <c r="F17" s="80"/>
      <c r="G17" s="1"/>
      <c r="H17" s="1"/>
      <c r="I17" s="1"/>
      <c r="J17" s="81"/>
    </row>
    <row r="18" spans="1:10" x14ac:dyDescent="0.35">
      <c r="A18" s="132"/>
      <c r="B18" s="80"/>
      <c r="C18" s="1"/>
      <c r="D18" s="1">
        <f t="shared" si="0"/>
        <v>0</v>
      </c>
      <c r="E18" s="4"/>
      <c r="F18" s="80"/>
      <c r="G18" s="1"/>
      <c r="H18" s="1"/>
      <c r="I18" s="1"/>
      <c r="J18" s="81"/>
    </row>
    <row r="19" spans="1:10" ht="15" thickBot="1" x14ac:dyDescent="0.4">
      <c r="A19" s="133"/>
      <c r="B19" s="40"/>
      <c r="C19" s="69"/>
      <c r="D19" s="3">
        <f t="shared" si="0"/>
        <v>0</v>
      </c>
      <c r="E19" s="83"/>
      <c r="F19" s="40"/>
      <c r="G19" s="69"/>
      <c r="H19" s="69"/>
      <c r="I19" s="69"/>
      <c r="J19" s="41"/>
    </row>
    <row r="20" spans="1:10" ht="15" thickBot="1" x14ac:dyDescent="0.4">
      <c r="A20" s="134" t="s">
        <v>118</v>
      </c>
      <c r="B20" s="85">
        <f>SUM(B16:B19)</f>
        <v>0</v>
      </c>
      <c r="C20" s="85">
        <f>SUM(C16:C19)</f>
        <v>0</v>
      </c>
      <c r="D20" s="85">
        <f>SUM(D16:D19)</f>
        <v>0</v>
      </c>
      <c r="E20" s="86"/>
      <c r="F20" s="85">
        <f>SUM(F16:F19)</f>
        <v>0</v>
      </c>
      <c r="G20" s="85">
        <f>SUM(G16:G19)</f>
        <v>0</v>
      </c>
      <c r="H20" s="85">
        <f>SUM(H16:H19)</f>
        <v>0</v>
      </c>
      <c r="I20" s="85">
        <f>SUM(I16:I19)</f>
        <v>0</v>
      </c>
      <c r="J20" s="238">
        <f>SUM(J16:J19)</f>
        <v>0</v>
      </c>
    </row>
    <row r="21" spans="1:10" ht="15" thickBot="1" x14ac:dyDescent="0.4">
      <c r="A21" s="130" t="s">
        <v>119</v>
      </c>
      <c r="B21" s="172">
        <v>1</v>
      </c>
      <c r="C21" s="173"/>
      <c r="D21" s="173"/>
      <c r="E21" s="174"/>
      <c r="F21" s="87"/>
      <c r="G21" s="173"/>
      <c r="H21" s="173"/>
      <c r="I21" s="173"/>
      <c r="J21" s="175"/>
    </row>
    <row r="22" spans="1:10" ht="15" thickBot="1" x14ac:dyDescent="0.4"/>
    <row r="23" spans="1:10" x14ac:dyDescent="0.35">
      <c r="A23" s="59" t="s">
        <v>218</v>
      </c>
      <c r="B23" s="60"/>
      <c r="C23" s="60"/>
      <c r="D23" s="60"/>
      <c r="E23" s="60"/>
      <c r="F23" s="60"/>
      <c r="G23" s="60"/>
      <c r="H23" s="60"/>
      <c r="I23" s="60"/>
      <c r="J23" s="61"/>
    </row>
    <row r="24" spans="1:10" x14ac:dyDescent="0.35">
      <c r="A24" s="186"/>
      <c r="B24" s="401"/>
      <c r="C24" s="401"/>
      <c r="D24" s="401"/>
      <c r="E24" s="401"/>
      <c r="F24" s="401"/>
      <c r="G24" s="401"/>
      <c r="H24" s="401"/>
      <c r="I24" s="401"/>
      <c r="J24" s="188"/>
    </row>
    <row r="25" spans="1:10" x14ac:dyDescent="0.35">
      <c r="A25" s="186"/>
      <c r="B25" s="401"/>
      <c r="C25" s="401"/>
      <c r="D25" s="401"/>
      <c r="E25" s="401"/>
      <c r="F25" s="401"/>
      <c r="G25" s="401"/>
      <c r="H25" s="401"/>
      <c r="I25" s="401"/>
      <c r="J25" s="188"/>
    </row>
    <row r="26" spans="1:10" ht="15" thickBot="1" x14ac:dyDescent="0.4">
      <c r="A26" s="189"/>
      <c r="B26" s="190"/>
      <c r="C26" s="190"/>
      <c r="D26" s="190"/>
      <c r="E26" s="190"/>
      <c r="F26" s="190"/>
      <c r="G26" s="190"/>
      <c r="H26" s="190"/>
      <c r="I26" s="190"/>
      <c r="J26" s="191"/>
    </row>
    <row r="28" spans="1:10" x14ac:dyDescent="0.35">
      <c r="A28" s="266" t="s">
        <v>120</v>
      </c>
      <c r="B28" s="266"/>
      <c r="C28" s="266"/>
      <c r="D28" s="266"/>
      <c r="E28" s="266"/>
      <c r="F28" s="266"/>
      <c r="G28" s="266"/>
      <c r="H28" s="266"/>
      <c r="I28" s="266"/>
      <c r="J28" s="266"/>
    </row>
    <row r="29" spans="1:10" ht="9.5" customHeight="1" thickBot="1" x14ac:dyDescent="0.4">
      <c r="B29" s="9"/>
    </row>
    <row r="30" spans="1:10" ht="44" thickBot="1" x14ac:dyDescent="0.4">
      <c r="A30" s="88" t="s">
        <v>101</v>
      </c>
      <c r="B30" s="89" t="s">
        <v>121</v>
      </c>
      <c r="C30" s="90" t="s">
        <v>122</v>
      </c>
      <c r="D30" s="90" t="s">
        <v>123</v>
      </c>
      <c r="E30" s="90" t="s">
        <v>124</v>
      </c>
      <c r="F30" s="90" t="s">
        <v>125</v>
      </c>
      <c r="G30" s="90" t="s">
        <v>126</v>
      </c>
      <c r="H30" s="90" t="s">
        <v>127</v>
      </c>
      <c r="I30" s="90" t="s">
        <v>128</v>
      </c>
      <c r="J30" s="91" t="s">
        <v>129</v>
      </c>
    </row>
    <row r="31" spans="1:10" x14ac:dyDescent="0.35">
      <c r="A31" s="72"/>
      <c r="B31" s="38"/>
      <c r="C31" s="42"/>
      <c r="D31" s="42"/>
      <c r="E31" s="42"/>
      <c r="F31" s="42"/>
      <c r="G31" s="42"/>
      <c r="H31" s="42"/>
      <c r="I31" s="42"/>
      <c r="J31" s="39"/>
    </row>
    <row r="32" spans="1:10" x14ac:dyDescent="0.35">
      <c r="A32" s="73"/>
      <c r="B32" s="80"/>
      <c r="C32" s="1"/>
      <c r="D32" s="1"/>
      <c r="E32" s="1"/>
      <c r="F32" s="1"/>
      <c r="G32" s="1"/>
      <c r="H32" s="1"/>
      <c r="I32" s="1"/>
      <c r="J32" s="81"/>
    </row>
    <row r="33" spans="1:10" x14ac:dyDescent="0.35">
      <c r="A33" s="73"/>
      <c r="B33" s="80"/>
      <c r="C33" s="1"/>
      <c r="D33" s="1"/>
      <c r="E33" s="1"/>
      <c r="F33" s="1"/>
      <c r="G33" s="1"/>
      <c r="H33" s="1"/>
      <c r="I33" s="1"/>
      <c r="J33" s="81"/>
    </row>
    <row r="34" spans="1:10" ht="15" thickBot="1" x14ac:dyDescent="0.4">
      <c r="A34" s="74"/>
      <c r="B34" s="40"/>
      <c r="C34" s="69"/>
      <c r="D34" s="69"/>
      <c r="E34" s="69"/>
      <c r="F34" s="69"/>
      <c r="G34" s="69"/>
      <c r="H34" s="69"/>
      <c r="I34" s="69"/>
      <c r="J34" s="41"/>
    </row>
    <row r="36" spans="1:10" x14ac:dyDescent="0.35">
      <c r="A36" s="266" t="s">
        <v>130</v>
      </c>
      <c r="B36" s="266"/>
      <c r="C36" s="266"/>
      <c r="D36" s="266"/>
      <c r="E36" s="266"/>
      <c r="F36" s="266"/>
      <c r="G36" s="266"/>
      <c r="H36" s="266"/>
      <c r="I36" s="266"/>
      <c r="J36" s="266"/>
    </row>
    <row r="37" spans="1:10" ht="10" customHeight="1" thickBot="1" x14ac:dyDescent="0.4">
      <c r="B37" s="9"/>
    </row>
    <row r="38" spans="1:10" ht="29.5" customHeight="1" thickBot="1" x14ac:dyDescent="0.4">
      <c r="A38" s="88" t="s">
        <v>101</v>
      </c>
      <c r="B38" s="89" t="s">
        <v>131</v>
      </c>
      <c r="C38" s="202" t="s">
        <v>132</v>
      </c>
      <c r="D38" s="88" t="s">
        <v>133</v>
      </c>
      <c r="E38" s="320" t="s">
        <v>134</v>
      </c>
      <c r="F38" s="318"/>
      <c r="G38" s="318" t="s">
        <v>135</v>
      </c>
      <c r="H38" s="318"/>
      <c r="I38" s="90" t="s">
        <v>136</v>
      </c>
      <c r="J38" s="91" t="s">
        <v>137</v>
      </c>
    </row>
    <row r="39" spans="1:10" x14ac:dyDescent="0.35">
      <c r="A39" s="179"/>
      <c r="B39" s="199"/>
      <c r="C39" s="3"/>
      <c r="D39" s="3"/>
      <c r="E39" s="319"/>
      <c r="F39" s="319"/>
      <c r="G39" s="319"/>
      <c r="H39" s="319"/>
      <c r="I39" s="3"/>
      <c r="J39" s="100"/>
    </row>
    <row r="40" spans="1:10" x14ac:dyDescent="0.35">
      <c r="A40" s="73"/>
      <c r="B40" s="200"/>
      <c r="C40" s="1"/>
      <c r="D40" s="1"/>
      <c r="E40" s="316"/>
      <c r="F40" s="316"/>
      <c r="G40" s="316"/>
      <c r="H40" s="316"/>
      <c r="I40" s="1"/>
      <c r="J40" s="81"/>
    </row>
    <row r="41" spans="1:10" x14ac:dyDescent="0.35">
      <c r="A41" s="73"/>
      <c r="B41" s="200"/>
      <c r="C41" s="1"/>
      <c r="D41" s="1"/>
      <c r="E41" s="316"/>
      <c r="F41" s="316"/>
      <c r="G41" s="316"/>
      <c r="H41" s="316"/>
      <c r="I41" s="1"/>
      <c r="J41" s="81"/>
    </row>
    <row r="42" spans="1:10" ht="15" thickBot="1" x14ac:dyDescent="0.4">
      <c r="A42" s="74"/>
      <c r="B42" s="201"/>
      <c r="C42" s="69"/>
      <c r="D42" s="69"/>
      <c r="E42" s="317"/>
      <c r="F42" s="317"/>
      <c r="G42" s="317"/>
      <c r="H42" s="317"/>
      <c r="I42" s="69"/>
      <c r="J42" s="41"/>
    </row>
  </sheetData>
  <mergeCells count="16">
    <mergeCell ref="A2:J2"/>
    <mergeCell ref="E41:F41"/>
    <mergeCell ref="E42:F42"/>
    <mergeCell ref="G38:H38"/>
    <mergeCell ref="G39:H39"/>
    <mergeCell ref="G40:H40"/>
    <mergeCell ref="G41:H41"/>
    <mergeCell ref="G42:H42"/>
    <mergeCell ref="E38:F38"/>
    <mergeCell ref="E39:F39"/>
    <mergeCell ref="E40:F40"/>
    <mergeCell ref="A4:J4"/>
    <mergeCell ref="A13:J13"/>
    <mergeCell ref="A28:J28"/>
    <mergeCell ref="A36:J36"/>
    <mergeCell ref="A11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89FC-B33F-4AFD-932A-8B5C2311636A}">
  <sheetPr>
    <pageSetUpPr fitToPage="1"/>
  </sheetPr>
  <dimension ref="A2:Q127"/>
  <sheetViews>
    <sheetView showGridLines="0" topLeftCell="A95" zoomScale="85" workbookViewId="0">
      <selection activeCell="A118" sqref="A118"/>
    </sheetView>
  </sheetViews>
  <sheetFormatPr baseColWidth="10" defaultColWidth="11.453125" defaultRowHeight="14.5" x14ac:dyDescent="0.35"/>
  <cols>
    <col min="1" max="1" width="14.7265625" customWidth="1"/>
    <col min="2" max="2" width="13.54296875" customWidth="1"/>
    <col min="3" max="3" width="11.81640625" customWidth="1"/>
  </cols>
  <sheetData>
    <row r="2" spans="1:14" x14ac:dyDescent="0.35">
      <c r="A2" s="334" t="s">
        <v>138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</row>
    <row r="3" spans="1:14" x14ac:dyDescent="0.35">
      <c r="A3" t="s">
        <v>139</v>
      </c>
      <c r="D3" s="1"/>
      <c r="E3" s="1"/>
    </row>
    <row r="4" spans="1:14" x14ac:dyDescent="0.35">
      <c r="A4" t="s">
        <v>140</v>
      </c>
      <c r="C4" t="s">
        <v>141</v>
      </c>
      <c r="D4" s="1" t="s">
        <v>142</v>
      </c>
      <c r="E4" s="1" t="s">
        <v>143</v>
      </c>
    </row>
    <row r="5" spans="1:14" x14ac:dyDescent="0.35">
      <c r="D5" s="1" t="s">
        <v>144</v>
      </c>
      <c r="E5" s="1" t="s">
        <v>144</v>
      </c>
    </row>
    <row r="6" spans="1:14" ht="15" thickBot="1" x14ac:dyDescent="0.4"/>
    <row r="7" spans="1:14" ht="15" thickBot="1" x14ac:dyDescent="0.4">
      <c r="B7" s="10"/>
      <c r="C7" s="10"/>
      <c r="D7" s="350" t="s">
        <v>145</v>
      </c>
      <c r="E7" s="351"/>
      <c r="F7" s="352" t="s">
        <v>205</v>
      </c>
      <c r="G7" s="353"/>
      <c r="H7" s="353"/>
      <c r="I7" s="353"/>
      <c r="J7" s="353"/>
      <c r="K7" s="353"/>
      <c r="L7" s="353"/>
      <c r="M7" s="353"/>
      <c r="N7" s="354"/>
    </row>
    <row r="8" spans="1:14" x14ac:dyDescent="0.35">
      <c r="A8" s="146" t="s">
        <v>146</v>
      </c>
      <c r="B8" s="147"/>
      <c r="C8" s="148"/>
      <c r="D8" s="21" t="s">
        <v>142</v>
      </c>
      <c r="E8" s="22" t="s">
        <v>147</v>
      </c>
      <c r="F8" s="21" t="s">
        <v>143</v>
      </c>
      <c r="G8" s="25" t="s">
        <v>32</v>
      </c>
      <c r="H8" s="25" t="s">
        <v>33</v>
      </c>
      <c r="I8" s="25" t="s">
        <v>34</v>
      </c>
      <c r="J8" s="25" t="s">
        <v>35</v>
      </c>
      <c r="K8" s="25" t="s">
        <v>36</v>
      </c>
      <c r="L8" s="25" t="s">
        <v>37</v>
      </c>
      <c r="M8" s="25" t="s">
        <v>38</v>
      </c>
      <c r="N8" s="22" t="s">
        <v>148</v>
      </c>
    </row>
    <row r="9" spans="1:14" ht="15" thickBot="1" x14ac:dyDescent="0.4">
      <c r="A9" s="149"/>
      <c r="B9" s="150"/>
      <c r="C9" s="151"/>
      <c r="D9" s="23" t="s">
        <v>149</v>
      </c>
      <c r="E9" s="24" t="s">
        <v>149</v>
      </c>
      <c r="F9" s="23" t="s">
        <v>150</v>
      </c>
      <c r="G9" s="144" t="s">
        <v>151</v>
      </c>
      <c r="H9" s="144"/>
      <c r="I9" s="144"/>
      <c r="J9" s="144"/>
      <c r="K9" s="144"/>
      <c r="L9" s="144"/>
      <c r="M9" s="144"/>
      <c r="N9" s="145"/>
    </row>
    <row r="10" spans="1:14" x14ac:dyDescent="0.35">
      <c r="A10" s="140" t="s">
        <v>152</v>
      </c>
      <c r="B10" s="141"/>
      <c r="C10" s="141"/>
      <c r="D10" s="30"/>
      <c r="E10" s="14"/>
      <c r="F10" s="27"/>
      <c r="G10" s="13"/>
      <c r="H10" s="13"/>
      <c r="I10" s="13"/>
      <c r="J10" s="13"/>
      <c r="K10" s="13"/>
      <c r="L10" s="13"/>
      <c r="M10" s="13"/>
      <c r="N10" s="14"/>
    </row>
    <row r="11" spans="1:14" x14ac:dyDescent="0.35">
      <c r="A11" s="142" t="s">
        <v>71</v>
      </c>
      <c r="B11" s="143"/>
      <c r="C11" s="143"/>
      <c r="D11" s="71"/>
      <c r="E11" s="15"/>
      <c r="F11" s="28"/>
      <c r="G11" s="12"/>
      <c r="H11" s="12"/>
      <c r="I11" s="12"/>
      <c r="J11" s="12"/>
      <c r="K11" s="12"/>
      <c r="L11" s="12"/>
      <c r="M11" s="12"/>
      <c r="N11" s="15"/>
    </row>
    <row r="12" spans="1:14" x14ac:dyDescent="0.35">
      <c r="A12" s="34" t="s">
        <v>153</v>
      </c>
      <c r="D12" s="31"/>
      <c r="E12" s="17"/>
      <c r="F12" s="5"/>
      <c r="G12" s="6"/>
      <c r="H12" s="6"/>
      <c r="I12" s="6"/>
      <c r="J12" s="6"/>
      <c r="K12" s="6"/>
      <c r="L12" s="6"/>
      <c r="M12" s="6"/>
      <c r="N12" s="17"/>
    </row>
    <row r="13" spans="1:14" x14ac:dyDescent="0.35">
      <c r="A13" s="34" t="s">
        <v>154</v>
      </c>
      <c r="D13" s="31"/>
      <c r="E13" s="17"/>
      <c r="F13" s="5"/>
      <c r="G13" s="6"/>
      <c r="H13" s="6"/>
      <c r="I13" s="6"/>
      <c r="J13" s="6"/>
      <c r="K13" s="6"/>
      <c r="L13" s="6"/>
      <c r="M13" s="6"/>
      <c r="N13" s="17"/>
    </row>
    <row r="14" spans="1:14" x14ac:dyDescent="0.35">
      <c r="A14" s="34" t="s">
        <v>155</v>
      </c>
      <c r="D14" s="31"/>
      <c r="E14" s="17"/>
      <c r="F14" s="5"/>
      <c r="G14" s="6"/>
      <c r="H14" s="6"/>
      <c r="I14" s="6"/>
      <c r="J14" s="6"/>
      <c r="K14" s="6"/>
      <c r="L14" s="6"/>
      <c r="M14" s="6"/>
      <c r="N14" s="17"/>
    </row>
    <row r="15" spans="1:14" x14ac:dyDescent="0.35">
      <c r="A15" s="34" t="s">
        <v>156</v>
      </c>
      <c r="D15" s="31"/>
      <c r="E15" s="17"/>
      <c r="F15" s="5"/>
      <c r="G15" s="6"/>
      <c r="H15" s="6"/>
      <c r="I15" s="6"/>
      <c r="J15" s="6"/>
      <c r="K15" s="6"/>
      <c r="L15" s="6"/>
      <c r="M15" s="6"/>
      <c r="N15" s="17"/>
    </row>
    <row r="16" spans="1:14" x14ac:dyDescent="0.35">
      <c r="A16" s="34" t="s">
        <v>157</v>
      </c>
      <c r="D16" s="31"/>
      <c r="E16" s="17"/>
      <c r="F16" s="5"/>
      <c r="G16" s="6"/>
      <c r="H16" s="6"/>
      <c r="I16" s="6"/>
      <c r="J16" s="6"/>
      <c r="K16" s="6"/>
      <c r="L16" s="6"/>
      <c r="M16" s="6"/>
      <c r="N16" s="17"/>
    </row>
    <row r="17" spans="1:14" x14ac:dyDescent="0.35">
      <c r="A17" s="34" t="s">
        <v>158</v>
      </c>
      <c r="D17" s="31"/>
      <c r="E17" s="17"/>
      <c r="F17" s="5"/>
      <c r="G17" s="6"/>
      <c r="H17" s="6"/>
      <c r="I17" s="6"/>
      <c r="J17" s="6"/>
      <c r="K17" s="6"/>
      <c r="L17" s="6"/>
      <c r="M17" s="6"/>
      <c r="N17" s="17"/>
    </row>
    <row r="18" spans="1:14" x14ac:dyDescent="0.35">
      <c r="A18" s="138" t="s">
        <v>159</v>
      </c>
      <c r="B18" s="139"/>
      <c r="C18" s="139"/>
      <c r="D18" s="32"/>
      <c r="E18" s="18"/>
      <c r="F18" s="7"/>
      <c r="G18" s="8"/>
      <c r="H18" s="8"/>
      <c r="I18" s="8"/>
      <c r="J18" s="8"/>
      <c r="K18" s="8"/>
      <c r="L18" s="8"/>
      <c r="M18" s="8"/>
      <c r="N18" s="18"/>
    </row>
    <row r="19" spans="1:14" ht="15" thickBot="1" x14ac:dyDescent="0.4">
      <c r="A19" s="136" t="s">
        <v>160</v>
      </c>
      <c r="B19" s="137"/>
      <c r="C19" s="137"/>
      <c r="D19" s="33"/>
      <c r="E19" s="20"/>
      <c r="F19" s="29"/>
      <c r="G19" s="19"/>
      <c r="H19" s="19"/>
      <c r="I19" s="19"/>
      <c r="J19" s="19"/>
      <c r="K19" s="19"/>
      <c r="L19" s="19"/>
      <c r="M19" s="19"/>
      <c r="N19" s="20"/>
    </row>
    <row r="20" spans="1:14" x14ac:dyDescent="0.35">
      <c r="A20" s="140" t="s">
        <v>152</v>
      </c>
      <c r="B20" s="141"/>
      <c r="C20" s="141"/>
      <c r="D20" s="30"/>
      <c r="E20" s="14"/>
      <c r="F20" s="27"/>
      <c r="G20" s="13"/>
      <c r="H20" s="13"/>
      <c r="I20" s="13"/>
      <c r="J20" s="13"/>
      <c r="K20" s="13"/>
      <c r="L20" s="13"/>
      <c r="M20" s="13"/>
      <c r="N20" s="14"/>
    </row>
    <row r="21" spans="1:14" x14ac:dyDescent="0.35">
      <c r="A21" s="142" t="s">
        <v>71</v>
      </c>
      <c r="B21" s="143"/>
      <c r="C21" s="143"/>
      <c r="D21" s="71"/>
      <c r="E21" s="15"/>
      <c r="F21" s="28"/>
      <c r="G21" s="12"/>
      <c r="H21" s="12"/>
      <c r="I21" s="12"/>
      <c r="J21" s="12"/>
      <c r="K21" s="12"/>
      <c r="L21" s="12"/>
      <c r="M21" s="12"/>
      <c r="N21" s="15"/>
    </row>
    <row r="22" spans="1:14" x14ac:dyDescent="0.35">
      <c r="A22" s="34" t="s">
        <v>153</v>
      </c>
      <c r="D22" s="31"/>
      <c r="E22" s="17"/>
      <c r="F22" s="5"/>
      <c r="G22" s="6"/>
      <c r="H22" s="6"/>
      <c r="I22" s="6"/>
      <c r="J22" s="6"/>
      <c r="K22" s="6"/>
      <c r="L22" s="6"/>
      <c r="M22" s="6"/>
      <c r="N22" s="17"/>
    </row>
    <row r="23" spans="1:14" x14ac:dyDescent="0.35">
      <c r="A23" s="34" t="s">
        <v>154</v>
      </c>
      <c r="D23" s="31"/>
      <c r="E23" s="17"/>
      <c r="F23" s="5"/>
      <c r="G23" s="6"/>
      <c r="H23" s="6"/>
      <c r="I23" s="6"/>
      <c r="J23" s="6"/>
      <c r="K23" s="6"/>
      <c r="L23" s="6"/>
      <c r="M23" s="6"/>
      <c r="N23" s="17"/>
    </row>
    <row r="24" spans="1:14" x14ac:dyDescent="0.35">
      <c r="A24" s="34" t="s">
        <v>155</v>
      </c>
      <c r="D24" s="31"/>
      <c r="E24" s="17"/>
      <c r="F24" s="5"/>
      <c r="G24" s="6"/>
      <c r="H24" s="6"/>
      <c r="I24" s="6"/>
      <c r="J24" s="6"/>
      <c r="K24" s="6"/>
      <c r="L24" s="6"/>
      <c r="M24" s="6"/>
      <c r="N24" s="17"/>
    </row>
    <row r="25" spans="1:14" x14ac:dyDescent="0.35">
      <c r="A25" s="34" t="s">
        <v>156</v>
      </c>
      <c r="D25" s="31"/>
      <c r="E25" s="17"/>
      <c r="F25" s="5"/>
      <c r="G25" s="6"/>
      <c r="H25" s="6"/>
      <c r="I25" s="6"/>
      <c r="J25" s="6"/>
      <c r="K25" s="6"/>
      <c r="L25" s="6"/>
      <c r="M25" s="6"/>
      <c r="N25" s="17"/>
    </row>
    <row r="26" spans="1:14" x14ac:dyDescent="0.35">
      <c r="A26" s="34" t="s">
        <v>157</v>
      </c>
      <c r="D26" s="31"/>
      <c r="E26" s="17"/>
      <c r="F26" s="5"/>
      <c r="G26" s="6"/>
      <c r="H26" s="6"/>
      <c r="I26" s="6"/>
      <c r="J26" s="6"/>
      <c r="K26" s="6"/>
      <c r="L26" s="6"/>
      <c r="M26" s="6"/>
      <c r="N26" s="17"/>
    </row>
    <row r="27" spans="1:14" x14ac:dyDescent="0.35">
      <c r="A27" s="34" t="s">
        <v>158</v>
      </c>
      <c r="D27" s="31"/>
      <c r="E27" s="17"/>
      <c r="F27" s="5"/>
      <c r="G27" s="6"/>
      <c r="H27" s="6"/>
      <c r="I27" s="6"/>
      <c r="J27" s="6"/>
      <c r="K27" s="6"/>
      <c r="L27" s="6"/>
      <c r="M27" s="6"/>
      <c r="N27" s="17"/>
    </row>
    <row r="28" spans="1:14" x14ac:dyDescent="0.35">
      <c r="A28" s="138" t="s">
        <v>159</v>
      </c>
      <c r="B28" s="139"/>
      <c r="C28" s="139"/>
      <c r="D28" s="32"/>
      <c r="E28" s="18"/>
      <c r="F28" s="7"/>
      <c r="G28" s="8"/>
      <c r="H28" s="8"/>
      <c r="I28" s="8"/>
      <c r="J28" s="8"/>
      <c r="K28" s="8"/>
      <c r="L28" s="8"/>
      <c r="M28" s="8"/>
      <c r="N28" s="18"/>
    </row>
    <row r="29" spans="1:14" ht="15" thickBot="1" x14ac:dyDescent="0.4">
      <c r="A29" s="136" t="s">
        <v>160</v>
      </c>
      <c r="B29" s="137"/>
      <c r="C29" s="137"/>
      <c r="D29" s="33"/>
      <c r="E29" s="20"/>
      <c r="F29" s="29"/>
      <c r="G29" s="19"/>
      <c r="H29" s="19"/>
      <c r="I29" s="19"/>
      <c r="J29" s="19"/>
      <c r="K29" s="19"/>
      <c r="L29" s="19"/>
      <c r="M29" s="19"/>
      <c r="N29" s="20"/>
    </row>
    <row r="30" spans="1:14" x14ac:dyDescent="0.35">
      <c r="A30" s="140" t="s">
        <v>152</v>
      </c>
      <c r="B30" s="141"/>
      <c r="C30" s="141"/>
      <c r="D30" s="30"/>
      <c r="E30" s="14"/>
      <c r="F30" s="27"/>
      <c r="G30" s="13"/>
      <c r="H30" s="13"/>
      <c r="I30" s="13"/>
      <c r="J30" s="13"/>
      <c r="K30" s="13"/>
      <c r="L30" s="13"/>
      <c r="M30" s="13"/>
      <c r="N30" s="14"/>
    </row>
    <row r="31" spans="1:14" x14ac:dyDescent="0.35">
      <c r="A31" s="142" t="s">
        <v>71</v>
      </c>
      <c r="B31" s="143"/>
      <c r="C31" s="143"/>
      <c r="D31" s="71"/>
      <c r="E31" s="15"/>
      <c r="F31" s="28"/>
      <c r="G31" s="12"/>
      <c r="H31" s="12"/>
      <c r="I31" s="12"/>
      <c r="J31" s="12"/>
      <c r="K31" s="12"/>
      <c r="L31" s="12"/>
      <c r="M31" s="12"/>
      <c r="N31" s="15"/>
    </row>
    <row r="32" spans="1:14" x14ac:dyDescent="0.35">
      <c r="A32" s="34" t="s">
        <v>153</v>
      </c>
      <c r="D32" s="31"/>
      <c r="E32" s="17"/>
      <c r="F32" s="5"/>
      <c r="G32" s="6"/>
      <c r="H32" s="6"/>
      <c r="I32" s="6"/>
      <c r="J32" s="6"/>
      <c r="K32" s="6"/>
      <c r="L32" s="6"/>
      <c r="M32" s="6"/>
      <c r="N32" s="17"/>
    </row>
    <row r="33" spans="1:14" x14ac:dyDescent="0.35">
      <c r="A33" s="34" t="s">
        <v>154</v>
      </c>
      <c r="D33" s="31"/>
      <c r="E33" s="17"/>
      <c r="F33" s="5"/>
      <c r="G33" s="6"/>
      <c r="H33" s="6"/>
      <c r="I33" s="6"/>
      <c r="J33" s="6"/>
      <c r="K33" s="6"/>
      <c r="L33" s="6"/>
      <c r="M33" s="6"/>
      <c r="N33" s="17"/>
    </row>
    <row r="34" spans="1:14" x14ac:dyDescent="0.35">
      <c r="A34" s="34" t="s">
        <v>155</v>
      </c>
      <c r="D34" s="31"/>
      <c r="E34" s="17"/>
      <c r="F34" s="5"/>
      <c r="G34" s="6"/>
      <c r="H34" s="6"/>
      <c r="I34" s="6"/>
      <c r="J34" s="6"/>
      <c r="K34" s="6"/>
      <c r="L34" s="6"/>
      <c r="M34" s="6"/>
      <c r="N34" s="17"/>
    </row>
    <row r="35" spans="1:14" x14ac:dyDescent="0.35">
      <c r="A35" s="34" t="s">
        <v>156</v>
      </c>
      <c r="D35" s="31"/>
      <c r="E35" s="17"/>
      <c r="F35" s="5"/>
      <c r="G35" s="6"/>
      <c r="H35" s="6"/>
      <c r="I35" s="6"/>
      <c r="J35" s="6"/>
      <c r="K35" s="6"/>
      <c r="L35" s="6"/>
      <c r="M35" s="6"/>
      <c r="N35" s="17"/>
    </row>
    <row r="36" spans="1:14" x14ac:dyDescent="0.35">
      <c r="A36" s="34" t="s">
        <v>157</v>
      </c>
      <c r="D36" s="31"/>
      <c r="E36" s="17"/>
      <c r="F36" s="5"/>
      <c r="G36" s="6"/>
      <c r="H36" s="6"/>
      <c r="I36" s="6"/>
      <c r="J36" s="6"/>
      <c r="K36" s="6"/>
      <c r="L36" s="6"/>
      <c r="M36" s="6"/>
      <c r="N36" s="17"/>
    </row>
    <row r="37" spans="1:14" x14ac:dyDescent="0.35">
      <c r="A37" s="34" t="s">
        <v>158</v>
      </c>
      <c r="D37" s="31"/>
      <c r="E37" s="17"/>
      <c r="F37" s="5"/>
      <c r="G37" s="6"/>
      <c r="H37" s="6"/>
      <c r="I37" s="6"/>
      <c r="J37" s="6"/>
      <c r="K37" s="6"/>
      <c r="L37" s="6"/>
      <c r="M37" s="6"/>
      <c r="N37" s="17"/>
    </row>
    <row r="38" spans="1:14" x14ac:dyDescent="0.35">
      <c r="A38" s="138" t="s">
        <v>159</v>
      </c>
      <c r="B38" s="139"/>
      <c r="C38" s="139"/>
      <c r="D38" s="32"/>
      <c r="E38" s="18"/>
      <c r="F38" s="7"/>
      <c r="G38" s="8"/>
      <c r="H38" s="8"/>
      <c r="I38" s="8"/>
      <c r="J38" s="8"/>
      <c r="K38" s="8"/>
      <c r="L38" s="8"/>
      <c r="M38" s="8"/>
      <c r="N38" s="18"/>
    </row>
    <row r="39" spans="1:14" ht="15" thickBot="1" x14ac:dyDescent="0.4">
      <c r="A39" s="136" t="s">
        <v>160</v>
      </c>
      <c r="B39" s="137"/>
      <c r="C39" s="137"/>
      <c r="D39" s="33"/>
      <c r="E39" s="20"/>
      <c r="F39" s="29"/>
      <c r="G39" s="19"/>
      <c r="H39" s="19"/>
      <c r="I39" s="19"/>
      <c r="J39" s="19"/>
      <c r="K39" s="19"/>
      <c r="L39" s="19"/>
      <c r="M39" s="19"/>
      <c r="N39" s="20"/>
    </row>
    <row r="40" spans="1:14" x14ac:dyDescent="0.35">
      <c r="A40" s="140" t="s">
        <v>152</v>
      </c>
      <c r="B40" s="141"/>
      <c r="C40" s="141"/>
      <c r="D40" s="30"/>
      <c r="E40" s="14"/>
      <c r="F40" s="27"/>
      <c r="G40" s="13"/>
      <c r="H40" s="13"/>
      <c r="I40" s="13"/>
      <c r="J40" s="13"/>
      <c r="K40" s="13"/>
      <c r="L40" s="13"/>
      <c r="M40" s="13"/>
      <c r="N40" s="14"/>
    </row>
    <row r="41" spans="1:14" x14ac:dyDescent="0.35">
      <c r="A41" s="142" t="s">
        <v>71</v>
      </c>
      <c r="B41" s="143"/>
      <c r="C41" s="143"/>
      <c r="D41" s="71"/>
      <c r="E41" s="15"/>
      <c r="F41" s="28"/>
      <c r="G41" s="12"/>
      <c r="H41" s="12"/>
      <c r="I41" s="12"/>
      <c r="J41" s="12"/>
      <c r="K41" s="12"/>
      <c r="L41" s="12"/>
      <c r="M41" s="12"/>
      <c r="N41" s="15"/>
    </row>
    <row r="42" spans="1:14" x14ac:dyDescent="0.35">
      <c r="A42" s="34" t="s">
        <v>153</v>
      </c>
      <c r="D42" s="31"/>
      <c r="E42" s="17"/>
      <c r="F42" s="5"/>
      <c r="G42" s="6"/>
      <c r="H42" s="6"/>
      <c r="I42" s="6"/>
      <c r="J42" s="6"/>
      <c r="K42" s="6"/>
      <c r="L42" s="6"/>
      <c r="M42" s="6"/>
      <c r="N42" s="17"/>
    </row>
    <row r="43" spans="1:14" x14ac:dyDescent="0.35">
      <c r="A43" s="34" t="s">
        <v>154</v>
      </c>
      <c r="D43" s="31"/>
      <c r="E43" s="17"/>
      <c r="F43" s="5"/>
      <c r="G43" s="6"/>
      <c r="H43" s="6"/>
      <c r="I43" s="6"/>
      <c r="J43" s="6"/>
      <c r="K43" s="6"/>
      <c r="L43" s="6"/>
      <c r="M43" s="6"/>
      <c r="N43" s="17"/>
    </row>
    <row r="44" spans="1:14" x14ac:dyDescent="0.35">
      <c r="A44" s="34" t="s">
        <v>155</v>
      </c>
      <c r="D44" s="31"/>
      <c r="E44" s="17"/>
      <c r="F44" s="5"/>
      <c r="G44" s="6"/>
      <c r="H44" s="6"/>
      <c r="I44" s="6"/>
      <c r="J44" s="6"/>
      <c r="K44" s="6"/>
      <c r="L44" s="6"/>
      <c r="M44" s="6"/>
      <c r="N44" s="17"/>
    </row>
    <row r="45" spans="1:14" x14ac:dyDescent="0.35">
      <c r="A45" s="34" t="s">
        <v>156</v>
      </c>
      <c r="D45" s="31"/>
      <c r="E45" s="17"/>
      <c r="F45" s="5"/>
      <c r="G45" s="6"/>
      <c r="H45" s="6"/>
      <c r="I45" s="6"/>
      <c r="J45" s="6"/>
      <c r="K45" s="6"/>
      <c r="L45" s="6"/>
      <c r="M45" s="6"/>
      <c r="N45" s="17"/>
    </row>
    <row r="46" spans="1:14" x14ac:dyDescent="0.35">
      <c r="A46" s="34" t="s">
        <v>157</v>
      </c>
      <c r="D46" s="31"/>
      <c r="E46" s="17"/>
      <c r="F46" s="5"/>
      <c r="G46" s="6"/>
      <c r="H46" s="6"/>
      <c r="I46" s="6"/>
      <c r="J46" s="6"/>
      <c r="K46" s="6"/>
      <c r="L46" s="6"/>
      <c r="M46" s="6"/>
      <c r="N46" s="17"/>
    </row>
    <row r="47" spans="1:14" x14ac:dyDescent="0.35">
      <c r="A47" s="34" t="s">
        <v>158</v>
      </c>
      <c r="D47" s="31"/>
      <c r="E47" s="17"/>
      <c r="F47" s="5"/>
      <c r="G47" s="6"/>
      <c r="H47" s="6"/>
      <c r="I47" s="6"/>
      <c r="J47" s="6"/>
      <c r="K47" s="6"/>
      <c r="L47" s="6"/>
      <c r="M47" s="6"/>
      <c r="N47" s="17"/>
    </row>
    <row r="48" spans="1:14" x14ac:dyDescent="0.35">
      <c r="A48" s="138" t="s">
        <v>159</v>
      </c>
      <c r="B48" s="139"/>
      <c r="C48" s="139"/>
      <c r="D48" s="32"/>
      <c r="E48" s="18"/>
      <c r="F48" s="7"/>
      <c r="G48" s="8"/>
      <c r="H48" s="8"/>
      <c r="I48" s="8"/>
      <c r="J48" s="8"/>
      <c r="K48" s="8"/>
      <c r="L48" s="8"/>
      <c r="M48" s="8"/>
      <c r="N48" s="18"/>
    </row>
    <row r="49" spans="1:14" ht="15" thickBot="1" x14ac:dyDescent="0.4">
      <c r="A49" s="136" t="s">
        <v>160</v>
      </c>
      <c r="B49" s="137"/>
      <c r="C49" s="137"/>
      <c r="D49" s="33"/>
      <c r="E49" s="20"/>
      <c r="F49" s="29"/>
      <c r="G49" s="19"/>
      <c r="H49" s="19"/>
      <c r="I49" s="19"/>
      <c r="J49" s="19"/>
      <c r="K49" s="19"/>
      <c r="L49" s="19"/>
      <c r="M49" s="19"/>
      <c r="N49" s="20"/>
    </row>
    <row r="50" spans="1:14" x14ac:dyDescent="0.35">
      <c r="A50" s="143"/>
      <c r="B50" s="143"/>
      <c r="C50" s="143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 x14ac:dyDescent="0.35">
      <c r="A51" s="143"/>
      <c r="B51" s="143"/>
      <c r="C51" s="143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 x14ac:dyDescent="0.35">
      <c r="A52" s="143"/>
      <c r="B52" s="143"/>
      <c r="C52" s="143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 ht="15" thickBot="1" x14ac:dyDescent="0.4"/>
    <row r="54" spans="1:14" x14ac:dyDescent="0.35">
      <c r="D54" s="21" t="s">
        <v>142</v>
      </c>
      <c r="E54" s="22" t="s">
        <v>147</v>
      </c>
      <c r="F54" s="21" t="s">
        <v>143</v>
      </c>
      <c r="G54" s="25" t="s">
        <v>32</v>
      </c>
      <c r="H54" s="25" t="s">
        <v>33</v>
      </c>
      <c r="I54" s="25" t="s">
        <v>34</v>
      </c>
      <c r="J54" s="25" t="s">
        <v>35</v>
      </c>
      <c r="K54" s="25" t="s">
        <v>36</v>
      </c>
      <c r="L54" s="25" t="s">
        <v>37</v>
      </c>
      <c r="M54" s="25" t="s">
        <v>38</v>
      </c>
      <c r="N54" s="22" t="s">
        <v>148</v>
      </c>
    </row>
    <row r="55" spans="1:14" ht="15" thickBot="1" x14ac:dyDescent="0.4">
      <c r="A55" s="9" t="s">
        <v>161</v>
      </c>
      <c r="D55" s="23" t="s">
        <v>149</v>
      </c>
      <c r="E55" s="24" t="s">
        <v>149</v>
      </c>
      <c r="F55" s="344" t="s">
        <v>151</v>
      </c>
      <c r="G55" s="345"/>
      <c r="H55" s="345"/>
      <c r="I55" s="345"/>
      <c r="J55" s="345"/>
      <c r="K55" s="345"/>
      <c r="L55" s="345"/>
      <c r="M55" s="345"/>
      <c r="N55" s="346"/>
    </row>
    <row r="56" spans="1:14" x14ac:dyDescent="0.35">
      <c r="A56" s="347" t="s">
        <v>71</v>
      </c>
      <c r="B56" s="348"/>
      <c r="C56" s="349"/>
      <c r="D56" s="53">
        <f>SUM(D57:D60)</f>
        <v>0</v>
      </c>
      <c r="E56" s="223">
        <f>SUM(E57:E60)</f>
        <v>0</v>
      </c>
      <c r="F56" s="53">
        <f t="shared" ref="F56:N56" si="0">SUM(F57:F60)</f>
        <v>0</v>
      </c>
      <c r="G56" s="55">
        <f t="shared" si="0"/>
        <v>0</v>
      </c>
      <c r="H56" s="55">
        <f t="shared" si="0"/>
        <v>0</v>
      </c>
      <c r="I56" s="55">
        <f t="shared" si="0"/>
        <v>0</v>
      </c>
      <c r="J56" s="55">
        <f t="shared" si="0"/>
        <v>0</v>
      </c>
      <c r="K56" s="55">
        <f t="shared" si="0"/>
        <v>0</v>
      </c>
      <c r="L56" s="55">
        <f t="shared" si="0"/>
        <v>0</v>
      </c>
      <c r="M56" s="55">
        <f t="shared" si="0"/>
        <v>0</v>
      </c>
      <c r="N56" s="54">
        <f t="shared" si="0"/>
        <v>0</v>
      </c>
    </row>
    <row r="57" spans="1:14" x14ac:dyDescent="0.35">
      <c r="A57" s="16"/>
      <c r="B57" s="11"/>
      <c r="C57" s="49"/>
      <c r="D57" s="31">
        <f>D11</f>
        <v>0</v>
      </c>
      <c r="E57" s="5">
        <f t="shared" ref="E57:N57" si="1">E11</f>
        <v>0</v>
      </c>
      <c r="F57" s="31">
        <f>F11</f>
        <v>0</v>
      </c>
      <c r="G57" s="6">
        <f t="shared" si="1"/>
        <v>0</v>
      </c>
      <c r="H57" s="6">
        <f t="shared" si="1"/>
        <v>0</v>
      </c>
      <c r="I57" s="6">
        <f t="shared" si="1"/>
        <v>0</v>
      </c>
      <c r="J57" s="6">
        <f t="shared" si="1"/>
        <v>0</v>
      </c>
      <c r="K57" s="6">
        <f t="shared" si="1"/>
        <v>0</v>
      </c>
      <c r="L57" s="6">
        <f t="shared" si="1"/>
        <v>0</v>
      </c>
      <c r="M57" s="6">
        <f t="shared" si="1"/>
        <v>0</v>
      </c>
      <c r="N57" s="17">
        <f t="shared" si="1"/>
        <v>0</v>
      </c>
    </row>
    <row r="58" spans="1:14" x14ac:dyDescent="0.35">
      <c r="A58" s="16"/>
      <c r="B58" s="11"/>
      <c r="C58" s="49"/>
      <c r="D58" s="31">
        <f>D21</f>
        <v>0</v>
      </c>
      <c r="E58" s="5">
        <f t="shared" ref="E58:N58" si="2">E21</f>
        <v>0</v>
      </c>
      <c r="F58" s="31">
        <f>F21</f>
        <v>0</v>
      </c>
      <c r="G58" s="6">
        <f t="shared" si="2"/>
        <v>0</v>
      </c>
      <c r="H58" s="6">
        <f t="shared" si="2"/>
        <v>0</v>
      </c>
      <c r="I58" s="6">
        <f t="shared" si="2"/>
        <v>0</v>
      </c>
      <c r="J58" s="6">
        <f t="shared" si="2"/>
        <v>0</v>
      </c>
      <c r="K58" s="6">
        <f t="shared" si="2"/>
        <v>0</v>
      </c>
      <c r="L58" s="6">
        <f t="shared" si="2"/>
        <v>0</v>
      </c>
      <c r="M58" s="6">
        <f t="shared" si="2"/>
        <v>0</v>
      </c>
      <c r="N58" s="17">
        <f t="shared" si="2"/>
        <v>0</v>
      </c>
    </row>
    <row r="59" spans="1:14" x14ac:dyDescent="0.35">
      <c r="A59" s="16"/>
      <c r="B59" s="11"/>
      <c r="C59" s="49"/>
      <c r="D59" s="31">
        <f>D31</f>
        <v>0</v>
      </c>
      <c r="E59" s="5">
        <f t="shared" ref="E59:N59" si="3">E31</f>
        <v>0</v>
      </c>
      <c r="F59" s="31">
        <f t="shared" si="3"/>
        <v>0</v>
      </c>
      <c r="G59" s="6">
        <f t="shared" si="3"/>
        <v>0</v>
      </c>
      <c r="H59" s="6">
        <f t="shared" si="3"/>
        <v>0</v>
      </c>
      <c r="I59" s="6">
        <f t="shared" si="3"/>
        <v>0</v>
      </c>
      <c r="J59" s="6">
        <f t="shared" si="3"/>
        <v>0</v>
      </c>
      <c r="K59" s="6">
        <f t="shared" si="3"/>
        <v>0</v>
      </c>
      <c r="L59" s="6">
        <f t="shared" si="3"/>
        <v>0</v>
      </c>
      <c r="M59" s="6">
        <f t="shared" si="3"/>
        <v>0</v>
      </c>
      <c r="N59" s="17">
        <f t="shared" si="3"/>
        <v>0</v>
      </c>
    </row>
    <row r="60" spans="1:14" x14ac:dyDescent="0.35">
      <c r="A60" s="16"/>
      <c r="B60" s="11"/>
      <c r="C60" s="49"/>
      <c r="D60" s="31">
        <f>D41</f>
        <v>0</v>
      </c>
      <c r="E60" s="5">
        <f t="shared" ref="E60:N60" si="4">E41</f>
        <v>0</v>
      </c>
      <c r="F60" s="31">
        <f t="shared" si="4"/>
        <v>0</v>
      </c>
      <c r="G60" s="6">
        <f t="shared" si="4"/>
        <v>0</v>
      </c>
      <c r="H60" s="6">
        <f t="shared" si="4"/>
        <v>0</v>
      </c>
      <c r="I60" s="6">
        <f t="shared" si="4"/>
        <v>0</v>
      </c>
      <c r="J60" s="6">
        <f t="shared" si="4"/>
        <v>0</v>
      </c>
      <c r="K60" s="6">
        <f t="shared" si="4"/>
        <v>0</v>
      </c>
      <c r="L60" s="6">
        <f t="shared" si="4"/>
        <v>0</v>
      </c>
      <c r="M60" s="6">
        <f t="shared" si="4"/>
        <v>0</v>
      </c>
      <c r="N60" s="17">
        <f t="shared" si="4"/>
        <v>0</v>
      </c>
    </row>
    <row r="61" spans="1:14" x14ac:dyDescent="0.35">
      <c r="A61" s="328" t="s">
        <v>162</v>
      </c>
      <c r="B61" s="329"/>
      <c r="C61" s="330"/>
      <c r="D61" s="56">
        <f>SUM(D62:D65)</f>
        <v>0</v>
      </c>
      <c r="E61" s="224">
        <f t="shared" ref="E61:N61" si="5">SUM(E62:E65)</f>
        <v>0</v>
      </c>
      <c r="F61" s="56">
        <f t="shared" si="5"/>
        <v>0</v>
      </c>
      <c r="G61" s="58">
        <f t="shared" si="5"/>
        <v>0</v>
      </c>
      <c r="H61" s="58">
        <f t="shared" si="5"/>
        <v>0</v>
      </c>
      <c r="I61" s="58">
        <f t="shared" si="5"/>
        <v>0</v>
      </c>
      <c r="J61" s="58">
        <f t="shared" si="5"/>
        <v>0</v>
      </c>
      <c r="K61" s="58">
        <f t="shared" si="5"/>
        <v>0</v>
      </c>
      <c r="L61" s="58">
        <f t="shared" si="5"/>
        <v>0</v>
      </c>
      <c r="M61" s="58">
        <f t="shared" si="5"/>
        <v>0</v>
      </c>
      <c r="N61" s="57">
        <f t="shared" si="5"/>
        <v>0</v>
      </c>
    </row>
    <row r="62" spans="1:14" x14ac:dyDescent="0.35">
      <c r="A62" s="16"/>
      <c r="B62" s="11"/>
      <c r="C62" s="49"/>
      <c r="D62" s="31">
        <f>D17</f>
        <v>0</v>
      </c>
      <c r="E62" s="5">
        <f t="shared" ref="E62:N62" si="6">E17</f>
        <v>0</v>
      </c>
      <c r="F62" s="31">
        <f t="shared" si="6"/>
        <v>0</v>
      </c>
      <c r="G62" s="6">
        <f t="shared" si="6"/>
        <v>0</v>
      </c>
      <c r="H62" s="6">
        <f t="shared" si="6"/>
        <v>0</v>
      </c>
      <c r="I62" s="6">
        <f t="shared" si="6"/>
        <v>0</v>
      </c>
      <c r="J62" s="6">
        <f t="shared" si="6"/>
        <v>0</v>
      </c>
      <c r="K62" s="6">
        <f t="shared" si="6"/>
        <v>0</v>
      </c>
      <c r="L62" s="6">
        <f t="shared" si="6"/>
        <v>0</v>
      </c>
      <c r="M62" s="6">
        <f t="shared" si="6"/>
        <v>0</v>
      </c>
      <c r="N62" s="17">
        <f t="shared" si="6"/>
        <v>0</v>
      </c>
    </row>
    <row r="63" spans="1:14" x14ac:dyDescent="0.35">
      <c r="A63" s="16"/>
      <c r="B63" s="11"/>
      <c r="C63" s="49"/>
      <c r="D63" s="31">
        <f>D27</f>
        <v>0</v>
      </c>
      <c r="E63" s="5">
        <f t="shared" ref="E63:N63" si="7">E27</f>
        <v>0</v>
      </c>
      <c r="F63" s="31">
        <f t="shared" si="7"/>
        <v>0</v>
      </c>
      <c r="G63" s="6">
        <f t="shared" si="7"/>
        <v>0</v>
      </c>
      <c r="H63" s="6">
        <f t="shared" si="7"/>
        <v>0</v>
      </c>
      <c r="I63" s="6">
        <f t="shared" si="7"/>
        <v>0</v>
      </c>
      <c r="J63" s="6">
        <f t="shared" si="7"/>
        <v>0</v>
      </c>
      <c r="K63" s="6">
        <f t="shared" si="7"/>
        <v>0</v>
      </c>
      <c r="L63" s="6">
        <f t="shared" si="7"/>
        <v>0</v>
      </c>
      <c r="M63" s="6">
        <f t="shared" si="7"/>
        <v>0</v>
      </c>
      <c r="N63" s="17">
        <f t="shared" si="7"/>
        <v>0</v>
      </c>
    </row>
    <row r="64" spans="1:14" x14ac:dyDescent="0.35">
      <c r="A64" s="16"/>
      <c r="B64" s="11"/>
      <c r="C64" s="49"/>
      <c r="D64" s="31">
        <f>D37</f>
        <v>0</v>
      </c>
      <c r="E64" s="5">
        <f t="shared" ref="E64:N64" si="8">E37</f>
        <v>0</v>
      </c>
      <c r="F64" s="31">
        <f t="shared" si="8"/>
        <v>0</v>
      </c>
      <c r="G64" s="6">
        <f t="shared" si="8"/>
        <v>0</v>
      </c>
      <c r="H64" s="6">
        <f t="shared" si="8"/>
        <v>0</v>
      </c>
      <c r="I64" s="6">
        <f t="shared" si="8"/>
        <v>0</v>
      </c>
      <c r="J64" s="6">
        <f t="shared" si="8"/>
        <v>0</v>
      </c>
      <c r="K64" s="6">
        <f t="shared" si="8"/>
        <v>0</v>
      </c>
      <c r="L64" s="6">
        <f t="shared" si="8"/>
        <v>0</v>
      </c>
      <c r="M64" s="6">
        <f t="shared" si="8"/>
        <v>0</v>
      </c>
      <c r="N64" s="17">
        <f t="shared" si="8"/>
        <v>0</v>
      </c>
    </row>
    <row r="65" spans="1:15" x14ac:dyDescent="0.35">
      <c r="A65" s="16"/>
      <c r="B65" s="11"/>
      <c r="C65" s="49"/>
      <c r="D65" s="31">
        <f>D47</f>
        <v>0</v>
      </c>
      <c r="E65" s="5">
        <f t="shared" ref="E65:J65" si="9">E47</f>
        <v>0</v>
      </c>
      <c r="F65" s="31">
        <f t="shared" si="9"/>
        <v>0</v>
      </c>
      <c r="G65" s="6">
        <f t="shared" si="9"/>
        <v>0</v>
      </c>
      <c r="H65" s="6">
        <f t="shared" si="9"/>
        <v>0</v>
      </c>
      <c r="I65" s="6">
        <f t="shared" si="9"/>
        <v>0</v>
      </c>
      <c r="J65" s="6">
        <f t="shared" si="9"/>
        <v>0</v>
      </c>
      <c r="K65" s="6">
        <f>K47</f>
        <v>0</v>
      </c>
      <c r="L65" s="6">
        <f>L47</f>
        <v>0</v>
      </c>
      <c r="M65" s="6">
        <f>M47</f>
        <v>0</v>
      </c>
      <c r="N65" s="17">
        <f>N47</f>
        <v>0</v>
      </c>
    </row>
    <row r="66" spans="1:15" x14ac:dyDescent="0.35">
      <c r="A66" s="328" t="s">
        <v>163</v>
      </c>
      <c r="B66" s="329"/>
      <c r="C66" s="330"/>
      <c r="D66" s="56"/>
      <c r="E66" s="225"/>
      <c r="F66" s="56"/>
      <c r="G66" s="58"/>
      <c r="H66" s="58"/>
      <c r="I66" s="58"/>
      <c r="J66" s="58"/>
      <c r="K66" s="58"/>
      <c r="L66" s="58"/>
      <c r="M66" s="58"/>
      <c r="N66" s="57"/>
    </row>
    <row r="67" spans="1:15" x14ac:dyDescent="0.35">
      <c r="A67" s="50"/>
      <c r="B67" s="51"/>
      <c r="C67" s="52"/>
      <c r="D67" s="31">
        <f>IFERROR(D62/D57,0)</f>
        <v>0</v>
      </c>
      <c r="E67" s="5">
        <f t="shared" ref="E67:N67" si="10">IFERROR(E62/E57,0)</f>
        <v>0</v>
      </c>
      <c r="F67" s="31">
        <f t="shared" si="10"/>
        <v>0</v>
      </c>
      <c r="G67" s="6">
        <f t="shared" si="10"/>
        <v>0</v>
      </c>
      <c r="H67" s="6">
        <f t="shared" si="10"/>
        <v>0</v>
      </c>
      <c r="I67" s="6">
        <f t="shared" si="10"/>
        <v>0</v>
      </c>
      <c r="J67" s="6">
        <f t="shared" si="10"/>
        <v>0</v>
      </c>
      <c r="K67" s="6">
        <f t="shared" si="10"/>
        <v>0</v>
      </c>
      <c r="L67" s="6">
        <f t="shared" si="10"/>
        <v>0</v>
      </c>
      <c r="M67" s="6">
        <f t="shared" si="10"/>
        <v>0</v>
      </c>
      <c r="N67" s="35">
        <f t="shared" si="10"/>
        <v>0</v>
      </c>
    </row>
    <row r="68" spans="1:15" x14ac:dyDescent="0.35">
      <c r="A68" s="50"/>
      <c r="B68" s="51"/>
      <c r="C68" s="52"/>
      <c r="D68" s="31">
        <f>IFERROR(D63/D58,0)</f>
        <v>0</v>
      </c>
      <c r="E68" s="5">
        <f t="shared" ref="E68:N68" si="11">IFERROR(E63/E58,0)</f>
        <v>0</v>
      </c>
      <c r="F68" s="31">
        <f t="shared" si="11"/>
        <v>0</v>
      </c>
      <c r="G68" s="6">
        <f t="shared" si="11"/>
        <v>0</v>
      </c>
      <c r="H68" s="6">
        <f t="shared" si="11"/>
        <v>0</v>
      </c>
      <c r="I68" s="6">
        <f t="shared" si="11"/>
        <v>0</v>
      </c>
      <c r="J68" s="6">
        <f t="shared" si="11"/>
        <v>0</v>
      </c>
      <c r="K68" s="6">
        <f t="shared" si="11"/>
        <v>0</v>
      </c>
      <c r="L68" s="6">
        <f t="shared" si="11"/>
        <v>0</v>
      </c>
      <c r="M68" s="6">
        <f t="shared" si="11"/>
        <v>0</v>
      </c>
      <c r="N68" s="35">
        <f t="shared" si="11"/>
        <v>0</v>
      </c>
    </row>
    <row r="69" spans="1:15" x14ac:dyDescent="0.35">
      <c r="A69" s="50"/>
      <c r="B69" s="51"/>
      <c r="C69" s="52"/>
      <c r="D69" s="31">
        <f>IFERROR(D64/D59,0)</f>
        <v>0</v>
      </c>
      <c r="E69" s="5">
        <f t="shared" ref="E69:N69" si="12">IFERROR(E64/E59,0)</f>
        <v>0</v>
      </c>
      <c r="F69" s="31">
        <f t="shared" si="12"/>
        <v>0</v>
      </c>
      <c r="G69" s="6">
        <f t="shared" si="12"/>
        <v>0</v>
      </c>
      <c r="H69" s="6">
        <f t="shared" si="12"/>
        <v>0</v>
      </c>
      <c r="I69" s="6">
        <f t="shared" si="12"/>
        <v>0</v>
      </c>
      <c r="J69" s="6">
        <f t="shared" si="12"/>
        <v>0</v>
      </c>
      <c r="K69" s="6">
        <f t="shared" si="12"/>
        <v>0</v>
      </c>
      <c r="L69" s="6">
        <f t="shared" si="12"/>
        <v>0</v>
      </c>
      <c r="M69" s="6">
        <f t="shared" si="12"/>
        <v>0</v>
      </c>
      <c r="N69" s="35">
        <f t="shared" si="12"/>
        <v>0</v>
      </c>
      <c r="O69" s="5"/>
    </row>
    <row r="70" spans="1:15" x14ac:dyDescent="0.35">
      <c r="A70" s="50"/>
      <c r="B70" s="51"/>
      <c r="C70" s="52"/>
      <c r="D70" s="31">
        <f>IFERROR(D65/D60,0)</f>
        <v>0</v>
      </c>
      <c r="E70" s="5">
        <f t="shared" ref="E70:N70" si="13">IFERROR(E65/E60,0)</f>
        <v>0</v>
      </c>
      <c r="F70" s="31">
        <f t="shared" si="13"/>
        <v>0</v>
      </c>
      <c r="G70" s="6">
        <f t="shared" si="13"/>
        <v>0</v>
      </c>
      <c r="H70" s="6">
        <f t="shared" si="13"/>
        <v>0</v>
      </c>
      <c r="I70" s="6">
        <f t="shared" si="13"/>
        <v>0</v>
      </c>
      <c r="J70" s="6">
        <f t="shared" si="13"/>
        <v>0</v>
      </c>
      <c r="K70" s="6">
        <f t="shared" si="13"/>
        <v>0</v>
      </c>
      <c r="L70" s="6">
        <f t="shared" si="13"/>
        <v>0</v>
      </c>
      <c r="M70" s="6">
        <f t="shared" si="13"/>
        <v>0</v>
      </c>
      <c r="N70" s="35">
        <f t="shared" si="13"/>
        <v>0</v>
      </c>
    </row>
    <row r="71" spans="1:15" x14ac:dyDescent="0.35">
      <c r="A71" s="328" t="s">
        <v>164</v>
      </c>
      <c r="B71" s="329"/>
      <c r="C71" s="330"/>
      <c r="D71" s="56"/>
      <c r="E71" s="224"/>
      <c r="F71" s="56"/>
      <c r="G71" s="58"/>
      <c r="H71" s="58"/>
      <c r="I71" s="58"/>
      <c r="J71" s="58"/>
      <c r="K71" s="58"/>
      <c r="L71" s="58"/>
      <c r="M71" s="58"/>
      <c r="N71" s="57"/>
    </row>
    <row r="72" spans="1:15" x14ac:dyDescent="0.35">
      <c r="A72" s="50"/>
      <c r="B72" s="51"/>
      <c r="C72" s="52"/>
      <c r="D72" s="31">
        <f>((D12+D13)/2)</f>
        <v>0</v>
      </c>
      <c r="E72" s="5">
        <f t="shared" ref="E72:N72" si="14">((E12+E13)/2)</f>
        <v>0</v>
      </c>
      <c r="F72" s="31">
        <f t="shared" si="14"/>
        <v>0</v>
      </c>
      <c r="G72" s="6">
        <f t="shared" si="14"/>
        <v>0</v>
      </c>
      <c r="H72" s="6">
        <f t="shared" si="14"/>
        <v>0</v>
      </c>
      <c r="I72" s="6">
        <f t="shared" si="14"/>
        <v>0</v>
      </c>
      <c r="J72" s="6">
        <f t="shared" si="14"/>
        <v>0</v>
      </c>
      <c r="K72" s="6">
        <f t="shared" si="14"/>
        <v>0</v>
      </c>
      <c r="L72" s="6">
        <f t="shared" si="14"/>
        <v>0</v>
      </c>
      <c r="M72" s="6">
        <f t="shared" si="14"/>
        <v>0</v>
      </c>
      <c r="N72" s="17">
        <f t="shared" si="14"/>
        <v>0</v>
      </c>
    </row>
    <row r="73" spans="1:15" x14ac:dyDescent="0.35">
      <c r="A73" s="50"/>
      <c r="B73" s="51"/>
      <c r="C73" s="52"/>
      <c r="D73" s="31">
        <f>((D22+D23)/2)</f>
        <v>0</v>
      </c>
      <c r="E73" s="5">
        <f t="shared" ref="E73:N73" si="15">((E22+E23)/2)</f>
        <v>0</v>
      </c>
      <c r="F73" s="31">
        <f t="shared" si="15"/>
        <v>0</v>
      </c>
      <c r="G73" s="6">
        <f t="shared" si="15"/>
        <v>0</v>
      </c>
      <c r="H73" s="6">
        <f t="shared" si="15"/>
        <v>0</v>
      </c>
      <c r="I73" s="6">
        <f t="shared" si="15"/>
        <v>0</v>
      </c>
      <c r="J73" s="6">
        <f t="shared" si="15"/>
        <v>0</v>
      </c>
      <c r="K73" s="6">
        <f t="shared" si="15"/>
        <v>0</v>
      </c>
      <c r="L73" s="6">
        <f t="shared" si="15"/>
        <v>0</v>
      </c>
      <c r="M73" s="6">
        <f t="shared" si="15"/>
        <v>0</v>
      </c>
      <c r="N73" s="17">
        <f t="shared" si="15"/>
        <v>0</v>
      </c>
    </row>
    <row r="74" spans="1:15" x14ac:dyDescent="0.35">
      <c r="A74" s="50"/>
      <c r="B74" s="51"/>
      <c r="C74" s="52"/>
      <c r="D74" s="31">
        <f>((D32+D33)/2)</f>
        <v>0</v>
      </c>
      <c r="E74" s="5">
        <f t="shared" ref="E74:N74" si="16">((E32+E33)/2)</f>
        <v>0</v>
      </c>
      <c r="F74" s="31">
        <f t="shared" si="16"/>
        <v>0</v>
      </c>
      <c r="G74" s="6">
        <f t="shared" si="16"/>
        <v>0</v>
      </c>
      <c r="H74" s="6">
        <f t="shared" si="16"/>
        <v>0</v>
      </c>
      <c r="I74" s="6">
        <f t="shared" si="16"/>
        <v>0</v>
      </c>
      <c r="J74" s="6">
        <f t="shared" si="16"/>
        <v>0</v>
      </c>
      <c r="K74" s="6">
        <f t="shared" si="16"/>
        <v>0</v>
      </c>
      <c r="L74" s="6">
        <f t="shared" si="16"/>
        <v>0</v>
      </c>
      <c r="M74" s="6">
        <f t="shared" si="16"/>
        <v>0</v>
      </c>
      <c r="N74" s="17">
        <f t="shared" si="16"/>
        <v>0</v>
      </c>
    </row>
    <row r="75" spans="1:15" x14ac:dyDescent="0.35">
      <c r="A75" s="50"/>
      <c r="B75" s="51"/>
      <c r="C75" s="52"/>
      <c r="D75" s="31">
        <f>((D42+D43)/2)</f>
        <v>0</v>
      </c>
      <c r="E75" s="5">
        <f t="shared" ref="E75:N75" si="17">((E42+E43)/2)</f>
        <v>0</v>
      </c>
      <c r="F75" s="31">
        <f t="shared" si="17"/>
        <v>0</v>
      </c>
      <c r="G75" s="6">
        <f t="shared" si="17"/>
        <v>0</v>
      </c>
      <c r="H75" s="6">
        <f t="shared" si="17"/>
        <v>0</v>
      </c>
      <c r="I75" s="6">
        <f t="shared" si="17"/>
        <v>0</v>
      </c>
      <c r="J75" s="6">
        <f t="shared" si="17"/>
        <v>0</v>
      </c>
      <c r="K75" s="6">
        <f t="shared" si="17"/>
        <v>0</v>
      </c>
      <c r="L75" s="6">
        <f t="shared" si="17"/>
        <v>0</v>
      </c>
      <c r="M75" s="6">
        <f t="shared" si="17"/>
        <v>0</v>
      </c>
      <c r="N75" s="17">
        <f t="shared" si="17"/>
        <v>0</v>
      </c>
    </row>
    <row r="76" spans="1:15" x14ac:dyDescent="0.35">
      <c r="A76" s="328" t="s">
        <v>165</v>
      </c>
      <c r="B76" s="329"/>
      <c r="C76" s="330"/>
      <c r="D76" s="56"/>
      <c r="E76" s="224"/>
      <c r="F76" s="56"/>
      <c r="G76" s="58"/>
      <c r="H76" s="58"/>
      <c r="I76" s="58"/>
      <c r="J76" s="58"/>
      <c r="K76" s="58"/>
      <c r="L76" s="58"/>
      <c r="M76" s="58"/>
      <c r="N76" s="57"/>
    </row>
    <row r="77" spans="1:15" x14ac:dyDescent="0.35">
      <c r="A77" s="50"/>
      <c r="B77" s="51"/>
      <c r="C77" s="52"/>
      <c r="D77" s="31">
        <f>D16</f>
        <v>0</v>
      </c>
      <c r="E77" s="5">
        <f>E16</f>
        <v>0</v>
      </c>
      <c r="F77" s="31">
        <f t="shared" ref="F77:N77" si="18">F16</f>
        <v>0</v>
      </c>
      <c r="G77" s="6">
        <f t="shared" si="18"/>
        <v>0</v>
      </c>
      <c r="H77" s="6">
        <f t="shared" si="18"/>
        <v>0</v>
      </c>
      <c r="I77" s="6">
        <f t="shared" si="18"/>
        <v>0</v>
      </c>
      <c r="J77" s="6">
        <f t="shared" si="18"/>
        <v>0</v>
      </c>
      <c r="K77" s="6">
        <f t="shared" si="18"/>
        <v>0</v>
      </c>
      <c r="L77" s="6">
        <f t="shared" si="18"/>
        <v>0</v>
      </c>
      <c r="M77" s="6">
        <f t="shared" si="18"/>
        <v>0</v>
      </c>
      <c r="N77" s="17">
        <f t="shared" si="18"/>
        <v>0</v>
      </c>
    </row>
    <row r="78" spans="1:15" x14ac:dyDescent="0.35">
      <c r="A78" s="50"/>
      <c r="B78" s="51"/>
      <c r="C78" s="52"/>
      <c r="D78" s="31">
        <f>D26</f>
        <v>0</v>
      </c>
      <c r="E78" s="5">
        <f t="shared" ref="E78:N78" si="19">E26</f>
        <v>0</v>
      </c>
      <c r="F78" s="31">
        <f t="shared" si="19"/>
        <v>0</v>
      </c>
      <c r="G78" s="6">
        <f t="shared" si="19"/>
        <v>0</v>
      </c>
      <c r="H78" s="6">
        <f t="shared" si="19"/>
        <v>0</v>
      </c>
      <c r="I78" s="6">
        <f t="shared" si="19"/>
        <v>0</v>
      </c>
      <c r="J78" s="6">
        <f t="shared" si="19"/>
        <v>0</v>
      </c>
      <c r="K78" s="6">
        <f t="shared" si="19"/>
        <v>0</v>
      </c>
      <c r="L78" s="6">
        <f t="shared" si="19"/>
        <v>0</v>
      </c>
      <c r="M78" s="6">
        <f t="shared" si="19"/>
        <v>0</v>
      </c>
      <c r="N78" s="17">
        <f t="shared" si="19"/>
        <v>0</v>
      </c>
    </row>
    <row r="79" spans="1:15" x14ac:dyDescent="0.35">
      <c r="A79" s="50"/>
      <c r="B79" s="51"/>
      <c r="C79" s="52"/>
      <c r="D79" s="31">
        <f>D36</f>
        <v>0</v>
      </c>
      <c r="E79" s="5">
        <f t="shared" ref="E79:N79" si="20">E36</f>
        <v>0</v>
      </c>
      <c r="F79" s="31">
        <f t="shared" si="20"/>
        <v>0</v>
      </c>
      <c r="G79" s="6">
        <f t="shared" si="20"/>
        <v>0</v>
      </c>
      <c r="H79" s="6">
        <f t="shared" si="20"/>
        <v>0</v>
      </c>
      <c r="I79" s="6">
        <f t="shared" si="20"/>
        <v>0</v>
      </c>
      <c r="J79" s="6">
        <f t="shared" si="20"/>
        <v>0</v>
      </c>
      <c r="K79" s="6">
        <f t="shared" si="20"/>
        <v>0</v>
      </c>
      <c r="L79" s="6">
        <f t="shared" si="20"/>
        <v>0</v>
      </c>
      <c r="M79" s="6">
        <f t="shared" si="20"/>
        <v>0</v>
      </c>
      <c r="N79" s="17">
        <f t="shared" si="20"/>
        <v>0</v>
      </c>
    </row>
    <row r="80" spans="1:15" x14ac:dyDescent="0.35">
      <c r="A80" s="50"/>
      <c r="B80" s="51"/>
      <c r="C80" s="52"/>
      <c r="D80" s="31">
        <f>D46</f>
        <v>0</v>
      </c>
      <c r="E80" s="5">
        <f t="shared" ref="E80:N80" si="21">E46</f>
        <v>0</v>
      </c>
      <c r="F80" s="31">
        <f t="shared" si="21"/>
        <v>0</v>
      </c>
      <c r="G80" s="6">
        <f t="shared" si="21"/>
        <v>0</v>
      </c>
      <c r="H80" s="6">
        <f t="shared" si="21"/>
        <v>0</v>
      </c>
      <c r="I80" s="6">
        <f t="shared" si="21"/>
        <v>0</v>
      </c>
      <c r="J80" s="6">
        <f t="shared" si="21"/>
        <v>0</v>
      </c>
      <c r="K80" s="6">
        <f t="shared" si="21"/>
        <v>0</v>
      </c>
      <c r="L80" s="6">
        <f t="shared" si="21"/>
        <v>0</v>
      </c>
      <c r="M80" s="6">
        <f t="shared" si="21"/>
        <v>0</v>
      </c>
      <c r="N80" s="17">
        <f t="shared" si="21"/>
        <v>0</v>
      </c>
    </row>
    <row r="81" spans="1:17" x14ac:dyDescent="0.35">
      <c r="A81" s="328" t="s">
        <v>166</v>
      </c>
      <c r="B81" s="329"/>
      <c r="C81" s="330"/>
      <c r="D81" s="56"/>
      <c r="E81" s="224"/>
      <c r="F81" s="56"/>
      <c r="G81" s="58"/>
      <c r="H81" s="58"/>
      <c r="I81" s="58"/>
      <c r="J81" s="58"/>
      <c r="K81" s="58"/>
      <c r="L81" s="58"/>
      <c r="M81" s="58"/>
      <c r="N81" s="57"/>
    </row>
    <row r="82" spans="1:17" x14ac:dyDescent="0.35">
      <c r="A82" s="50"/>
      <c r="B82" s="51"/>
      <c r="C82" s="52"/>
      <c r="D82" s="31">
        <f>IFERROR(D16/D14,0)</f>
        <v>0</v>
      </c>
      <c r="E82" s="5">
        <f t="shared" ref="E82:N82" si="22">IFERROR(E16/E14,0)</f>
        <v>0</v>
      </c>
      <c r="F82" s="31">
        <f t="shared" si="22"/>
        <v>0</v>
      </c>
      <c r="G82" s="6">
        <f t="shared" si="22"/>
        <v>0</v>
      </c>
      <c r="H82" s="6">
        <f t="shared" si="22"/>
        <v>0</v>
      </c>
      <c r="I82" s="6">
        <f t="shared" si="22"/>
        <v>0</v>
      </c>
      <c r="J82" s="6">
        <f t="shared" si="22"/>
        <v>0</v>
      </c>
      <c r="K82" s="6">
        <f t="shared" si="22"/>
        <v>0</v>
      </c>
      <c r="L82" s="6">
        <f t="shared" si="22"/>
        <v>0</v>
      </c>
      <c r="M82" s="6">
        <f t="shared" si="22"/>
        <v>0</v>
      </c>
      <c r="N82" s="35">
        <f t="shared" si="22"/>
        <v>0</v>
      </c>
    </row>
    <row r="83" spans="1:17" x14ac:dyDescent="0.35">
      <c r="A83" s="50"/>
      <c r="B83" s="51"/>
      <c r="C83" s="52"/>
      <c r="D83" s="31">
        <f>IFERROR(D26/D24,0)</f>
        <v>0</v>
      </c>
      <c r="E83" s="5">
        <f t="shared" ref="E83:N83" si="23">IFERROR(E26/E24,0)</f>
        <v>0</v>
      </c>
      <c r="F83" s="31">
        <f t="shared" si="23"/>
        <v>0</v>
      </c>
      <c r="G83" s="6">
        <f t="shared" si="23"/>
        <v>0</v>
      </c>
      <c r="H83" s="6">
        <f t="shared" si="23"/>
        <v>0</v>
      </c>
      <c r="I83" s="6">
        <f t="shared" si="23"/>
        <v>0</v>
      </c>
      <c r="J83" s="6">
        <f t="shared" si="23"/>
        <v>0</v>
      </c>
      <c r="K83" s="6">
        <f t="shared" si="23"/>
        <v>0</v>
      </c>
      <c r="L83" s="6">
        <f t="shared" si="23"/>
        <v>0</v>
      </c>
      <c r="M83" s="6">
        <f t="shared" si="23"/>
        <v>0</v>
      </c>
      <c r="N83" s="35">
        <f t="shared" si="23"/>
        <v>0</v>
      </c>
      <c r="Q83" s="222"/>
    </row>
    <row r="84" spans="1:17" x14ac:dyDescent="0.35">
      <c r="A84" s="50"/>
      <c r="B84" s="51"/>
      <c r="C84" s="52"/>
      <c r="D84" s="31">
        <f>IFERROR(D36/D34,0)</f>
        <v>0</v>
      </c>
      <c r="E84" s="5">
        <f t="shared" ref="E84:N84" si="24">IFERROR(E36/E34,0)</f>
        <v>0</v>
      </c>
      <c r="F84" s="31">
        <f t="shared" si="24"/>
        <v>0</v>
      </c>
      <c r="G84" s="6">
        <f t="shared" si="24"/>
        <v>0</v>
      </c>
      <c r="H84" s="6">
        <f t="shared" si="24"/>
        <v>0</v>
      </c>
      <c r="I84" s="6">
        <f t="shared" si="24"/>
        <v>0</v>
      </c>
      <c r="J84" s="6">
        <f t="shared" si="24"/>
        <v>0</v>
      </c>
      <c r="K84" s="6">
        <f t="shared" si="24"/>
        <v>0</v>
      </c>
      <c r="L84" s="6">
        <f t="shared" si="24"/>
        <v>0</v>
      </c>
      <c r="M84" s="6">
        <f t="shared" si="24"/>
        <v>0</v>
      </c>
      <c r="N84" s="35">
        <f t="shared" si="24"/>
        <v>0</v>
      </c>
    </row>
    <row r="85" spans="1:17" ht="15" thickBot="1" x14ac:dyDescent="0.4">
      <c r="A85" s="331"/>
      <c r="B85" s="332"/>
      <c r="C85" s="333"/>
      <c r="D85" s="36">
        <f>IFERROR(D46/D44,0)</f>
        <v>0</v>
      </c>
      <c r="E85" s="66">
        <f t="shared" ref="E85:N85" si="25">IFERROR(E46/E44,0)</f>
        <v>0</v>
      </c>
      <c r="F85" s="36">
        <f t="shared" si="25"/>
        <v>0</v>
      </c>
      <c r="G85" s="37">
        <f t="shared" si="25"/>
        <v>0</v>
      </c>
      <c r="H85" s="37">
        <f t="shared" si="25"/>
        <v>0</v>
      </c>
      <c r="I85" s="37">
        <f t="shared" si="25"/>
        <v>0</v>
      </c>
      <c r="J85" s="37">
        <f t="shared" si="25"/>
        <v>0</v>
      </c>
      <c r="K85" s="37">
        <f t="shared" si="25"/>
        <v>0</v>
      </c>
      <c r="L85" s="37">
        <f t="shared" si="25"/>
        <v>0</v>
      </c>
      <c r="M85" s="37">
        <f t="shared" si="25"/>
        <v>0</v>
      </c>
      <c r="N85" s="64">
        <f t="shared" si="25"/>
        <v>0</v>
      </c>
    </row>
    <row r="86" spans="1:17" ht="15" thickBot="1" x14ac:dyDescent="0.4"/>
    <row r="87" spans="1:17" x14ac:dyDescent="0.35">
      <c r="A87" s="335" t="s">
        <v>167</v>
      </c>
      <c r="B87" s="336"/>
      <c r="C87" s="337"/>
      <c r="D87" s="43" t="s">
        <v>142</v>
      </c>
      <c r="E87" s="44" t="s">
        <v>147</v>
      </c>
      <c r="F87" s="43" t="s">
        <v>143</v>
      </c>
      <c r="G87" s="45" t="s">
        <v>32</v>
      </c>
      <c r="H87" s="45" t="s">
        <v>33</v>
      </c>
      <c r="I87" s="45" t="s">
        <v>34</v>
      </c>
      <c r="J87" s="45" t="s">
        <v>35</v>
      </c>
      <c r="K87" s="45" t="s">
        <v>36</v>
      </c>
      <c r="L87" s="45" t="s">
        <v>37</v>
      </c>
      <c r="M87" s="45" t="s">
        <v>38</v>
      </c>
      <c r="N87" s="44" t="s">
        <v>148</v>
      </c>
    </row>
    <row r="88" spans="1:17" ht="15" thickBot="1" x14ac:dyDescent="0.4">
      <c r="A88" s="338"/>
      <c r="B88" s="339"/>
      <c r="C88" s="340"/>
      <c r="D88" s="46" t="s">
        <v>149</v>
      </c>
      <c r="E88" s="47" t="s">
        <v>149</v>
      </c>
      <c r="F88" s="341" t="s">
        <v>151</v>
      </c>
      <c r="G88" s="342"/>
      <c r="H88" s="342"/>
      <c r="I88" s="342"/>
      <c r="J88" s="342"/>
      <c r="K88" s="342"/>
      <c r="L88" s="342"/>
      <c r="M88" s="342"/>
      <c r="N88" s="343"/>
    </row>
    <row r="89" spans="1:17" x14ac:dyDescent="0.35">
      <c r="A89" s="59" t="s">
        <v>168</v>
      </c>
      <c r="B89" s="60"/>
      <c r="C89" s="61"/>
      <c r="D89" s="53">
        <f>SUM(D90:D93)</f>
        <v>0</v>
      </c>
      <c r="E89" s="65">
        <f>SUM(E90:E93)</f>
        <v>0</v>
      </c>
      <c r="F89" s="53">
        <f t="shared" ref="F89:N89" si="26">SUM(F90:F93)</f>
        <v>0</v>
      </c>
      <c r="G89" s="55">
        <f t="shared" si="26"/>
        <v>0</v>
      </c>
      <c r="H89" s="55">
        <f t="shared" si="26"/>
        <v>0</v>
      </c>
      <c r="I89" s="55">
        <f t="shared" si="26"/>
        <v>0</v>
      </c>
      <c r="J89" s="55">
        <f t="shared" si="26"/>
        <v>0</v>
      </c>
      <c r="K89" s="55">
        <f t="shared" si="26"/>
        <v>0</v>
      </c>
      <c r="L89" s="55">
        <f t="shared" si="26"/>
        <v>0</v>
      </c>
      <c r="M89" s="55">
        <f t="shared" si="26"/>
        <v>0</v>
      </c>
      <c r="N89" s="223">
        <f t="shared" si="26"/>
        <v>0</v>
      </c>
    </row>
    <row r="90" spans="1:17" x14ac:dyDescent="0.35">
      <c r="A90" s="34"/>
      <c r="C90" s="35"/>
      <c r="D90" s="31">
        <f>D18+D19</f>
        <v>0</v>
      </c>
      <c r="E90" s="5">
        <f>E18+E19</f>
        <v>0</v>
      </c>
      <c r="F90" s="31">
        <f t="shared" ref="F90:N90" si="27">F18+F19</f>
        <v>0</v>
      </c>
      <c r="G90" s="6">
        <f t="shared" si="27"/>
        <v>0</v>
      </c>
      <c r="H90" s="6">
        <f t="shared" si="27"/>
        <v>0</v>
      </c>
      <c r="I90" s="6">
        <f t="shared" si="27"/>
        <v>0</v>
      </c>
      <c r="J90" s="6">
        <f t="shared" si="27"/>
        <v>0</v>
      </c>
      <c r="K90" s="6">
        <f t="shared" si="27"/>
        <v>0</v>
      </c>
      <c r="L90" s="6">
        <f t="shared" si="27"/>
        <v>0</v>
      </c>
      <c r="M90" s="6">
        <f t="shared" si="27"/>
        <v>0</v>
      </c>
      <c r="N90" s="35">
        <f t="shared" si="27"/>
        <v>0</v>
      </c>
    </row>
    <row r="91" spans="1:17" x14ac:dyDescent="0.35">
      <c r="A91" s="34"/>
      <c r="C91" s="35"/>
      <c r="D91" s="31">
        <f>D28+D29</f>
        <v>0</v>
      </c>
      <c r="E91" s="5">
        <f t="shared" ref="E91:N91" si="28">E28+E29</f>
        <v>0</v>
      </c>
      <c r="F91" s="31">
        <f t="shared" si="28"/>
        <v>0</v>
      </c>
      <c r="G91" s="6">
        <f t="shared" si="28"/>
        <v>0</v>
      </c>
      <c r="H91" s="6">
        <f t="shared" si="28"/>
        <v>0</v>
      </c>
      <c r="I91" s="6">
        <f t="shared" si="28"/>
        <v>0</v>
      </c>
      <c r="J91" s="6">
        <f t="shared" si="28"/>
        <v>0</v>
      </c>
      <c r="K91" s="6">
        <f t="shared" si="28"/>
        <v>0</v>
      </c>
      <c r="L91" s="6">
        <f t="shared" si="28"/>
        <v>0</v>
      </c>
      <c r="M91" s="6">
        <f t="shared" si="28"/>
        <v>0</v>
      </c>
      <c r="N91" s="35">
        <f t="shared" si="28"/>
        <v>0</v>
      </c>
    </row>
    <row r="92" spans="1:17" x14ac:dyDescent="0.35">
      <c r="A92" s="34"/>
      <c r="C92" s="35"/>
      <c r="D92" s="31">
        <f>D38+D39</f>
        <v>0</v>
      </c>
      <c r="E92" s="5">
        <f t="shared" ref="E92:N92" si="29">E38+E39</f>
        <v>0</v>
      </c>
      <c r="F92" s="31">
        <f t="shared" si="29"/>
        <v>0</v>
      </c>
      <c r="G92" s="6">
        <f t="shared" si="29"/>
        <v>0</v>
      </c>
      <c r="H92" s="6">
        <f t="shared" si="29"/>
        <v>0</v>
      </c>
      <c r="I92" s="6">
        <f t="shared" si="29"/>
        <v>0</v>
      </c>
      <c r="J92" s="6">
        <f t="shared" si="29"/>
        <v>0</v>
      </c>
      <c r="K92" s="6">
        <f t="shared" si="29"/>
        <v>0</v>
      </c>
      <c r="L92" s="6">
        <f t="shared" si="29"/>
        <v>0</v>
      </c>
      <c r="M92" s="6">
        <f t="shared" si="29"/>
        <v>0</v>
      </c>
      <c r="N92" s="35">
        <f t="shared" si="29"/>
        <v>0</v>
      </c>
    </row>
    <row r="93" spans="1:17" ht="15" thickBot="1" x14ac:dyDescent="0.4">
      <c r="A93" s="34"/>
      <c r="C93" s="35"/>
      <c r="D93" s="36">
        <f>D48+D49</f>
        <v>0</v>
      </c>
      <c r="E93" s="5">
        <f t="shared" ref="E93:N93" si="30">E48+E49</f>
        <v>0</v>
      </c>
      <c r="F93" s="36">
        <f t="shared" si="30"/>
        <v>0</v>
      </c>
      <c r="G93" s="37">
        <f t="shared" si="30"/>
        <v>0</v>
      </c>
      <c r="H93" s="37">
        <f t="shared" si="30"/>
        <v>0</v>
      </c>
      <c r="I93" s="37">
        <f t="shared" si="30"/>
        <v>0</v>
      </c>
      <c r="J93" s="37">
        <f t="shared" si="30"/>
        <v>0</v>
      </c>
      <c r="K93" s="37">
        <f t="shared" si="30"/>
        <v>0</v>
      </c>
      <c r="L93" s="37">
        <f t="shared" si="30"/>
        <v>0</v>
      </c>
      <c r="M93" s="37">
        <f t="shared" si="30"/>
        <v>0</v>
      </c>
      <c r="N93" s="35">
        <f t="shared" si="30"/>
        <v>0</v>
      </c>
    </row>
    <row r="94" spans="1:17" x14ac:dyDescent="0.35">
      <c r="A94" s="59" t="s">
        <v>169</v>
      </c>
      <c r="B94" s="60"/>
      <c r="C94" s="61"/>
      <c r="D94" s="53">
        <f>SUM(D95:D98)</f>
        <v>0</v>
      </c>
      <c r="E94" s="65">
        <f t="shared" ref="E94:N94" si="31">SUM(E95:E98)</f>
        <v>0</v>
      </c>
      <c r="F94" s="53">
        <f t="shared" si="31"/>
        <v>0</v>
      </c>
      <c r="G94" s="65">
        <f t="shared" si="31"/>
        <v>0</v>
      </c>
      <c r="H94" s="55">
        <f t="shared" si="31"/>
        <v>0</v>
      </c>
      <c r="I94" s="55">
        <f t="shared" si="31"/>
        <v>0</v>
      </c>
      <c r="J94" s="55">
        <f t="shared" si="31"/>
        <v>0</v>
      </c>
      <c r="K94" s="55">
        <f t="shared" si="31"/>
        <v>0</v>
      </c>
      <c r="L94" s="55">
        <f t="shared" si="31"/>
        <v>0</v>
      </c>
      <c r="M94" s="55">
        <f t="shared" si="31"/>
        <v>0</v>
      </c>
      <c r="N94" s="223">
        <f t="shared" si="31"/>
        <v>0</v>
      </c>
    </row>
    <row r="95" spans="1:17" x14ac:dyDescent="0.35">
      <c r="A95" s="34"/>
      <c r="C95" s="35"/>
      <c r="D95" s="31">
        <f>D16*D11</f>
        <v>0</v>
      </c>
      <c r="E95" s="5">
        <f t="shared" ref="E95:N95" si="32">E16*E11</f>
        <v>0</v>
      </c>
      <c r="F95" s="31">
        <f t="shared" si="32"/>
        <v>0</v>
      </c>
      <c r="G95" s="5">
        <f>G16*G11</f>
        <v>0</v>
      </c>
      <c r="H95" s="6">
        <f t="shared" si="32"/>
        <v>0</v>
      </c>
      <c r="I95" s="6">
        <f t="shared" si="32"/>
        <v>0</v>
      </c>
      <c r="J95" s="6">
        <f t="shared" si="32"/>
        <v>0</v>
      </c>
      <c r="K95" s="6">
        <f t="shared" si="32"/>
        <v>0</v>
      </c>
      <c r="L95" s="6">
        <f t="shared" si="32"/>
        <v>0</v>
      </c>
      <c r="M95" s="6">
        <f t="shared" si="32"/>
        <v>0</v>
      </c>
      <c r="N95" s="35">
        <f t="shared" si="32"/>
        <v>0</v>
      </c>
    </row>
    <row r="96" spans="1:17" x14ac:dyDescent="0.35">
      <c r="A96" s="34"/>
      <c r="C96" s="35"/>
      <c r="D96" s="31">
        <f>D26*D21</f>
        <v>0</v>
      </c>
      <c r="E96" s="5">
        <f t="shared" ref="E96:N96" si="33">E26*E21</f>
        <v>0</v>
      </c>
      <c r="F96" s="31">
        <f t="shared" si="33"/>
        <v>0</v>
      </c>
      <c r="G96" s="5">
        <f t="shared" si="33"/>
        <v>0</v>
      </c>
      <c r="H96" s="6">
        <f t="shared" si="33"/>
        <v>0</v>
      </c>
      <c r="I96" s="6">
        <f t="shared" si="33"/>
        <v>0</v>
      </c>
      <c r="J96" s="6">
        <f t="shared" si="33"/>
        <v>0</v>
      </c>
      <c r="K96" s="6">
        <f t="shared" si="33"/>
        <v>0</v>
      </c>
      <c r="L96" s="6">
        <f t="shared" si="33"/>
        <v>0</v>
      </c>
      <c r="M96" s="6">
        <f t="shared" si="33"/>
        <v>0</v>
      </c>
      <c r="N96" s="35">
        <f t="shared" si="33"/>
        <v>0</v>
      </c>
    </row>
    <row r="97" spans="1:14" x14ac:dyDescent="0.35">
      <c r="A97" s="34"/>
      <c r="C97" s="35"/>
      <c r="D97" s="31">
        <f>D36*D31</f>
        <v>0</v>
      </c>
      <c r="E97" s="5">
        <f t="shared" ref="E97:N97" si="34">E36*E31</f>
        <v>0</v>
      </c>
      <c r="F97" s="31">
        <f t="shared" si="34"/>
        <v>0</v>
      </c>
      <c r="G97" s="5">
        <f t="shared" si="34"/>
        <v>0</v>
      </c>
      <c r="H97" s="6">
        <f t="shared" si="34"/>
        <v>0</v>
      </c>
      <c r="I97" s="6">
        <f t="shared" si="34"/>
        <v>0</v>
      </c>
      <c r="J97" s="6">
        <f t="shared" si="34"/>
        <v>0</v>
      </c>
      <c r="K97" s="6">
        <f t="shared" si="34"/>
        <v>0</v>
      </c>
      <c r="L97" s="6">
        <f t="shared" si="34"/>
        <v>0</v>
      </c>
      <c r="M97" s="6">
        <f t="shared" si="34"/>
        <v>0</v>
      </c>
      <c r="N97" s="35">
        <f t="shared" si="34"/>
        <v>0</v>
      </c>
    </row>
    <row r="98" spans="1:14" ht="15" thickBot="1" x14ac:dyDescent="0.4">
      <c r="A98" s="62"/>
      <c r="B98" s="63"/>
      <c r="C98" s="64"/>
      <c r="D98" s="36">
        <f>D46*D41</f>
        <v>0</v>
      </c>
      <c r="E98" s="66">
        <f t="shared" ref="E98:N98" si="35">E46*E41</f>
        <v>0</v>
      </c>
      <c r="F98" s="36">
        <f t="shared" si="35"/>
        <v>0</v>
      </c>
      <c r="G98" s="66">
        <f t="shared" si="35"/>
        <v>0</v>
      </c>
      <c r="H98" s="37">
        <f t="shared" si="35"/>
        <v>0</v>
      </c>
      <c r="I98" s="37">
        <f t="shared" si="35"/>
        <v>0</v>
      </c>
      <c r="J98" s="37">
        <f t="shared" si="35"/>
        <v>0</v>
      </c>
      <c r="K98" s="37">
        <f t="shared" si="35"/>
        <v>0</v>
      </c>
      <c r="L98" s="37">
        <f t="shared" si="35"/>
        <v>0</v>
      </c>
      <c r="M98" s="37">
        <f t="shared" si="35"/>
        <v>0</v>
      </c>
      <c r="N98" s="64">
        <f t="shared" si="35"/>
        <v>0</v>
      </c>
    </row>
    <row r="99" spans="1:14" ht="15" thickBot="1" x14ac:dyDescent="0.4"/>
    <row r="100" spans="1:14" x14ac:dyDescent="0.35">
      <c r="A100" s="59" t="s">
        <v>208</v>
      </c>
      <c r="B100" s="60"/>
      <c r="C100" s="60"/>
      <c r="D100" s="53">
        <f>SUM(D101:D102)</f>
        <v>0</v>
      </c>
      <c r="E100" s="65">
        <f>SUM(E101:E102)</f>
        <v>0</v>
      </c>
      <c r="F100" s="53">
        <f t="shared" ref="F100:N100" si="36">SUM(F101:F102)</f>
        <v>0</v>
      </c>
      <c r="G100" s="55">
        <f t="shared" si="36"/>
        <v>0</v>
      </c>
      <c r="H100" s="55">
        <f t="shared" si="36"/>
        <v>0</v>
      </c>
      <c r="I100" s="55">
        <f t="shared" si="36"/>
        <v>0</v>
      </c>
      <c r="J100" s="55">
        <f t="shared" si="36"/>
        <v>0</v>
      </c>
      <c r="K100" s="55">
        <f t="shared" si="36"/>
        <v>0</v>
      </c>
      <c r="L100" s="55">
        <f t="shared" si="36"/>
        <v>0</v>
      </c>
      <c r="M100" s="55">
        <f t="shared" si="36"/>
        <v>0</v>
      </c>
      <c r="N100" s="223">
        <f t="shared" si="36"/>
        <v>0</v>
      </c>
    </row>
    <row r="101" spans="1:14" x14ac:dyDescent="0.35">
      <c r="A101" s="324" t="s">
        <v>170</v>
      </c>
      <c r="B101" s="325"/>
      <c r="C101" s="325"/>
      <c r="D101" s="31"/>
      <c r="E101" s="35"/>
      <c r="F101" s="31"/>
      <c r="G101" s="6"/>
      <c r="H101" s="6"/>
      <c r="I101" s="6"/>
      <c r="J101" s="6"/>
      <c r="K101" s="6"/>
      <c r="L101" s="6"/>
      <c r="M101" s="6"/>
      <c r="N101" s="35"/>
    </row>
    <row r="102" spans="1:14" ht="15" thickBot="1" x14ac:dyDescent="0.4">
      <c r="A102" s="326" t="s">
        <v>206</v>
      </c>
      <c r="B102" s="327"/>
      <c r="C102" s="327"/>
      <c r="D102" s="36"/>
      <c r="E102" s="64"/>
      <c r="F102" s="36"/>
      <c r="G102" s="37"/>
      <c r="H102" s="37"/>
      <c r="I102" s="37"/>
      <c r="J102" s="37"/>
      <c r="K102" s="37"/>
      <c r="L102" s="37"/>
      <c r="M102" s="37"/>
      <c r="N102" s="64"/>
    </row>
    <row r="103" spans="1:14" ht="15" thickBot="1" x14ac:dyDescent="0.4"/>
    <row r="104" spans="1:14" x14ac:dyDescent="0.35">
      <c r="A104" s="335" t="s">
        <v>167</v>
      </c>
      <c r="B104" s="336"/>
      <c r="C104" s="337"/>
      <c r="D104" s="21" t="s">
        <v>142</v>
      </c>
      <c r="E104" s="25" t="s">
        <v>147</v>
      </c>
      <c r="F104" s="25" t="s">
        <v>143</v>
      </c>
      <c r="G104" s="25" t="s">
        <v>32</v>
      </c>
      <c r="H104" s="25" t="s">
        <v>33</v>
      </c>
      <c r="I104" s="25" t="s">
        <v>34</v>
      </c>
      <c r="J104" s="25" t="s">
        <v>35</v>
      </c>
      <c r="K104" s="25" t="s">
        <v>36</v>
      </c>
      <c r="L104" s="25" t="s">
        <v>37</v>
      </c>
      <c r="M104" s="25" t="s">
        <v>38</v>
      </c>
      <c r="N104" s="22" t="s">
        <v>148</v>
      </c>
    </row>
    <row r="105" spans="1:14" ht="15" thickBot="1" x14ac:dyDescent="0.4">
      <c r="A105" s="338"/>
      <c r="B105" s="339"/>
      <c r="C105" s="340"/>
      <c r="D105" s="23" t="s">
        <v>149</v>
      </c>
      <c r="E105" s="26" t="s">
        <v>149</v>
      </c>
      <c r="F105" s="26"/>
      <c r="G105" s="364" t="s">
        <v>151</v>
      </c>
      <c r="H105" s="364"/>
      <c r="I105" s="364"/>
      <c r="J105" s="364"/>
      <c r="K105" s="364"/>
      <c r="L105" s="364"/>
      <c r="M105" s="364"/>
      <c r="N105" s="365"/>
    </row>
    <row r="106" spans="1:14" x14ac:dyDescent="0.35">
      <c r="A106" s="34" t="s">
        <v>171</v>
      </c>
      <c r="C106" s="35"/>
      <c r="D106" s="30">
        <f t="shared" ref="D106:N106" si="37">D89</f>
        <v>0</v>
      </c>
      <c r="E106" s="27">
        <f t="shared" si="37"/>
        <v>0</v>
      </c>
      <c r="F106" s="30">
        <f t="shared" si="37"/>
        <v>0</v>
      </c>
      <c r="G106" s="13">
        <f t="shared" si="37"/>
        <v>0</v>
      </c>
      <c r="H106" s="13">
        <f t="shared" si="37"/>
        <v>0</v>
      </c>
      <c r="I106" s="13">
        <f t="shared" si="37"/>
        <v>0</v>
      </c>
      <c r="J106" s="13">
        <f t="shared" si="37"/>
        <v>0</v>
      </c>
      <c r="K106" s="13">
        <f t="shared" si="37"/>
        <v>0</v>
      </c>
      <c r="L106" s="13">
        <f t="shared" si="37"/>
        <v>0</v>
      </c>
      <c r="M106" s="13">
        <f t="shared" si="37"/>
        <v>0</v>
      </c>
      <c r="N106" s="68">
        <f t="shared" si="37"/>
        <v>0</v>
      </c>
    </row>
    <row r="107" spans="1:14" x14ac:dyDescent="0.35">
      <c r="A107" s="34" t="s">
        <v>169</v>
      </c>
      <c r="C107" s="35"/>
      <c r="D107" s="31">
        <f>D94</f>
        <v>0</v>
      </c>
      <c r="E107" s="5">
        <f t="shared" ref="E107:N107" si="38">E94</f>
        <v>0</v>
      </c>
      <c r="F107" s="31">
        <f t="shared" si="38"/>
        <v>0</v>
      </c>
      <c r="G107" s="6">
        <f t="shared" si="38"/>
        <v>0</v>
      </c>
      <c r="H107" s="6">
        <f t="shared" si="38"/>
        <v>0</v>
      </c>
      <c r="I107" s="6">
        <f t="shared" si="38"/>
        <v>0</v>
      </c>
      <c r="J107" s="6">
        <f t="shared" si="38"/>
        <v>0</v>
      </c>
      <c r="K107" s="6">
        <f t="shared" si="38"/>
        <v>0</v>
      </c>
      <c r="L107" s="6">
        <f t="shared" si="38"/>
        <v>0</v>
      </c>
      <c r="M107" s="6">
        <f t="shared" si="38"/>
        <v>0</v>
      </c>
      <c r="N107" s="35">
        <f t="shared" si="38"/>
        <v>0</v>
      </c>
    </row>
    <row r="108" spans="1:14" ht="15" thickBot="1" x14ac:dyDescent="0.4">
      <c r="A108" s="62" t="s">
        <v>207</v>
      </c>
      <c r="B108" s="63"/>
      <c r="C108" s="64"/>
      <c r="D108" s="36">
        <f>D100</f>
        <v>0</v>
      </c>
      <c r="E108" s="66">
        <f t="shared" ref="E108:N108" si="39">E100</f>
        <v>0</v>
      </c>
      <c r="F108" s="36">
        <f t="shared" si="39"/>
        <v>0</v>
      </c>
      <c r="G108" s="37">
        <f t="shared" si="39"/>
        <v>0</v>
      </c>
      <c r="H108" s="37">
        <f t="shared" si="39"/>
        <v>0</v>
      </c>
      <c r="I108" s="37">
        <f t="shared" si="39"/>
        <v>0</v>
      </c>
      <c r="J108" s="37">
        <f t="shared" si="39"/>
        <v>0</v>
      </c>
      <c r="K108" s="37">
        <f t="shared" si="39"/>
        <v>0</v>
      </c>
      <c r="L108" s="37">
        <f t="shared" si="39"/>
        <v>0</v>
      </c>
      <c r="M108" s="37">
        <f t="shared" si="39"/>
        <v>0</v>
      </c>
      <c r="N108" s="64">
        <f t="shared" si="39"/>
        <v>0</v>
      </c>
    </row>
    <row r="109" spans="1:14" ht="15" thickBot="1" x14ac:dyDescent="0.4"/>
    <row r="110" spans="1:14" x14ac:dyDescent="0.35">
      <c r="A110" s="366" t="s">
        <v>172</v>
      </c>
      <c r="B110" s="367"/>
      <c r="C110" s="368"/>
      <c r="D110" s="241">
        <f>D106-D107-D108</f>
        <v>0</v>
      </c>
      <c r="E110" s="242">
        <f>E106-E107-E108</f>
        <v>0</v>
      </c>
      <c r="F110" s="241">
        <f>F106-F107-F108</f>
        <v>0</v>
      </c>
      <c r="G110" s="243">
        <f>G106-G107-G108</f>
        <v>0</v>
      </c>
      <c r="H110" s="243">
        <f>H106-H107-H108</f>
        <v>0</v>
      </c>
      <c r="I110" s="243">
        <f t="shared" ref="I110:N110" si="40">I106-I107-I108</f>
        <v>0</v>
      </c>
      <c r="J110" s="243">
        <f t="shared" si="40"/>
        <v>0</v>
      </c>
      <c r="K110" s="243">
        <f t="shared" si="40"/>
        <v>0</v>
      </c>
      <c r="L110" s="243">
        <f t="shared" si="40"/>
        <v>0</v>
      </c>
      <c r="M110" s="243">
        <f t="shared" si="40"/>
        <v>0</v>
      </c>
      <c r="N110" s="244">
        <f t="shared" si="40"/>
        <v>0</v>
      </c>
    </row>
    <row r="111" spans="1:14" x14ac:dyDescent="0.35">
      <c r="A111" s="369" t="s">
        <v>173</v>
      </c>
      <c r="B111" s="370"/>
      <c r="C111" s="371"/>
      <c r="D111" s="71">
        <f>IFERROR(D110/D56,0)</f>
        <v>0</v>
      </c>
      <c r="E111" s="28">
        <f t="shared" ref="E111:N111" si="41">IFERROR(E110/E56,0)</f>
        <v>0</v>
      </c>
      <c r="F111" s="71">
        <f t="shared" si="41"/>
        <v>0</v>
      </c>
      <c r="G111" s="12">
        <f t="shared" si="41"/>
        <v>0</v>
      </c>
      <c r="H111" s="12">
        <f t="shared" si="41"/>
        <v>0</v>
      </c>
      <c r="I111" s="12">
        <f t="shared" si="41"/>
        <v>0</v>
      </c>
      <c r="J111" s="12">
        <f t="shared" si="41"/>
        <v>0</v>
      </c>
      <c r="K111" s="12">
        <f t="shared" si="41"/>
        <v>0</v>
      </c>
      <c r="L111" s="12">
        <f t="shared" si="41"/>
        <v>0</v>
      </c>
      <c r="M111" s="12">
        <f t="shared" si="41"/>
        <v>0</v>
      </c>
      <c r="N111" s="226">
        <f t="shared" si="41"/>
        <v>0</v>
      </c>
    </row>
    <row r="112" spans="1:14" ht="15" thickBot="1" x14ac:dyDescent="0.4">
      <c r="A112" s="372" t="s">
        <v>174</v>
      </c>
      <c r="B112" s="373"/>
      <c r="C112" s="374"/>
      <c r="D112" s="70" t="e">
        <f>(D110/D106)*100</f>
        <v>#DIV/0!</v>
      </c>
      <c r="E112" s="227" t="e">
        <f t="shared" ref="E112:N112" si="42">(E110/E106)*100</f>
        <v>#DIV/0!</v>
      </c>
      <c r="F112" s="70" t="e">
        <f t="shared" si="42"/>
        <v>#DIV/0!</v>
      </c>
      <c r="G112" s="228" t="e">
        <f t="shared" si="42"/>
        <v>#DIV/0!</v>
      </c>
      <c r="H112" s="228" t="e">
        <f t="shared" si="42"/>
        <v>#DIV/0!</v>
      </c>
      <c r="I112" s="228" t="e">
        <f t="shared" si="42"/>
        <v>#DIV/0!</v>
      </c>
      <c r="J112" s="228" t="e">
        <f t="shared" si="42"/>
        <v>#DIV/0!</v>
      </c>
      <c r="K112" s="228" t="e">
        <f t="shared" si="42"/>
        <v>#DIV/0!</v>
      </c>
      <c r="L112" s="228" t="e">
        <f t="shared" si="42"/>
        <v>#DIV/0!</v>
      </c>
      <c r="M112" s="228" t="e">
        <f t="shared" si="42"/>
        <v>#DIV/0!</v>
      </c>
      <c r="N112" s="191" t="e">
        <f t="shared" si="42"/>
        <v>#DIV/0!</v>
      </c>
    </row>
    <row r="113" spans="1:14" ht="15" thickBot="1" x14ac:dyDescent="0.4"/>
    <row r="114" spans="1:14" x14ac:dyDescent="0.35">
      <c r="A114" s="355" t="s">
        <v>175</v>
      </c>
      <c r="B114" s="356"/>
      <c r="C114" s="357"/>
      <c r="D114" s="239" t="s">
        <v>142</v>
      </c>
    </row>
    <row r="115" spans="1:14" x14ac:dyDescent="0.35">
      <c r="A115" s="358" t="s">
        <v>176</v>
      </c>
      <c r="B115" s="359"/>
      <c r="C115" s="360"/>
      <c r="D115" s="229"/>
    </row>
    <row r="116" spans="1:14" ht="15" thickBot="1" x14ac:dyDescent="0.4">
      <c r="A116" s="361" t="s">
        <v>177</v>
      </c>
      <c r="B116" s="362"/>
      <c r="C116" s="363"/>
      <c r="D116" s="178"/>
    </row>
    <row r="117" spans="1:14" ht="15" thickBot="1" x14ac:dyDescent="0.4"/>
    <row r="118" spans="1:14" x14ac:dyDescent="0.35">
      <c r="A118" s="59" t="s">
        <v>178</v>
      </c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1"/>
    </row>
    <row r="119" spans="1:14" x14ac:dyDescent="0.35">
      <c r="A119" s="186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8"/>
    </row>
    <row r="120" spans="1:14" x14ac:dyDescent="0.35">
      <c r="A120" s="186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8"/>
    </row>
    <row r="121" spans="1:14" x14ac:dyDescent="0.35">
      <c r="A121" s="186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8"/>
    </row>
    <row r="122" spans="1:14" x14ac:dyDescent="0.35">
      <c r="A122" s="186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8"/>
    </row>
    <row r="123" spans="1:14" x14ac:dyDescent="0.35">
      <c r="A123" s="186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8"/>
    </row>
    <row r="124" spans="1:14" x14ac:dyDescent="0.35">
      <c r="A124" s="186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8"/>
    </row>
    <row r="125" spans="1:14" x14ac:dyDescent="0.35">
      <c r="A125" s="186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8"/>
    </row>
    <row r="126" spans="1:14" x14ac:dyDescent="0.35">
      <c r="A126" s="186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8"/>
    </row>
    <row r="127" spans="1:14" ht="15" thickBot="1" x14ac:dyDescent="0.4">
      <c r="A127" s="189"/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1"/>
    </row>
  </sheetData>
  <mergeCells count="23">
    <mergeCell ref="A114:C114"/>
    <mergeCell ref="A115:C115"/>
    <mergeCell ref="A116:C116"/>
    <mergeCell ref="A104:C105"/>
    <mergeCell ref="G105:N105"/>
    <mergeCell ref="A110:C110"/>
    <mergeCell ref="A111:C111"/>
    <mergeCell ref="A112:C112"/>
    <mergeCell ref="A2:N2"/>
    <mergeCell ref="A87:C88"/>
    <mergeCell ref="F88:N88"/>
    <mergeCell ref="F55:N55"/>
    <mergeCell ref="A56:C56"/>
    <mergeCell ref="A61:C61"/>
    <mergeCell ref="A66:C66"/>
    <mergeCell ref="A71:C71"/>
    <mergeCell ref="D7:E7"/>
    <mergeCell ref="F7:N7"/>
    <mergeCell ref="A101:C101"/>
    <mergeCell ref="A102:C102"/>
    <mergeCell ref="A76:C76"/>
    <mergeCell ref="A81:C81"/>
    <mergeCell ref="A85:C85"/>
  </mergeCells>
  <pageMargins left="0.7" right="0.7" top="0.75" bottom="0.75" header="0.3" footer="0.3"/>
  <pageSetup paperSize="9" scale="5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C804-5A68-49C9-B012-320AD4D48B1B}">
  <dimension ref="A2:H31"/>
  <sheetViews>
    <sheetView showGridLines="0" workbookViewId="0">
      <selection activeCell="K10" sqref="K10"/>
    </sheetView>
  </sheetViews>
  <sheetFormatPr baseColWidth="10" defaultColWidth="11.453125" defaultRowHeight="14.5" x14ac:dyDescent="0.35"/>
  <cols>
    <col min="1" max="1" width="10.81640625" customWidth="1"/>
    <col min="4" max="4" width="35.81640625" customWidth="1"/>
    <col min="5" max="5" width="15.453125" customWidth="1"/>
    <col min="6" max="6" width="5.453125" customWidth="1"/>
    <col min="7" max="7" width="6.26953125" customWidth="1"/>
    <col min="8" max="8" width="11.7265625" customWidth="1"/>
  </cols>
  <sheetData>
    <row r="2" spans="1:8" x14ac:dyDescent="0.35">
      <c r="A2" s="334" t="s">
        <v>179</v>
      </c>
      <c r="B2" s="334"/>
      <c r="C2" s="334"/>
      <c r="D2" s="334"/>
      <c r="E2" s="334"/>
      <c r="F2" s="334"/>
      <c r="G2" s="334"/>
      <c r="H2" s="334"/>
    </row>
    <row r="3" spans="1:8" ht="8.15" customHeight="1" thickBot="1" x14ac:dyDescent="0.4"/>
    <row r="4" spans="1:8" ht="15" thickBot="1" x14ac:dyDescent="0.4">
      <c r="A4" s="379" t="s">
        <v>180</v>
      </c>
      <c r="B4" s="376"/>
      <c r="C4" s="376"/>
      <c r="D4" s="377"/>
      <c r="E4" s="375" t="s">
        <v>181</v>
      </c>
      <c r="F4" s="376"/>
      <c r="G4" s="377"/>
      <c r="H4" s="180"/>
    </row>
    <row r="5" spans="1:8" x14ac:dyDescent="0.35">
      <c r="A5" s="186"/>
      <c r="B5" s="187"/>
      <c r="C5" s="187"/>
      <c r="D5" s="187"/>
      <c r="E5" s="187"/>
      <c r="F5" s="187"/>
      <c r="G5" s="187"/>
      <c r="H5" s="188"/>
    </row>
    <row r="6" spans="1:8" x14ac:dyDescent="0.35">
      <c r="A6" s="186"/>
      <c r="B6" s="187"/>
      <c r="C6" s="187"/>
      <c r="D6" s="187"/>
      <c r="E6" s="187"/>
      <c r="F6" s="187"/>
      <c r="G6" s="187"/>
      <c r="H6" s="188"/>
    </row>
    <row r="7" spans="1:8" x14ac:dyDescent="0.35">
      <c r="A7" s="186"/>
      <c r="B7" s="187"/>
      <c r="C7" s="187"/>
      <c r="D7" s="187"/>
      <c r="E7" s="187"/>
      <c r="F7" s="187"/>
      <c r="G7" s="187"/>
      <c r="H7" s="188"/>
    </row>
    <row r="8" spans="1:8" x14ac:dyDescent="0.35">
      <c r="A8" s="186"/>
      <c r="B8" s="187"/>
      <c r="C8" s="187"/>
      <c r="D8" s="187"/>
      <c r="E8" s="187"/>
      <c r="F8" s="187"/>
      <c r="G8" s="187"/>
      <c r="H8" s="188"/>
    </row>
    <row r="9" spans="1:8" x14ac:dyDescent="0.35">
      <c r="A9" s="186"/>
      <c r="B9" s="187"/>
      <c r="C9" s="187"/>
      <c r="D9" s="187"/>
      <c r="E9" s="187"/>
      <c r="F9" s="187"/>
      <c r="G9" s="187"/>
      <c r="H9" s="188"/>
    </row>
    <row r="10" spans="1:8" ht="15" thickBot="1" x14ac:dyDescent="0.4">
      <c r="A10" s="186"/>
      <c r="B10" s="187"/>
      <c r="C10" s="187"/>
      <c r="D10" s="187"/>
      <c r="E10" s="187"/>
      <c r="F10" s="187"/>
      <c r="G10" s="187"/>
      <c r="H10" s="188"/>
    </row>
    <row r="11" spans="1:8" ht="15" thickBot="1" x14ac:dyDescent="0.4">
      <c r="A11" s="379" t="s">
        <v>182</v>
      </c>
      <c r="B11" s="376"/>
      <c r="C11" s="376"/>
      <c r="D11" s="377"/>
      <c r="E11" s="375" t="s">
        <v>181</v>
      </c>
      <c r="F11" s="376"/>
      <c r="G11" s="377"/>
      <c r="H11" s="180"/>
    </row>
    <row r="12" spans="1:8" x14ac:dyDescent="0.35">
      <c r="A12" s="186"/>
      <c r="B12" s="187"/>
      <c r="C12" s="187"/>
      <c r="D12" s="187"/>
      <c r="E12" s="187"/>
      <c r="F12" s="187"/>
      <c r="G12" s="187"/>
      <c r="H12" s="188"/>
    </row>
    <row r="13" spans="1:8" x14ac:dyDescent="0.35">
      <c r="A13" s="186"/>
      <c r="B13" s="187"/>
      <c r="C13" s="187"/>
      <c r="D13" s="187"/>
      <c r="E13" s="187"/>
      <c r="F13" s="187"/>
      <c r="G13" s="187"/>
      <c r="H13" s="188"/>
    </row>
    <row r="14" spans="1:8" x14ac:dyDescent="0.35">
      <c r="A14" s="186"/>
      <c r="B14" s="187"/>
      <c r="C14" s="187"/>
      <c r="D14" s="187"/>
      <c r="E14" s="187"/>
      <c r="F14" s="187"/>
      <c r="G14" s="187"/>
      <c r="H14" s="188"/>
    </row>
    <row r="15" spans="1:8" x14ac:dyDescent="0.35">
      <c r="A15" s="186"/>
      <c r="B15" s="187"/>
      <c r="C15" s="187"/>
      <c r="D15" s="187"/>
      <c r="E15" s="187"/>
      <c r="F15" s="187"/>
      <c r="G15" s="187"/>
      <c r="H15" s="188"/>
    </row>
    <row r="16" spans="1:8" x14ac:dyDescent="0.35">
      <c r="A16" s="186"/>
      <c r="B16" s="187"/>
      <c r="C16" s="187"/>
      <c r="D16" s="187"/>
      <c r="E16" s="187"/>
      <c r="F16" s="187"/>
      <c r="G16" s="187"/>
      <c r="H16" s="188"/>
    </row>
    <row r="17" spans="1:8" ht="15" thickBot="1" x14ac:dyDescent="0.4">
      <c r="A17" s="186"/>
      <c r="B17" s="187"/>
      <c r="C17" s="187"/>
      <c r="D17" s="187"/>
      <c r="E17" s="187"/>
      <c r="F17" s="187"/>
      <c r="G17" s="187"/>
      <c r="H17" s="188"/>
    </row>
    <row r="18" spans="1:8" ht="15" thickBot="1" x14ac:dyDescent="0.4">
      <c r="A18" s="379" t="s">
        <v>183</v>
      </c>
      <c r="B18" s="376"/>
      <c r="C18" s="376"/>
      <c r="D18" s="377"/>
      <c r="E18" s="375" t="s">
        <v>181</v>
      </c>
      <c r="F18" s="376"/>
      <c r="G18" s="377"/>
      <c r="H18" s="180"/>
    </row>
    <row r="19" spans="1:8" x14ac:dyDescent="0.35">
      <c r="A19" s="186"/>
      <c r="B19" s="187"/>
      <c r="C19" s="187"/>
      <c r="D19" s="187"/>
      <c r="E19" s="187"/>
      <c r="F19" s="187"/>
      <c r="G19" s="187"/>
      <c r="H19" s="188"/>
    </row>
    <row r="20" spans="1:8" x14ac:dyDescent="0.35">
      <c r="A20" s="186"/>
      <c r="B20" s="187"/>
      <c r="C20" s="187"/>
      <c r="D20" s="187"/>
      <c r="E20" s="187"/>
      <c r="F20" s="187"/>
      <c r="G20" s="187"/>
      <c r="H20" s="188"/>
    </row>
    <row r="21" spans="1:8" x14ac:dyDescent="0.35">
      <c r="A21" s="186"/>
      <c r="B21" s="187"/>
      <c r="C21" s="187"/>
      <c r="D21" s="187"/>
      <c r="E21" s="187"/>
      <c r="F21" s="187"/>
      <c r="G21" s="187"/>
      <c r="H21" s="188"/>
    </row>
    <row r="22" spans="1:8" x14ac:dyDescent="0.35">
      <c r="A22" s="186"/>
      <c r="B22" s="187"/>
      <c r="C22" s="187"/>
      <c r="D22" s="187"/>
      <c r="E22" s="187"/>
      <c r="F22" s="187"/>
      <c r="G22" s="187"/>
      <c r="H22" s="188"/>
    </row>
    <row r="23" spans="1:8" x14ac:dyDescent="0.35">
      <c r="A23" s="186"/>
      <c r="B23" s="187"/>
      <c r="C23" s="187"/>
      <c r="D23" s="187"/>
      <c r="E23" s="187"/>
      <c r="F23" s="187"/>
      <c r="G23" s="187"/>
      <c r="H23" s="188"/>
    </row>
    <row r="24" spans="1:8" ht="15" thickBot="1" x14ac:dyDescent="0.4">
      <c r="A24" s="186"/>
      <c r="B24" s="187"/>
      <c r="C24" s="187"/>
      <c r="D24" s="187"/>
      <c r="E24" s="187"/>
      <c r="F24" s="187"/>
      <c r="G24" s="187"/>
      <c r="H24" s="188"/>
    </row>
    <row r="25" spans="1:8" ht="15" thickBot="1" x14ac:dyDescent="0.4">
      <c r="A25" s="379" t="s">
        <v>184</v>
      </c>
      <c r="B25" s="376"/>
      <c r="C25" s="376"/>
      <c r="D25" s="377"/>
      <c r="E25" s="378" t="s">
        <v>185</v>
      </c>
      <c r="F25" s="378"/>
      <c r="G25" s="378"/>
      <c r="H25" s="180"/>
    </row>
    <row r="26" spans="1:8" x14ac:dyDescent="0.35">
      <c r="A26" s="186"/>
      <c r="B26" s="187"/>
      <c r="C26" s="187"/>
      <c r="D26" s="187"/>
      <c r="E26" s="187"/>
      <c r="F26" s="187"/>
      <c r="G26" s="187"/>
      <c r="H26" s="188"/>
    </row>
    <row r="27" spans="1:8" x14ac:dyDescent="0.35">
      <c r="A27" s="186"/>
      <c r="B27" s="187"/>
      <c r="C27" s="187"/>
      <c r="D27" s="187"/>
      <c r="E27" s="187"/>
      <c r="F27" s="187"/>
      <c r="G27" s="187"/>
      <c r="H27" s="188"/>
    </row>
    <row r="28" spans="1:8" x14ac:dyDescent="0.35">
      <c r="A28" s="186"/>
      <c r="B28" s="187"/>
      <c r="C28" s="187"/>
      <c r="D28" s="187"/>
      <c r="E28" s="187"/>
      <c r="F28" s="187"/>
      <c r="G28" s="187"/>
      <c r="H28" s="188"/>
    </row>
    <row r="29" spans="1:8" x14ac:dyDescent="0.35">
      <c r="A29" s="186"/>
      <c r="B29" s="187"/>
      <c r="C29" s="187"/>
      <c r="D29" s="187"/>
      <c r="E29" s="187"/>
      <c r="F29" s="187"/>
      <c r="G29" s="187"/>
      <c r="H29" s="188"/>
    </row>
    <row r="30" spans="1:8" x14ac:dyDescent="0.35">
      <c r="A30" s="186"/>
      <c r="B30" s="187"/>
      <c r="C30" s="187"/>
      <c r="D30" s="187"/>
      <c r="E30" s="187"/>
      <c r="F30" s="187"/>
      <c r="G30" s="187"/>
      <c r="H30" s="188"/>
    </row>
    <row r="31" spans="1:8" ht="15" thickBot="1" x14ac:dyDescent="0.4">
      <c r="A31" s="189"/>
      <c r="B31" s="190"/>
      <c r="C31" s="190"/>
      <c r="D31" s="190"/>
      <c r="E31" s="190"/>
      <c r="F31" s="190"/>
      <c r="G31" s="190"/>
      <c r="H31" s="191"/>
    </row>
  </sheetData>
  <mergeCells count="9">
    <mergeCell ref="E4:G4"/>
    <mergeCell ref="E11:G11"/>
    <mergeCell ref="E18:G18"/>
    <mergeCell ref="E25:G25"/>
    <mergeCell ref="A2:H2"/>
    <mergeCell ref="A4:D4"/>
    <mergeCell ref="A11:D11"/>
    <mergeCell ref="A18:D18"/>
    <mergeCell ref="A25:D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9C44-1785-4328-B6C4-CC900195E1CA}">
  <dimension ref="B2:M31"/>
  <sheetViews>
    <sheetView showGridLines="0" topLeftCell="A2" zoomScale="61" zoomScaleNormal="85" workbookViewId="0">
      <selection activeCell="I52" sqref="I52:L56"/>
    </sheetView>
  </sheetViews>
  <sheetFormatPr baseColWidth="10" defaultColWidth="11.453125" defaultRowHeight="14.5" x14ac:dyDescent="0.35"/>
  <cols>
    <col min="3" max="3" width="19.453125" customWidth="1"/>
    <col min="4" max="4" width="15.1796875" customWidth="1"/>
    <col min="5" max="5" width="15.81640625" customWidth="1"/>
    <col min="6" max="6" width="14.7265625" customWidth="1"/>
    <col min="7" max="7" width="13.26953125" customWidth="1"/>
    <col min="8" max="8" width="14" customWidth="1"/>
    <col min="9" max="10" width="11.81640625" customWidth="1"/>
    <col min="11" max="11" width="14.1796875" customWidth="1"/>
    <col min="12" max="12" width="14.81640625" customWidth="1"/>
    <col min="13" max="13" width="15.81640625" customWidth="1"/>
    <col min="14" max="14" width="11.54296875" bestFit="1" customWidth="1"/>
  </cols>
  <sheetData>
    <row r="2" spans="2:13" ht="15" thickBot="1" x14ac:dyDescent="0.4">
      <c r="B2" s="9" t="s">
        <v>186</v>
      </c>
    </row>
    <row r="3" spans="2:13" ht="43.5" x14ac:dyDescent="0.35">
      <c r="B3" s="380" t="s">
        <v>101</v>
      </c>
      <c r="C3" s="381"/>
      <c r="D3" s="176" t="s">
        <v>187</v>
      </c>
      <c r="E3" s="176" t="s">
        <v>188</v>
      </c>
      <c r="F3" s="176" t="s">
        <v>189</v>
      </c>
      <c r="G3" s="176" t="s">
        <v>190</v>
      </c>
      <c r="H3" s="176" t="s">
        <v>191</v>
      </c>
      <c r="I3" s="176" t="s">
        <v>192</v>
      </c>
      <c r="J3" s="176" t="s">
        <v>193</v>
      </c>
      <c r="K3" s="176" t="s">
        <v>194</v>
      </c>
      <c r="L3" s="176" t="s">
        <v>195</v>
      </c>
      <c r="M3" s="177" t="s">
        <v>196</v>
      </c>
    </row>
    <row r="4" spans="2:13" x14ac:dyDescent="0.35">
      <c r="B4" s="382"/>
      <c r="C4" s="383"/>
      <c r="D4" s="1"/>
      <c r="E4" s="1"/>
      <c r="F4" s="1">
        <f>D4+E4</f>
        <v>0</v>
      </c>
      <c r="G4" s="1"/>
      <c r="H4" s="1"/>
      <c r="I4" s="1">
        <v>0</v>
      </c>
      <c r="J4" s="1"/>
      <c r="K4" s="1">
        <v>0</v>
      </c>
      <c r="L4" s="1"/>
      <c r="M4" s="81">
        <f>I4-K4</f>
        <v>0</v>
      </c>
    </row>
    <row r="5" spans="2:13" x14ac:dyDescent="0.35">
      <c r="B5" s="382"/>
      <c r="C5" s="383"/>
      <c r="D5" s="1"/>
      <c r="E5" s="1"/>
      <c r="F5" s="1">
        <f>D5+E5</f>
        <v>0</v>
      </c>
      <c r="G5" s="1"/>
      <c r="H5" s="1"/>
      <c r="I5" s="1">
        <f t="shared" ref="I5:I6" si="0">G5+H5</f>
        <v>0</v>
      </c>
      <c r="J5" s="1"/>
      <c r="K5" s="1"/>
      <c r="L5" s="1"/>
      <c r="M5" s="81">
        <f t="shared" ref="M5:M7" si="1">I5-K5</f>
        <v>0</v>
      </c>
    </row>
    <row r="6" spans="2:13" x14ac:dyDescent="0.35">
      <c r="B6" s="382"/>
      <c r="C6" s="383"/>
      <c r="D6" s="1"/>
      <c r="E6" s="1"/>
      <c r="F6" s="1">
        <f t="shared" ref="F6:F7" si="2">D6+E6</f>
        <v>0</v>
      </c>
      <c r="G6" s="1"/>
      <c r="H6" s="1"/>
      <c r="I6" s="1">
        <f t="shared" si="0"/>
        <v>0</v>
      </c>
      <c r="J6" s="1"/>
      <c r="K6" s="1"/>
      <c r="L6" s="1"/>
      <c r="M6" s="81">
        <f>I6-K6</f>
        <v>0</v>
      </c>
    </row>
    <row r="7" spans="2:13" ht="15" thickBot="1" x14ac:dyDescent="0.4">
      <c r="B7" s="384"/>
      <c r="C7" s="385"/>
      <c r="D7" s="69"/>
      <c r="E7" s="69"/>
      <c r="F7" s="1">
        <f t="shared" si="2"/>
        <v>0</v>
      </c>
      <c r="G7" s="69"/>
      <c r="H7" s="69"/>
      <c r="I7" s="1">
        <f>G7+H7</f>
        <v>0</v>
      </c>
      <c r="J7" s="69"/>
      <c r="K7" s="69"/>
      <c r="L7" s="69"/>
      <c r="M7" s="81">
        <f t="shared" si="1"/>
        <v>0</v>
      </c>
    </row>
    <row r="8" spans="2:13" ht="15" thickBot="1" x14ac:dyDescent="0.4">
      <c r="F8" s="85">
        <f>SUM(F4:F7)</f>
        <v>0</v>
      </c>
      <c r="G8" s="84"/>
      <c r="H8" s="84"/>
      <c r="I8" s="84">
        <f>SUM(I4:I7)</f>
        <v>0</v>
      </c>
      <c r="J8" s="84"/>
      <c r="K8" s="84">
        <f>SUM(K4:K7)</f>
        <v>0</v>
      </c>
      <c r="L8" s="84"/>
      <c r="M8" s="75">
        <f>SUM(M4:M7)</f>
        <v>0</v>
      </c>
    </row>
    <row r="9" spans="2:13" x14ac:dyDescent="0.35">
      <c r="K9" s="386" t="s">
        <v>197</v>
      </c>
      <c r="L9" s="387"/>
      <c r="M9" s="152"/>
    </row>
    <row r="10" spans="2:13" x14ac:dyDescent="0.35">
      <c r="K10" s="382" t="s">
        <v>198</v>
      </c>
      <c r="L10" s="383"/>
      <c r="M10" s="153"/>
    </row>
    <row r="11" spans="2:13" ht="15" thickBot="1" x14ac:dyDescent="0.4">
      <c r="K11" s="388" t="s">
        <v>199</v>
      </c>
      <c r="L11" s="389"/>
      <c r="M11" s="178">
        <f>M8-M10-M9</f>
        <v>0</v>
      </c>
    </row>
    <row r="13" spans="2:13" ht="15" thickBot="1" x14ac:dyDescent="0.4">
      <c r="B13" s="9" t="s">
        <v>200</v>
      </c>
    </row>
    <row r="14" spans="2:13" ht="43.5" x14ac:dyDescent="0.35">
      <c r="B14" s="380" t="s">
        <v>101</v>
      </c>
      <c r="C14" s="381"/>
      <c r="D14" s="176" t="s">
        <v>201</v>
      </c>
      <c r="E14" s="176" t="s">
        <v>188</v>
      </c>
      <c r="F14" s="176" t="s">
        <v>202</v>
      </c>
      <c r="G14" s="176" t="s">
        <v>190</v>
      </c>
      <c r="H14" s="176" t="s">
        <v>191</v>
      </c>
      <c r="I14" s="176" t="s">
        <v>192</v>
      </c>
      <c r="J14" s="176" t="s">
        <v>193</v>
      </c>
      <c r="K14" s="176" t="s">
        <v>194</v>
      </c>
      <c r="L14" s="176" t="s">
        <v>195</v>
      </c>
      <c r="M14" s="177" t="s">
        <v>203</v>
      </c>
    </row>
    <row r="15" spans="2:13" x14ac:dyDescent="0.35">
      <c r="B15" s="382"/>
      <c r="C15" s="383"/>
      <c r="D15" s="1"/>
      <c r="E15" s="1"/>
      <c r="F15" s="1">
        <f>D15+E15</f>
        <v>0</v>
      </c>
      <c r="G15" s="1"/>
      <c r="H15" s="1"/>
      <c r="I15" s="1">
        <f>G15+H15</f>
        <v>0</v>
      </c>
      <c r="J15" s="1"/>
      <c r="K15" s="1"/>
      <c r="L15" s="1"/>
      <c r="M15" s="81">
        <f>I15-K15</f>
        <v>0</v>
      </c>
    </row>
    <row r="16" spans="2:13" x14ac:dyDescent="0.35">
      <c r="B16" s="382"/>
      <c r="C16" s="383"/>
      <c r="D16" s="1"/>
      <c r="E16" s="1"/>
      <c r="F16" s="1">
        <f t="shared" ref="F16:F18" si="3">D16+E16</f>
        <v>0</v>
      </c>
      <c r="G16" s="1"/>
      <c r="H16" s="1"/>
      <c r="I16" s="1">
        <f t="shared" ref="I16:I18" si="4">G16+H16</f>
        <v>0</v>
      </c>
      <c r="J16" s="1"/>
      <c r="K16" s="1"/>
      <c r="L16" s="1"/>
      <c r="M16" s="81">
        <f t="shared" ref="M16:M18" si="5">I16-K16</f>
        <v>0</v>
      </c>
    </row>
    <row r="17" spans="2:13" x14ac:dyDescent="0.35">
      <c r="B17" s="382"/>
      <c r="C17" s="383"/>
      <c r="D17" s="1"/>
      <c r="E17" s="1"/>
      <c r="F17" s="1">
        <f t="shared" si="3"/>
        <v>0</v>
      </c>
      <c r="G17" s="1"/>
      <c r="H17" s="1"/>
      <c r="I17" s="1">
        <f t="shared" si="4"/>
        <v>0</v>
      </c>
      <c r="J17" s="1"/>
      <c r="K17" s="1"/>
      <c r="L17" s="1"/>
      <c r="M17" s="81">
        <f t="shared" si="5"/>
        <v>0</v>
      </c>
    </row>
    <row r="18" spans="2:13" ht="15" thickBot="1" x14ac:dyDescent="0.4">
      <c r="B18" s="384"/>
      <c r="C18" s="385"/>
      <c r="D18" s="69"/>
      <c r="E18" s="69"/>
      <c r="F18" s="1">
        <f t="shared" si="3"/>
        <v>0</v>
      </c>
      <c r="G18" s="69"/>
      <c r="H18" s="69"/>
      <c r="I18" s="1">
        <f t="shared" si="4"/>
        <v>0</v>
      </c>
      <c r="J18" s="69"/>
      <c r="K18" s="69"/>
      <c r="L18" s="69"/>
      <c r="M18" s="81">
        <f t="shared" si="5"/>
        <v>0</v>
      </c>
    </row>
    <row r="19" spans="2:13" ht="15" thickBot="1" x14ac:dyDescent="0.4">
      <c r="F19" s="85">
        <f>SUM(F15:F18)</f>
        <v>0</v>
      </c>
      <c r="G19" s="84"/>
      <c r="H19" s="84"/>
      <c r="I19" s="84">
        <f>SUM(I15:I18)</f>
        <v>0</v>
      </c>
      <c r="J19" s="84"/>
      <c r="K19" s="84">
        <f>SUM(K15:K18)</f>
        <v>0</v>
      </c>
      <c r="L19" s="84"/>
      <c r="M19" s="75">
        <f>SUM(M15:M18)</f>
        <v>0</v>
      </c>
    </row>
    <row r="20" spans="2:13" x14ac:dyDescent="0.35">
      <c r="K20" s="386" t="s">
        <v>197</v>
      </c>
      <c r="L20" s="387"/>
      <c r="M20" s="152"/>
    </row>
    <row r="21" spans="2:13" x14ac:dyDescent="0.35">
      <c r="K21" s="382" t="s">
        <v>204</v>
      </c>
      <c r="L21" s="383"/>
      <c r="M21" s="153"/>
    </row>
    <row r="22" spans="2:13" ht="15" thickBot="1" x14ac:dyDescent="0.4">
      <c r="K22" s="388" t="s">
        <v>199</v>
      </c>
      <c r="L22" s="389"/>
      <c r="M22" s="178">
        <f>M19-M21-M20</f>
        <v>0</v>
      </c>
    </row>
    <row r="28" spans="2:13" x14ac:dyDescent="0.35">
      <c r="G28" s="214"/>
    </row>
    <row r="31" spans="2:13" x14ac:dyDescent="0.35">
      <c r="F31" s="214"/>
    </row>
  </sheetData>
  <mergeCells count="16">
    <mergeCell ref="K20:L20"/>
    <mergeCell ref="K21:L21"/>
    <mergeCell ref="K22:L22"/>
    <mergeCell ref="K11:L11"/>
    <mergeCell ref="B14:C14"/>
    <mergeCell ref="B15:C15"/>
    <mergeCell ref="B16:C16"/>
    <mergeCell ref="B17:C17"/>
    <mergeCell ref="B18:C18"/>
    <mergeCell ref="B3:C3"/>
    <mergeCell ref="K10:L10"/>
    <mergeCell ref="B4:C4"/>
    <mergeCell ref="B5:C5"/>
    <mergeCell ref="B6:C6"/>
    <mergeCell ref="B7:C7"/>
    <mergeCell ref="K9:L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Cliente</vt:lpstr>
      <vt:lpstr>Dotación de recursos</vt:lpstr>
      <vt:lpstr>Inversión</vt:lpstr>
      <vt:lpstr>Estructura Productiva</vt:lpstr>
      <vt:lpstr>Flujo proyectado </vt:lpstr>
      <vt:lpstr>Comentarios generales Opinion</vt:lpstr>
      <vt:lpstr>Anexo </vt:lpstr>
    </vt:vector>
  </TitlesOfParts>
  <Manager/>
  <Company>Fitogreen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Fitogreen</dc:creator>
  <cp:keywords/>
  <dc:description/>
  <cp:lastModifiedBy>Fitogreen</cp:lastModifiedBy>
  <cp:revision/>
  <dcterms:created xsi:type="dcterms:W3CDTF">2026-03-17T13:44:23Z</dcterms:created>
  <dcterms:modified xsi:type="dcterms:W3CDTF">2026-04-15T21:13:02Z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2026-03-17T13:44:35Z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5b751ddf-85de-4bcc-b58c-95a301ce674f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</Properties>
</file>