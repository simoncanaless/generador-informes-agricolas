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xr:revisionPtr revIDLastSave="0" documentId="8_{BE844B5A-6FB9-45AE-8716-072D3FCF9B3E}" xr6:coauthVersionLast="47" xr6:coauthVersionMax="47" xr10:uidLastSave="{00000000-0000-0000-0000-000000000000}"/>
  <bookViews>
    <workbookView xWindow="-120" yWindow="-120" windowWidth="38640" windowHeight="21120" tabRatio="860" xr2:uid="{05E34EB3-A6D4-4458-A1A9-62743B803EDB}"/>
  </bookViews>
  <sheets>
    <sheet name="Portada" sheetId="6" r:id="rId1"/>
    <sheet name="Recursos" sheetId="1" r:id="rId2"/>
    <sheet name="Inversión" sheetId="4" r:id="rId3"/>
    <sheet name="Plantaciones" sheetId="2" r:id="rId4"/>
    <sheet name="Flujo proyectado " sheetId="9" r:id="rId5"/>
    <sheet name="Supuestos" sheetId="17" r:id="rId6"/>
    <sheet name="Comentarios generales Opinion" sheetId="5" r:id="rId7"/>
    <sheet name="Anexo 1 Resultado" sheetId="14" r:id="rId8"/>
    <sheet name="Anexo 2 Ventas F29" sheetId="20" r:id="rId9"/>
    <sheet name="Anexo 3 Precios" sheetId="18" r:id="rId10"/>
    <sheet name="Anexo 4 Imágenes" sheetId="21" r:id="rId11"/>
    <sheet name="Opciones" sheetId="10" state="hidden" r:id="rId12"/>
    <sheet name="ETo" sheetId="12" state="hidden" r:id="rId13"/>
    <sheet name="Listas Validación" sheetId="13" state="hidden" r:id="rId14"/>
    <sheet name="Conciliación Ventas" sheetId="19" state="hidden" r:id="rId15"/>
  </sheets>
  <definedNames>
    <definedName name="_xlnm._FilterDatabase" localSheetId="12" hidden="1">ETo!$B$5:$H$290</definedName>
    <definedName name="_xlnm.Print_Area" localSheetId="10">'Anexo 4 Imágenes'!$A$1:$C$12</definedName>
    <definedName name="_xlnm.Print_Area" localSheetId="1">Recursos!$A$1:$M$49</definedName>
    <definedName name="_xlnm.Print_Area" localSheetId="5">Supuestos!$A$1:$R$26</definedName>
    <definedName name="Comunas_III">'Listas Validación'!$B$2:$B$10</definedName>
    <definedName name="Comunas_IV">'Listas Validación'!$C$2:$C$16</definedName>
    <definedName name="Comunas_IX">'Listas Validación'!$J$2:$J$33</definedName>
    <definedName name="Comunas_RM">'Listas Validación'!$E$2:$E$35</definedName>
    <definedName name="Comunas_V">'Listas Validación'!$D$2:$D$37</definedName>
    <definedName name="Comunas_VI">'Listas Validación'!$F$2:$F$34</definedName>
    <definedName name="Comunas_VII">'Listas Validación'!$G$2:$G$31</definedName>
    <definedName name="Comunas_VIII">'Listas Validación'!$I$2:$I$34</definedName>
    <definedName name="Comunas_X">'Listas Validación'!$L$2:$L$31</definedName>
    <definedName name="Comunas_XIV">'Listas Validación'!$K$2:$K$13</definedName>
    <definedName name="Comunas_XVI">'Listas Validación'!$H$2:$H$22</definedName>
    <definedName name="ListaRegiones">'Listas Validación'!$A$2:$A$12</definedName>
    <definedName name="_xlnm.Print_Titles" localSheetId="5">Supuestos!$A:$D</definedName>
    <definedName name="version">Portada!$I$7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8" l="1"/>
  <c r="F7" i="18"/>
  <c r="D8" i="18"/>
  <c r="B8" i="18"/>
  <c r="A4" i="2"/>
  <c r="A23" i="19"/>
  <c r="A22" i="19"/>
  <c r="A19" i="19"/>
  <c r="A21" i="19"/>
  <c r="A16" i="19"/>
  <c r="A15" i="19"/>
  <c r="A14" i="19"/>
  <c r="A13" i="19"/>
  <c r="A12" i="19"/>
  <c r="A11" i="19"/>
  <c r="A10" i="19"/>
  <c r="A9" i="19"/>
  <c r="A8" i="19"/>
  <c r="A7" i="19"/>
  <c r="A6" i="19"/>
  <c r="A5" i="19"/>
  <c r="A1" i="19"/>
  <c r="A19" i="20"/>
  <c r="A16" i="20"/>
  <c r="A15" i="20"/>
  <c r="A14" i="20"/>
  <c r="A13" i="20"/>
  <c r="A12" i="20"/>
  <c r="A11" i="20"/>
  <c r="A10" i="20"/>
  <c r="A9" i="20"/>
  <c r="A8" i="20"/>
  <c r="A7" i="20"/>
  <c r="A6" i="20"/>
  <c r="A5" i="20"/>
  <c r="A2" i="20"/>
  <c r="A25" i="17"/>
  <c r="D3" i="14"/>
  <c r="E26" i="6"/>
  <c r="D25" i="9"/>
  <c r="E48" i="9"/>
  <c r="E3" i="9"/>
  <c r="M7" i="9"/>
  <c r="M51" i="9" s="1"/>
  <c r="L64" i="9"/>
  <c r="L57" i="9"/>
  <c r="L13" i="17" s="1"/>
  <c r="L7" i="9"/>
  <c r="L70" i="9" s="1"/>
  <c r="K70" i="9"/>
  <c r="K64" i="9"/>
  <c r="K7" i="9"/>
  <c r="K23" i="9" s="1"/>
  <c r="J7" i="9"/>
  <c r="J64" i="9" s="1"/>
  <c r="I7" i="9"/>
  <c r="I70" i="9" s="1"/>
  <c r="H7" i="9"/>
  <c r="H70" i="9" s="1"/>
  <c r="G7" i="9"/>
  <c r="L23" i="17" s="1"/>
  <c r="F70" i="9"/>
  <c r="F7" i="9"/>
  <c r="F57" i="9" s="1"/>
  <c r="F13" i="17" s="1"/>
  <c r="E78" i="9"/>
  <c r="E70" i="9"/>
  <c r="E64" i="9"/>
  <c r="E57" i="9"/>
  <c r="E51" i="9"/>
  <c r="E40" i="9"/>
  <c r="E23" i="9"/>
  <c r="D7" i="9"/>
  <c r="D51" i="9" s="1"/>
  <c r="A24" i="17"/>
  <c r="B24" i="17"/>
  <c r="C24" i="17"/>
  <c r="D24" i="17"/>
  <c r="E13" i="17"/>
  <c r="D70" i="9" l="1"/>
  <c r="D64" i="9"/>
  <c r="M70" i="9"/>
  <c r="J40" i="9"/>
  <c r="J51" i="9"/>
  <c r="D78" i="9"/>
  <c r="K40" i="9"/>
  <c r="D57" i="9"/>
  <c r="D13" i="17" s="1"/>
  <c r="K51" i="9"/>
  <c r="K57" i="9"/>
  <c r="K13" i="17" s="1"/>
  <c r="I23" i="9"/>
  <c r="C8" i="18"/>
  <c r="M57" i="9"/>
  <c r="M13" i="17" s="1"/>
  <c r="M64" i="9"/>
  <c r="F64" i="9"/>
  <c r="L23" i="9"/>
  <c r="M23" i="17"/>
  <c r="N23" i="17"/>
  <c r="I40" i="9"/>
  <c r="O23" i="17"/>
  <c r="G23" i="9"/>
  <c r="I51" i="9"/>
  <c r="P23" i="17"/>
  <c r="G40" i="9"/>
  <c r="I57" i="9"/>
  <c r="I13" i="17" s="1"/>
  <c r="Q23" i="17"/>
  <c r="G51" i="9"/>
  <c r="I64" i="9"/>
  <c r="R23" i="17"/>
  <c r="G57" i="9"/>
  <c r="G13" i="17" s="1"/>
  <c r="G64" i="9"/>
  <c r="L40" i="9"/>
  <c r="G70" i="9"/>
  <c r="J23" i="9"/>
  <c r="L51" i="9"/>
  <c r="I26" i="6"/>
  <c r="H23" i="9"/>
  <c r="H40" i="9"/>
  <c r="J57" i="9"/>
  <c r="J13" i="17" s="1"/>
  <c r="H51" i="9"/>
  <c r="F23" i="17"/>
  <c r="F23" i="9"/>
  <c r="D23" i="9"/>
  <c r="F40" i="9"/>
  <c r="H57" i="9"/>
  <c r="H13" i="17" s="1"/>
  <c r="J70" i="9"/>
  <c r="M23" i="9"/>
  <c r="G23" i="17"/>
  <c r="D40" i="9"/>
  <c r="F51" i="9"/>
  <c r="H64" i="9"/>
  <c r="M40" i="9"/>
  <c r="K23" i="17"/>
  <c r="C20" i="20"/>
  <c r="C12" i="20" s="1"/>
  <c r="B17" i="20"/>
  <c r="D11" i="20" s="1"/>
  <c r="D15" i="20"/>
  <c r="D14" i="20"/>
  <c r="C13" i="20"/>
  <c r="D13" i="20"/>
  <c r="D12" i="20"/>
  <c r="C11" i="20"/>
  <c r="D10" i="20"/>
  <c r="C9" i="20"/>
  <c r="B26" i="19"/>
  <c r="B17" i="19"/>
  <c r="B21" i="19" s="1"/>
  <c r="C17" i="19"/>
  <c r="D17" i="19"/>
  <c r="E17" i="19"/>
  <c r="F17" i="19"/>
  <c r="F12" i="9"/>
  <c r="G12" i="9"/>
  <c r="L12" i="9"/>
  <c r="M12" i="9"/>
  <c r="F47" i="9"/>
  <c r="G47" i="9"/>
  <c r="H47" i="9"/>
  <c r="I47" i="9"/>
  <c r="J47" i="9"/>
  <c r="K47" i="9"/>
  <c r="L47" i="9"/>
  <c r="M47" i="9"/>
  <c r="H12" i="9"/>
  <c r="I12" i="9"/>
  <c r="J12" i="9"/>
  <c r="K12" i="9"/>
  <c r="L13" i="9"/>
  <c r="F10" i="9"/>
  <c r="H11" i="9"/>
  <c r="E4" i="9"/>
  <c r="E47" i="9"/>
  <c r="E44" i="9"/>
  <c r="E27" i="9"/>
  <c r="H6" i="14"/>
  <c r="F6" i="14"/>
  <c r="E6" i="14"/>
  <c r="G5" i="14"/>
  <c r="I5" i="14" s="1"/>
  <c r="D7" i="20" l="1"/>
  <c r="D8" i="20"/>
  <c r="D6" i="20"/>
  <c r="C6" i="20"/>
  <c r="C8" i="20"/>
  <c r="D16" i="20"/>
  <c r="D5" i="20"/>
  <c r="E5" i="20" s="1"/>
  <c r="D9" i="20"/>
  <c r="G6" i="14"/>
  <c r="B22" i="19" s="1"/>
  <c r="B24" i="19" s="1"/>
  <c r="E15" i="20"/>
  <c r="B23" i="19"/>
  <c r="C23" i="19" s="1"/>
  <c r="C21" i="19"/>
  <c r="E10" i="20"/>
  <c r="C15" i="20"/>
  <c r="C10" i="20"/>
  <c r="C5" i="20"/>
  <c r="E42" i="9"/>
  <c r="E31" i="9" s="1"/>
  <c r="C14" i="20"/>
  <c r="C16" i="20"/>
  <c r="C7" i="20"/>
  <c r="E6" i="20"/>
  <c r="E16" i="20"/>
  <c r="E13" i="20"/>
  <c r="E7" i="20"/>
  <c r="D17" i="20"/>
  <c r="E14" i="20"/>
  <c r="D25" i="17"/>
  <c r="L14" i="9"/>
  <c r="K14" i="9"/>
  <c r="J14" i="9"/>
  <c r="M14" i="9"/>
  <c r="I14" i="9"/>
  <c r="H14" i="9"/>
  <c r="G14" i="9"/>
  <c r="F14" i="9"/>
  <c r="J11" i="9"/>
  <c r="I11" i="9"/>
  <c r="F13" i="9"/>
  <c r="G13" i="9"/>
  <c r="I13" i="9"/>
  <c r="J13" i="9"/>
  <c r="K13" i="9"/>
  <c r="M13" i="9"/>
  <c r="H13" i="9"/>
  <c r="K11" i="9"/>
  <c r="L11" i="9"/>
  <c r="M11" i="9"/>
  <c r="F11" i="9"/>
  <c r="G11" i="9"/>
  <c r="I6" i="14"/>
  <c r="I9" i="14" s="1"/>
  <c r="E8" i="20" l="1"/>
  <c r="E9" i="20"/>
  <c r="E12" i="20"/>
  <c r="B19" i="20"/>
  <c r="B21" i="20" s="1"/>
  <c r="C22" i="19"/>
  <c r="E11" i="20"/>
  <c r="C17" i="20"/>
  <c r="E79" i="9" s="1"/>
  <c r="C19" i="20"/>
  <c r="B25" i="19"/>
  <c r="C24" i="19"/>
  <c r="I10" i="9"/>
  <c r="J10" i="9"/>
  <c r="K10" i="9"/>
  <c r="M10" i="9"/>
  <c r="G10" i="9"/>
  <c r="H10" i="9"/>
  <c r="L10" i="9"/>
  <c r="A15" i="2" l="1" a="1"/>
  <c r="A15" i="2" s="1"/>
  <c r="B15" i="2" s="1"/>
  <c r="I290" i="12"/>
  <c r="G289" i="12"/>
  <c r="G288" i="12"/>
  <c r="G287" i="12"/>
  <c r="I286" i="12"/>
  <c r="I285" i="12"/>
  <c r="G284" i="12"/>
  <c r="G283" i="12"/>
  <c r="I282" i="12"/>
  <c r="I281" i="12"/>
  <c r="I280" i="12"/>
  <c r="G279" i="12"/>
  <c r="G278" i="12"/>
  <c r="I277" i="12"/>
  <c r="I276" i="12"/>
  <c r="I275" i="12"/>
  <c r="G274" i="12"/>
  <c r="G273" i="12"/>
  <c r="I272" i="12"/>
  <c r="I271" i="12"/>
  <c r="I270" i="12"/>
  <c r="G269" i="12"/>
  <c r="G268" i="12"/>
  <c r="I267" i="12"/>
  <c r="I266" i="12"/>
  <c r="I265" i="12"/>
  <c r="G264" i="12"/>
  <c r="G263" i="12"/>
  <c r="G262" i="12"/>
  <c r="I261" i="12"/>
  <c r="I260" i="12"/>
  <c r="G259" i="12"/>
  <c r="G258" i="12"/>
  <c r="I257" i="12"/>
  <c r="I256" i="12"/>
  <c r="I255" i="12"/>
  <c r="G254" i="12"/>
  <c r="G253" i="12"/>
  <c r="I252" i="12"/>
  <c r="I251" i="12"/>
  <c r="I250" i="12"/>
  <c r="G249" i="12"/>
  <c r="G248" i="12"/>
  <c r="I247" i="12"/>
  <c r="I246" i="12"/>
  <c r="I245" i="12"/>
  <c r="G244" i="12"/>
  <c r="G243" i="12"/>
  <c r="I242" i="12"/>
  <c r="I241" i="12"/>
  <c r="I240" i="12"/>
  <c r="G239" i="12"/>
  <c r="G238" i="12"/>
  <c r="G237" i="12"/>
  <c r="I236" i="12"/>
  <c r="I235" i="12"/>
  <c r="G234" i="12"/>
  <c r="G233" i="12"/>
  <c r="I232" i="12"/>
  <c r="I231" i="12"/>
  <c r="I230" i="12"/>
  <c r="G229" i="12"/>
  <c r="G228" i="12"/>
  <c r="I227" i="12"/>
  <c r="I226" i="12"/>
  <c r="I225" i="12"/>
  <c r="G224" i="12"/>
  <c r="G223" i="12"/>
  <c r="I222" i="12"/>
  <c r="I221" i="12"/>
  <c r="I220" i="12"/>
  <c r="G219" i="12"/>
  <c r="G218" i="12"/>
  <c r="I217" i="12"/>
  <c r="I216" i="12"/>
  <c r="I215" i="12"/>
  <c r="G214" i="12"/>
  <c r="G213" i="12"/>
  <c r="G212" i="12"/>
  <c r="I211" i="12"/>
  <c r="I210" i="12"/>
  <c r="G209" i="12"/>
  <c r="G208" i="12"/>
  <c r="I207" i="12"/>
  <c r="I206" i="12"/>
  <c r="I205" i="12"/>
  <c r="G204" i="12"/>
  <c r="G203" i="12"/>
  <c r="I202" i="12"/>
  <c r="I201" i="12"/>
  <c r="I200" i="12"/>
  <c r="G199" i="12"/>
  <c r="G198" i="12"/>
  <c r="I197" i="12"/>
  <c r="I196" i="12"/>
  <c r="I195" i="12"/>
  <c r="G194" i="12"/>
  <c r="G193" i="12"/>
  <c r="I192" i="12"/>
  <c r="I191" i="12"/>
  <c r="I190" i="12"/>
  <c r="G189" i="12"/>
  <c r="G188" i="12"/>
  <c r="G187" i="12"/>
  <c r="I186" i="12"/>
  <c r="I185" i="12"/>
  <c r="G184" i="12"/>
  <c r="G183" i="12"/>
  <c r="I182" i="12"/>
  <c r="I181" i="12"/>
  <c r="I180" i="12"/>
  <c r="G179" i="12"/>
  <c r="G178" i="12"/>
  <c r="I177" i="12"/>
  <c r="I176" i="12"/>
  <c r="I175" i="12"/>
  <c r="G174" i="12"/>
  <c r="G173" i="12"/>
  <c r="I172" i="12"/>
  <c r="I171" i="12"/>
  <c r="I170" i="12"/>
  <c r="G169" i="12"/>
  <c r="G168" i="12"/>
  <c r="I167" i="12"/>
  <c r="I166" i="12"/>
  <c r="I165" i="12"/>
  <c r="G164" i="12"/>
  <c r="G163" i="12"/>
  <c r="G162" i="12"/>
  <c r="I161" i="12"/>
  <c r="I160" i="12"/>
  <c r="G159" i="12"/>
  <c r="G158" i="12"/>
  <c r="I157" i="12"/>
  <c r="I156" i="12"/>
  <c r="I155" i="12"/>
  <c r="G154" i="12"/>
  <c r="G153" i="12"/>
  <c r="I152" i="12"/>
  <c r="I151" i="12"/>
  <c r="I150" i="12"/>
  <c r="G149" i="12"/>
  <c r="G148" i="12"/>
  <c r="I147" i="12"/>
  <c r="I146" i="12"/>
  <c r="I145" i="12"/>
  <c r="G144" i="12"/>
  <c r="G143" i="12"/>
  <c r="I142" i="12"/>
  <c r="I141" i="12"/>
  <c r="I140" i="12"/>
  <c r="G139" i="12"/>
  <c r="G138" i="12"/>
  <c r="G137" i="12"/>
  <c r="I136" i="12"/>
  <c r="I135" i="12"/>
  <c r="G134" i="12"/>
  <c r="G133" i="12"/>
  <c r="I132" i="12"/>
  <c r="I131" i="12"/>
  <c r="I130" i="12"/>
  <c r="G129" i="12"/>
  <c r="G128" i="12"/>
  <c r="I127" i="12"/>
  <c r="I126" i="12"/>
  <c r="I125" i="12"/>
  <c r="G124" i="12"/>
  <c r="G123" i="12"/>
  <c r="G122" i="12"/>
  <c r="I121" i="12"/>
  <c r="I120" i="12"/>
  <c r="G119" i="12"/>
  <c r="G118" i="12"/>
  <c r="I117" i="12"/>
  <c r="I116" i="12"/>
  <c r="I115" i="12"/>
  <c r="G114" i="12"/>
  <c r="G113" i="12"/>
  <c r="G112" i="12"/>
  <c r="I111" i="12"/>
  <c r="I110" i="12"/>
  <c r="G109" i="12"/>
  <c r="G108" i="12"/>
  <c r="I107" i="12"/>
  <c r="I106" i="12"/>
  <c r="I105" i="12"/>
  <c r="G104" i="12"/>
  <c r="G103" i="12"/>
  <c r="I102" i="12"/>
  <c r="I101" i="12"/>
  <c r="I100" i="12"/>
  <c r="G99" i="12"/>
  <c r="G98" i="12"/>
  <c r="G97" i="12"/>
  <c r="I96" i="12"/>
  <c r="I95" i="12"/>
  <c r="G94" i="12"/>
  <c r="G93" i="12"/>
  <c r="I92" i="12"/>
  <c r="I91" i="12"/>
  <c r="I90" i="12"/>
  <c r="G89" i="12"/>
  <c r="G88" i="12"/>
  <c r="G87" i="12"/>
  <c r="I86" i="12"/>
  <c r="I85" i="12"/>
  <c r="G84" i="12"/>
  <c r="G83" i="12"/>
  <c r="I82" i="12"/>
  <c r="I81" i="12"/>
  <c r="I80" i="12"/>
  <c r="G79" i="12"/>
  <c r="G78" i="12"/>
  <c r="I77" i="12"/>
  <c r="I76" i="12"/>
  <c r="G75" i="12"/>
  <c r="G74" i="12"/>
  <c r="G73" i="12"/>
  <c r="I72" i="12"/>
  <c r="I71" i="12"/>
  <c r="G70" i="12"/>
  <c r="I69" i="12"/>
  <c r="G68" i="12"/>
  <c r="G67" i="12"/>
  <c r="I66" i="12"/>
  <c r="G65" i="12"/>
  <c r="G64" i="12"/>
  <c r="G63" i="12"/>
  <c r="G62" i="12"/>
  <c r="I61" i="12"/>
  <c r="I60" i="12"/>
  <c r="G59" i="12"/>
  <c r="I58" i="12"/>
  <c r="G57" i="12"/>
  <c r="I56" i="12"/>
  <c r="I55" i="12"/>
  <c r="G54" i="12"/>
  <c r="G53" i="12"/>
  <c r="I52" i="12"/>
  <c r="I51" i="12"/>
  <c r="G50" i="12"/>
  <c r="I49" i="12"/>
  <c r="G48" i="12"/>
  <c r="I47" i="12"/>
  <c r="I46" i="12"/>
  <c r="G45" i="12"/>
  <c r="I44" i="12"/>
  <c r="G43" i="12"/>
  <c r="G42" i="12"/>
  <c r="I41" i="12"/>
  <c r="G40" i="12"/>
  <c r="G39" i="12"/>
  <c r="I38" i="12"/>
  <c r="I37" i="12"/>
  <c r="I36" i="12"/>
  <c r="G35" i="12"/>
  <c r="G34" i="12"/>
  <c r="G33" i="12"/>
  <c r="I32" i="12"/>
  <c r="I31" i="12"/>
  <c r="G30" i="12"/>
  <c r="I29" i="12"/>
  <c r="G28" i="12"/>
  <c r="I27" i="12"/>
  <c r="I26" i="12"/>
  <c r="G25" i="12"/>
  <c r="I24" i="12"/>
  <c r="G23" i="12"/>
  <c r="G22" i="12"/>
  <c r="I21" i="12"/>
  <c r="G20" i="12"/>
  <c r="I19" i="12"/>
  <c r="G18" i="12"/>
  <c r="I17" i="12"/>
  <c r="I16" i="12"/>
  <c r="G15" i="12"/>
  <c r="I14" i="12"/>
  <c r="I13" i="12"/>
  <c r="I12" i="12"/>
  <c r="I11" i="12"/>
  <c r="G10" i="12"/>
  <c r="I9" i="12"/>
  <c r="I8" i="12"/>
  <c r="I7" i="12"/>
  <c r="I6" i="12"/>
  <c r="I70" i="12" l="1"/>
  <c r="I62" i="12"/>
  <c r="I15" i="12"/>
  <c r="I237" i="12"/>
  <c r="I42" i="12"/>
  <c r="I34" i="12"/>
  <c r="I143" i="12"/>
  <c r="I254" i="12"/>
  <c r="I74" i="12"/>
  <c r="I39" i="12"/>
  <c r="G136" i="12"/>
  <c r="I189" i="12"/>
  <c r="G27" i="12"/>
  <c r="I87" i="12"/>
  <c r="G151" i="12"/>
  <c r="G206" i="12"/>
  <c r="I279" i="12"/>
  <c r="G106" i="12"/>
  <c r="G126" i="12"/>
  <c r="I214" i="12"/>
  <c r="G176" i="12"/>
  <c r="I209" i="12"/>
  <c r="I284" i="12"/>
  <c r="I288" i="12"/>
  <c r="G8" i="12"/>
  <c r="I168" i="12"/>
  <c r="I243" i="12"/>
  <c r="I59" i="12"/>
  <c r="I218" i="12"/>
  <c r="I48" i="12"/>
  <c r="G52" i="12"/>
  <c r="I262" i="12"/>
  <c r="G172" i="12"/>
  <c r="I63" i="12"/>
  <c r="G24" i="12"/>
  <c r="I43" i="12"/>
  <c r="I40" i="12"/>
  <c r="G60" i="12"/>
  <c r="I33" i="12"/>
  <c r="G49" i="12"/>
  <c r="I109" i="12"/>
  <c r="I118" i="12"/>
  <c r="I84" i="12"/>
  <c r="I25" i="12"/>
  <c r="I73" i="12"/>
  <c r="G77" i="12"/>
  <c r="I18" i="12"/>
  <c r="I45" i="12"/>
  <c r="I114" i="12"/>
  <c r="G147" i="12"/>
  <c r="G161" i="12"/>
  <c r="I259" i="12"/>
  <c r="I268" i="12"/>
  <c r="I28" i="12"/>
  <c r="I22" i="12"/>
  <c r="I30" i="12"/>
  <c r="I184" i="12"/>
  <c r="I287" i="12"/>
  <c r="I54" i="12"/>
  <c r="I57" i="12"/>
  <c r="I65" i="12"/>
  <c r="I68" i="12"/>
  <c r="I93" i="12"/>
  <c r="G256" i="12"/>
  <c r="G281" i="12"/>
  <c r="I89" i="12"/>
  <c r="I10" i="12"/>
  <c r="I20" i="12"/>
  <c r="I23" i="12"/>
  <c r="G14" i="12"/>
  <c r="I50" i="12"/>
  <c r="I53" i="12"/>
  <c r="I64" i="12"/>
  <c r="I67" i="12"/>
  <c r="I75" i="12"/>
  <c r="I78" i="12"/>
  <c r="I112" i="12"/>
  <c r="G121" i="12"/>
  <c r="I134" i="12"/>
  <c r="I159" i="12"/>
  <c r="I212" i="12"/>
  <c r="G221" i="12"/>
  <c r="G225" i="12"/>
  <c r="G250" i="12"/>
  <c r="G275" i="12"/>
  <c r="G37" i="12"/>
  <c r="G96" i="12"/>
  <c r="G131" i="12"/>
  <c r="G156" i="12"/>
  <c r="G197" i="12"/>
  <c r="G201" i="12"/>
  <c r="G12" i="12"/>
  <c r="G101" i="12"/>
  <c r="I139" i="12"/>
  <c r="I164" i="12"/>
  <c r="G181" i="12"/>
  <c r="I193" i="12"/>
  <c r="G222" i="12"/>
  <c r="G226" i="12"/>
  <c r="I234" i="12"/>
  <c r="G247" i="12"/>
  <c r="G251" i="12"/>
  <c r="G272" i="12"/>
  <c r="G276" i="12"/>
  <c r="G280" i="12"/>
  <c r="G19" i="12"/>
  <c r="G32" i="12"/>
  <c r="G186" i="12"/>
  <c r="G13" i="12"/>
  <c r="G47" i="12"/>
  <c r="G55" i="12"/>
  <c r="G58" i="12"/>
  <c r="G211" i="12"/>
  <c r="G9" i="12"/>
  <c r="G38" i="12"/>
  <c r="G111" i="12"/>
  <c r="G69" i="12"/>
  <c r="G72" i="12"/>
  <c r="G81" i="12"/>
  <c r="I239" i="12"/>
  <c r="G236" i="12"/>
  <c r="G7" i="12"/>
  <c r="G17" i="12"/>
  <c r="I35" i="12"/>
  <c r="G86" i="12"/>
  <c r="I137" i="12"/>
  <c r="G146" i="12"/>
  <c r="G150" i="12"/>
  <c r="I162" i="12"/>
  <c r="G171" i="12"/>
  <c r="G175" i="12"/>
  <c r="I203" i="12"/>
  <c r="G261" i="12"/>
  <c r="G290" i="12"/>
  <c r="G231" i="12"/>
  <c r="G29" i="12"/>
  <c r="G44" i="12"/>
  <c r="I178" i="12"/>
  <c r="I187" i="12"/>
  <c r="G196" i="12"/>
  <c r="G200" i="12"/>
  <c r="I228" i="12"/>
  <c r="I253" i="12"/>
  <c r="I278" i="12"/>
  <c r="G6" i="12"/>
  <c r="G11" i="12"/>
  <c r="G16" i="12"/>
  <c r="G21" i="12"/>
  <c r="G26" i="12"/>
  <c r="I128" i="12"/>
  <c r="G266" i="12"/>
  <c r="G82" i="12"/>
  <c r="G85" i="12"/>
  <c r="I94" i="12"/>
  <c r="I97" i="12"/>
  <c r="G107" i="12"/>
  <c r="G110" i="12"/>
  <c r="I119" i="12"/>
  <c r="I122" i="12"/>
  <c r="G132" i="12"/>
  <c r="G135" i="12"/>
  <c r="I144" i="12"/>
  <c r="G157" i="12"/>
  <c r="G160" i="12"/>
  <c r="I169" i="12"/>
  <c r="G182" i="12"/>
  <c r="G185" i="12"/>
  <c r="I194" i="12"/>
  <c r="G207" i="12"/>
  <c r="G210" i="12"/>
  <c r="I219" i="12"/>
  <c r="G232" i="12"/>
  <c r="G235" i="12"/>
  <c r="I244" i="12"/>
  <c r="G257" i="12"/>
  <c r="G260" i="12"/>
  <c r="I269" i="12"/>
  <c r="G282" i="12"/>
  <c r="G285" i="12"/>
  <c r="I153" i="12"/>
  <c r="G216" i="12"/>
  <c r="I138" i="12"/>
  <c r="I163" i="12"/>
  <c r="I188" i="12"/>
  <c r="I79" i="12"/>
  <c r="G92" i="12"/>
  <c r="G95" i="12"/>
  <c r="I104" i="12"/>
  <c r="G117" i="12"/>
  <c r="G120" i="12"/>
  <c r="I129" i="12"/>
  <c r="G142" i="12"/>
  <c r="G145" i="12"/>
  <c r="I154" i="12"/>
  <c r="G167" i="12"/>
  <c r="G170" i="12"/>
  <c r="I179" i="12"/>
  <c r="G192" i="12"/>
  <c r="G195" i="12"/>
  <c r="I204" i="12"/>
  <c r="G217" i="12"/>
  <c r="G220" i="12"/>
  <c r="I229" i="12"/>
  <c r="G242" i="12"/>
  <c r="G245" i="12"/>
  <c r="G267" i="12"/>
  <c r="G270" i="12"/>
  <c r="I148" i="12"/>
  <c r="I173" i="12"/>
  <c r="I198" i="12"/>
  <c r="I223" i="12"/>
  <c r="I248" i="12"/>
  <c r="I273" i="12"/>
  <c r="G286" i="12"/>
  <c r="G125" i="12"/>
  <c r="I103" i="12"/>
  <c r="G241" i="12"/>
  <c r="I88" i="12"/>
  <c r="I98" i="12"/>
  <c r="G80" i="12"/>
  <c r="G102" i="12"/>
  <c r="G105" i="12"/>
  <c r="G127" i="12"/>
  <c r="G130" i="12"/>
  <c r="G152" i="12"/>
  <c r="G155" i="12"/>
  <c r="G177" i="12"/>
  <c r="G180" i="12"/>
  <c r="G202" i="12"/>
  <c r="G205" i="12"/>
  <c r="G227" i="12"/>
  <c r="G230" i="12"/>
  <c r="G252" i="12"/>
  <c r="G255" i="12"/>
  <c r="I264" i="12"/>
  <c r="G277" i="12"/>
  <c r="I289" i="12"/>
  <c r="G100" i="12"/>
  <c r="G91" i="12"/>
  <c r="G116" i="12"/>
  <c r="I113" i="12"/>
  <c r="I238" i="12"/>
  <c r="I263" i="12"/>
  <c r="I83" i="12"/>
  <c r="I108" i="12"/>
  <c r="I133" i="12"/>
  <c r="I158" i="12"/>
  <c r="I183" i="12"/>
  <c r="I208" i="12"/>
  <c r="I233" i="12"/>
  <c r="G246" i="12"/>
  <c r="I258" i="12"/>
  <c r="G271" i="12"/>
  <c r="I283" i="12"/>
  <c r="G31" i="12"/>
  <c r="G36" i="12"/>
  <c r="G41" i="12"/>
  <c r="G46" i="12"/>
  <c r="G51" i="12"/>
  <c r="G56" i="12"/>
  <c r="G61" i="12"/>
  <c r="G66" i="12"/>
  <c r="G71" i="12"/>
  <c r="G76" i="12"/>
  <c r="G141" i="12"/>
  <c r="G166" i="12"/>
  <c r="G191" i="12"/>
  <c r="I213" i="12"/>
  <c r="I123" i="12"/>
  <c r="G90" i="12"/>
  <c r="I99" i="12"/>
  <c r="G115" i="12"/>
  <c r="I124" i="12"/>
  <c r="G140" i="12"/>
  <c r="I149" i="12"/>
  <c r="G165" i="12"/>
  <c r="I174" i="12"/>
  <c r="G190" i="12"/>
  <c r="I199" i="12"/>
  <c r="G215" i="12"/>
  <c r="I224" i="12"/>
  <c r="G240" i="12"/>
  <c r="I249" i="12"/>
  <c r="G265" i="12"/>
  <c r="I274" i="12"/>
  <c r="D35" i="1" l="1"/>
  <c r="K35" i="1" l="1"/>
  <c r="A21" i="6"/>
  <c r="I35" i="6"/>
  <c r="H35" i="6"/>
  <c r="G35" i="6"/>
  <c r="F35" i="6"/>
  <c r="E35" i="6"/>
  <c r="D35" i="6"/>
  <c r="C35" i="6"/>
  <c r="B35" i="6"/>
  <c r="A27" i="9"/>
  <c r="A29" i="9" s="1"/>
  <c r="A31" i="9" s="1"/>
  <c r="A33" i="9" s="1"/>
  <c r="A35" i="9" s="1"/>
  <c r="D33" i="9"/>
  <c r="C8" i="9"/>
  <c r="B8" i="9"/>
  <c r="A8" i="9"/>
  <c r="E15" i="9"/>
  <c r="D15" i="9"/>
  <c r="F9" i="9"/>
  <c r="F15" i="9" l="1"/>
  <c r="F27" i="9" s="1"/>
  <c r="F25" i="9"/>
  <c r="F44" i="9"/>
  <c r="D16" i="9"/>
  <c r="D27" i="9"/>
  <c r="A42" i="9"/>
  <c r="A44" i="9" s="1"/>
  <c r="A37" i="9"/>
  <c r="F21" i="6"/>
  <c r="E25" i="9"/>
  <c r="D17" i="9"/>
  <c r="E16" i="9"/>
  <c r="E17" i="9"/>
  <c r="G9" i="9"/>
  <c r="F16" i="9"/>
  <c r="F17" i="9"/>
  <c r="F42" i="9" l="1"/>
  <c r="G25" i="9"/>
  <c r="G44" i="9"/>
  <c r="D42" i="9"/>
  <c r="D37" i="9"/>
  <c r="E33" i="9"/>
  <c r="E37" i="9"/>
  <c r="E29" i="9"/>
  <c r="E35" i="9"/>
  <c r="D31" i="9"/>
  <c r="F33" i="9"/>
  <c r="D29" i="9"/>
  <c r="D35" i="9"/>
  <c r="H9" i="9"/>
  <c r="G15" i="9"/>
  <c r="G27" i="9" s="1"/>
  <c r="H25" i="9" l="1"/>
  <c r="H44" i="9"/>
  <c r="F37" i="9"/>
  <c r="F35" i="9"/>
  <c r="G33" i="9"/>
  <c r="F29" i="9"/>
  <c r="G16" i="9"/>
  <c r="G17" i="9"/>
  <c r="I9" i="9"/>
  <c r="H15" i="9"/>
  <c r="H27" i="9" s="1"/>
  <c r="G42" i="9" l="1"/>
  <c r="I25" i="9"/>
  <c r="I44" i="9"/>
  <c r="F31" i="9"/>
  <c r="G37" i="9"/>
  <c r="H33" i="9"/>
  <c r="G35" i="9"/>
  <c r="J9" i="9"/>
  <c r="I15" i="9"/>
  <c r="I27" i="9" s="1"/>
  <c r="H16" i="9"/>
  <c r="H17" i="9"/>
  <c r="H42" i="9" l="1"/>
  <c r="J25" i="9"/>
  <c r="J44" i="9"/>
  <c r="G31" i="9"/>
  <c r="H35" i="9"/>
  <c r="I33" i="9"/>
  <c r="I16" i="9"/>
  <c r="I17" i="9"/>
  <c r="K9" i="9"/>
  <c r="J15" i="9"/>
  <c r="J27" i="9" s="1"/>
  <c r="K25" i="9" l="1"/>
  <c r="K44" i="9"/>
  <c r="I42" i="9"/>
  <c r="H37" i="9"/>
  <c r="H31" i="9"/>
  <c r="J33" i="9"/>
  <c r="I35" i="9"/>
  <c r="J16" i="9"/>
  <c r="J17" i="9"/>
  <c r="L9" i="9"/>
  <c r="K15" i="9"/>
  <c r="K27" i="9" s="1"/>
  <c r="L25" i="9" l="1"/>
  <c r="L44" i="9"/>
  <c r="J42" i="9"/>
  <c r="I37" i="9"/>
  <c r="I31" i="9"/>
  <c r="K33" i="9"/>
  <c r="J35" i="9"/>
  <c r="K16" i="9"/>
  <c r="K17" i="9"/>
  <c r="M9" i="9"/>
  <c r="L15" i="9"/>
  <c r="L27" i="9" s="1"/>
  <c r="M25" i="9" l="1"/>
  <c r="M44" i="9"/>
  <c r="K42" i="9"/>
  <c r="J37" i="9"/>
  <c r="J31" i="9"/>
  <c r="L33" i="9"/>
  <c r="K35" i="9"/>
  <c r="L35" i="9"/>
  <c r="M15" i="9"/>
  <c r="M27" i="9" s="1"/>
  <c r="L17" i="9"/>
  <c r="L16" i="9"/>
  <c r="L42" i="9" s="1"/>
  <c r="K37" i="9" l="1"/>
  <c r="K31" i="9"/>
  <c r="M33" i="9"/>
  <c r="M16" i="9"/>
  <c r="D21" i="6"/>
  <c r="M17" i="9"/>
  <c r="M42" i="9" l="1"/>
  <c r="L31" i="9"/>
  <c r="L37" i="9"/>
  <c r="M35" i="9"/>
  <c r="M31" i="9" l="1"/>
  <c r="M37" i="9"/>
  <c r="D3" i="9"/>
  <c r="A33" i="2"/>
  <c r="A39" i="2" s="1"/>
  <c r="H15" i="2"/>
  <c r="G15" i="2"/>
  <c r="F15" i="2"/>
  <c r="C15" i="2"/>
  <c r="H21" i="6" s="1"/>
  <c r="E10" i="2"/>
  <c r="A24" i="1"/>
  <c r="B33" i="1" s="1"/>
  <c r="L35" i="1" s="1"/>
  <c r="M9" i="1"/>
  <c r="L9" i="1"/>
  <c r="D14" i="1"/>
  <c r="G14" i="1"/>
  <c r="F14" i="1"/>
  <c r="E14" i="1"/>
  <c r="I13" i="1"/>
  <c r="H13" i="1"/>
  <c r="H24" i="1"/>
  <c r="I24" i="1" s="1"/>
  <c r="E33" i="1" l="1"/>
  <c r="E35" i="1" s="1"/>
  <c r="A35" i="1" a="1"/>
  <c r="A35" i="1" s="1"/>
  <c r="F22" i="6"/>
  <c r="J15" i="2"/>
  <c r="C16" i="2"/>
  <c r="I25" i="1"/>
  <c r="H25" i="1"/>
  <c r="J13" i="1"/>
  <c r="I14" i="1"/>
  <c r="C14" i="1"/>
  <c r="H14" i="1"/>
  <c r="B35" i="1" l="1"/>
  <c r="F35" i="1"/>
  <c r="G35" i="1" s="1"/>
  <c r="J16" i="2"/>
  <c r="J14" i="1"/>
  <c r="H35" i="1" l="1"/>
  <c r="J17" i="2"/>
  <c r="I16" i="2"/>
  <c r="I17" i="2" s="1"/>
  <c r="H16" i="2"/>
  <c r="H17" i="2" s="1"/>
  <c r="G16" i="2"/>
  <c r="G17" i="2" s="1"/>
  <c r="F16" i="2"/>
  <c r="F17" i="2" s="1"/>
  <c r="D15" i="2"/>
  <c r="B21" i="6" s="1"/>
  <c r="B16" i="2"/>
  <c r="E46" i="9"/>
  <c r="D46" i="9"/>
  <c r="D54" i="9" s="1"/>
  <c r="F46" i="9"/>
  <c r="G46" i="9"/>
  <c r="H46" i="9"/>
  <c r="I46" i="9"/>
  <c r="J46" i="9"/>
  <c r="K46" i="9"/>
  <c r="L46" i="9"/>
  <c r="M46" i="9"/>
  <c r="D67" i="9" l="1"/>
  <c r="D16" i="17"/>
  <c r="I35" i="1"/>
  <c r="M35" i="1" s="1"/>
  <c r="B22" i="6"/>
  <c r="E33" i="2"/>
  <c r="D16" i="2"/>
  <c r="C17" i="2" s="1"/>
  <c r="E54" i="9"/>
  <c r="F54" i="9"/>
  <c r="G54" i="9"/>
  <c r="H54" i="9"/>
  <c r="I54" i="9"/>
  <c r="J54" i="9"/>
  <c r="K54" i="9"/>
  <c r="L54" i="9"/>
  <c r="M54" i="9"/>
  <c r="G15" i="4"/>
  <c r="H15" i="4"/>
  <c r="I15" i="4"/>
  <c r="C15" i="4"/>
  <c r="B36" i="1"/>
  <c r="B17" i="2" l="1"/>
  <c r="E67" i="9"/>
  <c r="B31" i="6" s="1"/>
  <c r="D31" i="6" s="1"/>
  <c r="E16" i="17"/>
  <c r="F67" i="9"/>
  <c r="F31" i="6" s="1"/>
  <c r="H31" i="6" s="1"/>
  <c r="F16" i="17"/>
  <c r="M67" i="9"/>
  <c r="M16" i="17"/>
  <c r="L67" i="9"/>
  <c r="L16" i="17"/>
  <c r="K67" i="9"/>
  <c r="K16" i="17"/>
  <c r="J67" i="9"/>
  <c r="J16" i="17"/>
  <c r="I67" i="9"/>
  <c r="I16" i="17"/>
  <c r="H67" i="9"/>
  <c r="H16" i="17"/>
  <c r="G67" i="9"/>
  <c r="G16" i="17"/>
  <c r="K15" i="2"/>
  <c r="D24" i="9"/>
  <c r="K29" i="9"/>
  <c r="G29" i="9"/>
  <c r="E15" i="2"/>
  <c r="M29" i="9"/>
  <c r="L29" i="9"/>
  <c r="J29" i="9"/>
  <c r="I29" i="9"/>
  <c r="H29" i="9"/>
  <c r="E41" i="9"/>
  <c r="E52" i="9" s="1"/>
  <c r="E14" i="17" s="1"/>
  <c r="L41" i="9"/>
  <c r="L52" i="9" s="1"/>
  <c r="G41" i="9"/>
  <c r="G52" i="9" s="1"/>
  <c r="I43" i="9"/>
  <c r="I53" i="9" s="1"/>
  <c r="M41" i="9"/>
  <c r="M52" i="9" s="1"/>
  <c r="D26" i="9"/>
  <c r="H43" i="9"/>
  <c r="H53" i="9" s="1"/>
  <c r="D41" i="9"/>
  <c r="D52" i="9" s="1"/>
  <c r="D14" i="17" s="1"/>
  <c r="E43" i="9"/>
  <c r="E53" i="9" s="1"/>
  <c r="H24" i="9"/>
  <c r="K41" i="9"/>
  <c r="K52" i="9" s="1"/>
  <c r="D43" i="9"/>
  <c r="D53" i="9" s="1"/>
  <c r="J41" i="9"/>
  <c r="J52" i="9" s="1"/>
  <c r="L43" i="9"/>
  <c r="L53" i="9" s="1"/>
  <c r="G43" i="9"/>
  <c r="G53" i="9" s="1"/>
  <c r="I41" i="9"/>
  <c r="I52" i="9" s="1"/>
  <c r="K43" i="9"/>
  <c r="K53" i="9" s="1"/>
  <c r="F43" i="9"/>
  <c r="F53" i="9" s="1"/>
  <c r="J43" i="9"/>
  <c r="J53" i="9" s="1"/>
  <c r="F41" i="9"/>
  <c r="F52" i="9" s="1"/>
  <c r="H41" i="9"/>
  <c r="H52" i="9" s="1"/>
  <c r="M43" i="9"/>
  <c r="M53" i="9" s="1"/>
  <c r="F24" i="9"/>
  <c r="E26" i="9"/>
  <c r="G24" i="9"/>
  <c r="H26" i="9"/>
  <c r="F26" i="9"/>
  <c r="G26" i="9"/>
  <c r="K26" i="9"/>
  <c r="M26" i="9"/>
  <c r="L26" i="9"/>
  <c r="J26" i="9"/>
  <c r="I26" i="9"/>
  <c r="E24" i="9"/>
  <c r="M24" i="9"/>
  <c r="L24" i="9"/>
  <c r="K24" i="9"/>
  <c r="J24" i="9"/>
  <c r="I24" i="9"/>
  <c r="E66" i="9" l="1"/>
  <c r="B29" i="6" s="1"/>
  <c r="D29" i="6" s="1"/>
  <c r="E15" i="17"/>
  <c r="D66" i="9"/>
  <c r="D15" i="17"/>
  <c r="I66" i="9"/>
  <c r="I15" i="17"/>
  <c r="K66" i="9"/>
  <c r="K15" i="17"/>
  <c r="J66" i="9"/>
  <c r="J15" i="17"/>
  <c r="G66" i="9"/>
  <c r="G15" i="17"/>
  <c r="F66" i="9"/>
  <c r="F29" i="6" s="1"/>
  <c r="H29" i="6" s="1"/>
  <c r="F15" i="17"/>
  <c r="H66" i="9"/>
  <c r="H15" i="17"/>
  <c r="L66" i="9"/>
  <c r="L15" i="17"/>
  <c r="M66" i="9"/>
  <c r="M15" i="17"/>
  <c r="J65" i="9"/>
  <c r="J14" i="17"/>
  <c r="G65" i="9"/>
  <c r="G14" i="17"/>
  <c r="I65" i="9"/>
  <c r="I14" i="17"/>
  <c r="L65" i="9"/>
  <c r="L71" i="9" s="1"/>
  <c r="L14" i="17"/>
  <c r="M65" i="9"/>
  <c r="M14" i="17"/>
  <c r="H65" i="9"/>
  <c r="H14" i="17"/>
  <c r="K65" i="9"/>
  <c r="K14" i="17"/>
  <c r="F65" i="9"/>
  <c r="F14" i="17"/>
  <c r="E65" i="9"/>
  <c r="E80" i="9"/>
  <c r="D58" i="9"/>
  <c r="D65" i="9"/>
  <c r="D71" i="9" s="1"/>
  <c r="E16" i="2"/>
  <c r="K16" i="2"/>
  <c r="H58" i="9"/>
  <c r="H17" i="17" s="1"/>
  <c r="E58" i="9"/>
  <c r="E17" i="17" s="1"/>
  <c r="M58" i="9"/>
  <c r="M17" i="17" s="1"/>
  <c r="I58" i="9"/>
  <c r="I17" i="17" s="1"/>
  <c r="G58" i="9"/>
  <c r="G17" i="17" s="1"/>
  <c r="L58" i="9"/>
  <c r="L17" i="17" s="1"/>
  <c r="K58" i="9"/>
  <c r="K17" i="17" s="1"/>
  <c r="J58" i="9"/>
  <c r="J17" i="17" s="1"/>
  <c r="F58" i="9"/>
  <c r="F17" i="17" s="1"/>
  <c r="B28" i="6" l="1"/>
  <c r="E71" i="9"/>
  <c r="G71" i="9"/>
  <c r="G73" i="9" s="1"/>
  <c r="J71" i="9"/>
  <c r="J73" i="9" s="1"/>
  <c r="D60" i="9"/>
  <c r="D19" i="17" s="1"/>
  <c r="D17" i="17"/>
  <c r="M71" i="9"/>
  <c r="M73" i="9" s="1"/>
  <c r="H71" i="9"/>
  <c r="D36" i="6" s="1"/>
  <c r="I71" i="9"/>
  <c r="I72" i="9" s="1"/>
  <c r="K71" i="9"/>
  <c r="G36" i="6" s="1"/>
  <c r="F71" i="9"/>
  <c r="F73" i="9" s="1"/>
  <c r="F28" i="6"/>
  <c r="D59" i="9"/>
  <c r="D18" i="17" s="1"/>
  <c r="D73" i="9"/>
  <c r="L73" i="9"/>
  <c r="L72" i="9"/>
  <c r="H36" i="6"/>
  <c r="G60" i="9"/>
  <c r="G19" i="17" s="1"/>
  <c r="I60" i="9"/>
  <c r="I19" i="17" s="1"/>
  <c r="M60" i="9"/>
  <c r="M19" i="17" s="1"/>
  <c r="E60" i="9"/>
  <c r="E19" i="17" s="1"/>
  <c r="H60" i="9"/>
  <c r="H19" i="17" s="1"/>
  <c r="J60" i="9"/>
  <c r="J19" i="17" s="1"/>
  <c r="K60" i="9"/>
  <c r="K19" i="17" s="1"/>
  <c r="L60" i="9"/>
  <c r="L19" i="17" s="1"/>
  <c r="F60" i="9"/>
  <c r="F19" i="17" s="1"/>
  <c r="L59" i="9"/>
  <c r="L18" i="17" s="1"/>
  <c r="F59" i="9"/>
  <c r="F18" i="17" s="1"/>
  <c r="H59" i="9"/>
  <c r="H18" i="17" s="1"/>
  <c r="I59" i="9"/>
  <c r="I18" i="17" s="1"/>
  <c r="G59" i="9"/>
  <c r="G18" i="17" s="1"/>
  <c r="J59" i="9"/>
  <c r="J18" i="17" s="1"/>
  <c r="K59" i="9"/>
  <c r="K18" i="17" s="1"/>
  <c r="M59" i="9"/>
  <c r="M18" i="17" s="1"/>
  <c r="E59" i="9"/>
  <c r="E18" i="17" s="1"/>
  <c r="F30" i="6" l="1"/>
  <c r="H30" i="6" s="1"/>
  <c r="H28" i="6"/>
  <c r="B30" i="6"/>
  <c r="D28" i="6"/>
  <c r="C36" i="6"/>
  <c r="G72" i="9"/>
  <c r="J72" i="9"/>
  <c r="F36" i="6"/>
  <c r="M72" i="9"/>
  <c r="I36" i="6"/>
  <c r="I73" i="9"/>
  <c r="E36" i="6"/>
  <c r="H72" i="9"/>
  <c r="H73" i="9"/>
  <c r="K73" i="9"/>
  <c r="K72" i="9"/>
  <c r="F72" i="9"/>
  <c r="B36" i="6"/>
  <c r="E72" i="9"/>
  <c r="E73" i="9"/>
  <c r="F32" i="6"/>
  <c r="H32" i="6" s="1"/>
  <c r="D30" i="6" l="1"/>
  <c r="B32" i="6"/>
  <c r="D32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<sst xmlns="http://schemas.openxmlformats.org/spreadsheetml/2006/main" count="2145" uniqueCount="697">
  <si>
    <t>INFORME AGROECONÓMICO</t>
  </si>
  <si>
    <t xml:space="preserve">Cliente </t>
  </si>
  <si>
    <t>Fecha Visita</t>
  </si>
  <si>
    <t>Sucursal</t>
  </si>
  <si>
    <t>Fecha Emisión Informe</t>
  </si>
  <si>
    <t>ESTRUCTURA PRODUCTIVA (TEMPORADA)</t>
  </si>
  <si>
    <t>Especie</t>
  </si>
  <si>
    <t xml:space="preserve">Escala Productiva Actual </t>
  </si>
  <si>
    <t>Consolidación productiva</t>
  </si>
  <si>
    <t>Condición de Tenencia de los Suelos (ha)</t>
  </si>
  <si>
    <t xml:space="preserve">Superficie (ha) </t>
  </si>
  <si>
    <t>%</t>
  </si>
  <si>
    <t xml:space="preserve">Propio </t>
  </si>
  <si>
    <t xml:space="preserve">Arriendo </t>
  </si>
  <si>
    <t>Otros</t>
  </si>
  <si>
    <t>Total (ha)</t>
  </si>
  <si>
    <t>RESUMEN RESULTADOS DE TEMPORADA</t>
  </si>
  <si>
    <t>ITEM</t>
  </si>
  <si>
    <t xml:space="preserve">Última temporada </t>
  </si>
  <si>
    <t>Proyección Corto Plazo</t>
  </si>
  <si>
    <t>UF</t>
  </si>
  <si>
    <t>Ingresos Operacionales</t>
  </si>
  <si>
    <t>Costos Directos</t>
  </si>
  <si>
    <t xml:space="preserve">Margen Bruto </t>
  </si>
  <si>
    <t>Costos Indirectos</t>
  </si>
  <si>
    <t xml:space="preserve">Temporada </t>
  </si>
  <si>
    <t>IMAGEN EMPLAZAMIENTO UNIDAD PRINCIPAL</t>
  </si>
  <si>
    <t>DOTACIÓN DE RECURSOS</t>
  </si>
  <si>
    <t>SUELOS</t>
  </si>
  <si>
    <t xml:space="preserve">AGUAS DE RIEGO </t>
  </si>
  <si>
    <t xml:space="preserve">Predio </t>
  </si>
  <si>
    <t xml:space="preserve">Nombre de la fuente </t>
  </si>
  <si>
    <t>Dominio</t>
  </si>
  <si>
    <t>Cantidad (D°/acciones)</t>
  </si>
  <si>
    <t xml:space="preserve">Caudal nominal L/s        </t>
  </si>
  <si>
    <t>Caudal Real  L/s</t>
  </si>
  <si>
    <t>Datos Inscripción CBR</t>
  </si>
  <si>
    <t xml:space="preserve">Fojas </t>
  </si>
  <si>
    <t xml:space="preserve">Número </t>
  </si>
  <si>
    <t xml:space="preserve">Año </t>
  </si>
  <si>
    <t xml:space="preserve">CBR </t>
  </si>
  <si>
    <t xml:space="preserve">TOTAL AGUAS DISPONIBLES </t>
  </si>
  <si>
    <t>ESTIMACIÓN REQUERIMIENTO AGUAS DE RIEGO</t>
  </si>
  <si>
    <t>Comuna</t>
  </si>
  <si>
    <t>Superficie (ha)</t>
  </si>
  <si>
    <t xml:space="preserve">Sistema de Riego </t>
  </si>
  <si>
    <t>ETo Máximo-mm (enero)</t>
  </si>
  <si>
    <t>Coef. Cultivo Kc (enero)</t>
  </si>
  <si>
    <t>COMENTARIOS DOTACIÓN DE RECURSOS</t>
  </si>
  <si>
    <t>INVERSIONES</t>
  </si>
  <si>
    <t xml:space="preserve">Proyecto </t>
  </si>
  <si>
    <t xml:space="preserve">Item </t>
  </si>
  <si>
    <t>Cantidad/ha</t>
  </si>
  <si>
    <t>Costo unitario USD</t>
  </si>
  <si>
    <t>Costo unitario USD/ha</t>
  </si>
  <si>
    <t>Costo Inversión Total USD</t>
  </si>
  <si>
    <t>Costo Inversión $</t>
  </si>
  <si>
    <t xml:space="preserve">% En relación al Total </t>
  </si>
  <si>
    <t>Total</t>
  </si>
  <si>
    <t>COMENTARIOS INVERSIONES</t>
  </si>
  <si>
    <t xml:space="preserve">ESTRUCTURA PRODUCTIVA </t>
  </si>
  <si>
    <t xml:space="preserve">Especie </t>
  </si>
  <si>
    <t>Variedad</t>
  </si>
  <si>
    <t xml:space="preserve">Año Plantación </t>
  </si>
  <si>
    <t xml:space="preserve">Sistema Conducción </t>
  </si>
  <si>
    <t xml:space="preserve">RESUMEN SUPERFICIE PLANTADA </t>
  </si>
  <si>
    <t xml:space="preserve">% por especie </t>
  </si>
  <si>
    <t xml:space="preserve">Total </t>
  </si>
  <si>
    <t>Porcentajes (%)</t>
  </si>
  <si>
    <t>Sistema de producción</t>
  </si>
  <si>
    <t>Densidad de plantación</t>
  </si>
  <si>
    <t xml:space="preserve">Sistema de riego </t>
  </si>
  <si>
    <t>Considera Techos o similares</t>
  </si>
  <si>
    <t xml:space="preserve">Nivel Tecnológico </t>
  </si>
  <si>
    <t xml:space="preserve">Nivel Homogeneidad </t>
  </si>
  <si>
    <t xml:space="preserve">Nivel Productivo Promedio </t>
  </si>
  <si>
    <t xml:space="preserve">SISTEMA DE COMERCIALIZACIÓN </t>
  </si>
  <si>
    <t xml:space="preserve">PROYECCIÓN LARGO PLAZO </t>
  </si>
  <si>
    <t xml:space="preserve">Tipo de cambio: </t>
  </si>
  <si>
    <t>$/USD</t>
  </si>
  <si>
    <t>Precio exportación (USD/Kg)</t>
  </si>
  <si>
    <t>Precio Mercado Interno (USD/Kg)</t>
  </si>
  <si>
    <t>Producción/Rendimiento (Kg/ha)</t>
  </si>
  <si>
    <t>Ratio Exportación (%)</t>
  </si>
  <si>
    <t>Costos (USD/ha)</t>
  </si>
  <si>
    <t>Producción Total (kg)</t>
  </si>
  <si>
    <t xml:space="preserve">Ingresos Exportación </t>
  </si>
  <si>
    <t xml:space="preserve">Ingresos Mercado Interno </t>
  </si>
  <si>
    <t>RESUMEN DE INDICADORES GENERALES</t>
  </si>
  <si>
    <t>Costo Promedio (USD/ha)</t>
  </si>
  <si>
    <t>Costo unitario (USD/Kg)</t>
  </si>
  <si>
    <t>ESTADO DE RESULTADOS</t>
  </si>
  <si>
    <t xml:space="preserve">Administración </t>
  </si>
  <si>
    <t>Ingresos totales</t>
  </si>
  <si>
    <t>EBITDA/Ingresos</t>
  </si>
  <si>
    <t xml:space="preserve">Nivel de Respaldo de Ventas </t>
  </si>
  <si>
    <t xml:space="preserve">Monto de Ingresos Respaldado </t>
  </si>
  <si>
    <t xml:space="preserve">% de Respaldo </t>
  </si>
  <si>
    <t xml:space="preserve">Comentarios </t>
  </si>
  <si>
    <t>COMENTARIOS GENERALES</t>
  </si>
  <si>
    <t xml:space="preserve">Gestión Administrativa y Productiva </t>
  </si>
  <si>
    <t>CALIFICACIÓN</t>
  </si>
  <si>
    <t xml:space="preserve">Conocimiento y Manejo de Canales Comerciales </t>
  </si>
  <si>
    <t>Calidad de los Activos Productivos Disponibles</t>
  </si>
  <si>
    <t xml:space="preserve">Conclusión Final </t>
  </si>
  <si>
    <t xml:space="preserve">CALIFICACIÓN </t>
  </si>
  <si>
    <t>Proyección</t>
  </si>
  <si>
    <t xml:space="preserve">Gastos Generales </t>
  </si>
  <si>
    <t>Ejecutivo</t>
  </si>
  <si>
    <t>ANTECEDENTES GENERALES</t>
  </si>
  <si>
    <t>N° Solicitud</t>
  </si>
  <si>
    <t>RUT</t>
  </si>
  <si>
    <t>Superficie Total Plantada (ha)</t>
  </si>
  <si>
    <t>Comentarios Plantaciones:</t>
  </si>
  <si>
    <t>Agrónomo Informante</t>
  </si>
  <si>
    <t>Chillán</t>
  </si>
  <si>
    <t>Propietario</t>
  </si>
  <si>
    <t>Año</t>
  </si>
  <si>
    <t>Caudal Total Disponible (L/s)</t>
  </si>
  <si>
    <r>
      <t>Capacidad Tranques prediales (m</t>
    </r>
    <r>
      <rPr>
        <b/>
        <vertAlign val="superscript"/>
        <sz val="10"/>
        <color theme="1"/>
        <rFont val="Aptos Narrow"/>
        <family val="2"/>
        <scheme val="minor"/>
      </rPr>
      <t>3</t>
    </r>
    <r>
      <rPr>
        <b/>
        <sz val="10"/>
        <color theme="1"/>
        <rFont val="Aptos Narrow"/>
        <family val="2"/>
        <scheme val="minor"/>
      </rPr>
      <t>)</t>
    </r>
  </si>
  <si>
    <t>Caudal Equivalente 90 días (L/s)</t>
  </si>
  <si>
    <t>Goteo</t>
  </si>
  <si>
    <t>Arrendatario</t>
  </si>
  <si>
    <t>Riego</t>
  </si>
  <si>
    <t>I - II r</t>
  </si>
  <si>
    <t>III -IV r</t>
  </si>
  <si>
    <t>I - II s</t>
  </si>
  <si>
    <t>III - IV s</t>
  </si>
  <si>
    <t>V - VI s</t>
  </si>
  <si>
    <t>VII -VIII s</t>
  </si>
  <si>
    <t>Total Riego</t>
  </si>
  <si>
    <t>Total Secano</t>
  </si>
  <si>
    <t>Unidad Predial</t>
  </si>
  <si>
    <t>Sociedad Relacionada</t>
  </si>
  <si>
    <t>Propiedad Familiar</t>
  </si>
  <si>
    <t>Usufructuario</t>
  </si>
  <si>
    <t>Superf. Total</t>
  </si>
  <si>
    <t>Eficiencia 
Sistema de Riego</t>
  </si>
  <si>
    <t>Superficie 
(ha)</t>
  </si>
  <si>
    <t>Ejercicio del Derecho</t>
  </si>
  <si>
    <t>Permanente y  continuo</t>
  </si>
  <si>
    <t>Permanente y discontinuo</t>
  </si>
  <si>
    <t>Eventual y continuo</t>
  </si>
  <si>
    <t>Eventual y discontinuo</t>
  </si>
  <si>
    <t>Ejercicio derechos de agua</t>
  </si>
  <si>
    <t>Bulnes</t>
  </si>
  <si>
    <t>Rol</t>
  </si>
  <si>
    <t>fojas</t>
  </si>
  <si>
    <t>n°</t>
  </si>
  <si>
    <t>año</t>
  </si>
  <si>
    <t>CBR</t>
  </si>
  <si>
    <t>Región</t>
  </si>
  <si>
    <t>DATOS LEGALES TERRENOS</t>
  </si>
  <si>
    <t>CLASIFICACIÓN DE SUELOS</t>
  </si>
  <si>
    <t>Nombre Lote</t>
  </si>
  <si>
    <t>XVI</t>
  </si>
  <si>
    <t>Sup. Legal
(ha)</t>
  </si>
  <si>
    <t>Topografía predominante</t>
  </si>
  <si>
    <t>Demanda Total por Plantación L/s</t>
  </si>
  <si>
    <t>Unidad Predial:</t>
  </si>
  <si>
    <t>Balance Hídrico %</t>
  </si>
  <si>
    <t>Superficie Total Plantada</t>
  </si>
  <si>
    <t>Fuente</t>
  </si>
  <si>
    <t>Sup. Real
(ha)</t>
  </si>
  <si>
    <t>Arándano</t>
  </si>
  <si>
    <t>Cerezo</t>
  </si>
  <si>
    <t>Estatus Productivo</t>
  </si>
  <si>
    <t>Plena</t>
  </si>
  <si>
    <t>Creciente</t>
  </si>
  <si>
    <t>Formación</t>
  </si>
  <si>
    <t>Royalty</t>
  </si>
  <si>
    <t>Especie o rubro</t>
  </si>
  <si>
    <t>Proyecto</t>
  </si>
  <si>
    <t>% por especie 
con proyecto</t>
  </si>
  <si>
    <t>Estado
Fitosanitario</t>
  </si>
  <si>
    <t>SISTEMA DE PRODUCCIÓN EMPLEADO Y DESCRIPCIÓN  CUALITATIVA DE LAS PLANTACIONES</t>
  </si>
  <si>
    <t>Destino Principal</t>
  </si>
  <si>
    <t>Principales Empresas Comercializadoras</t>
  </si>
  <si>
    <t>Periodo Liquidaciones</t>
  </si>
  <si>
    <t>Periodo
 Cosecha</t>
  </si>
  <si>
    <t>Variedades con Royalty (%)</t>
  </si>
  <si>
    <t xml:space="preserve">Sistema Contra heladas </t>
  </si>
  <si>
    <t>Proceso de Packing</t>
  </si>
  <si>
    <t>Proceso de exportación</t>
  </si>
  <si>
    <t>Sistema de
venta principal</t>
  </si>
  <si>
    <t>Certificaciones Productivas Vigentes</t>
  </si>
  <si>
    <t xml:space="preserve">Especie  </t>
  </si>
  <si>
    <t>Avellano</t>
  </si>
  <si>
    <t xml:space="preserve">Producción promedio (kg/ha) </t>
  </si>
  <si>
    <t>Precio de venta promedio (USD/kg)</t>
  </si>
  <si>
    <t>EBITDA USD</t>
  </si>
  <si>
    <t>EBITDA USD/ha</t>
  </si>
  <si>
    <t>EBITDA M$ CLP</t>
  </si>
  <si>
    <t>EBITDA M$ CLP/ha</t>
  </si>
  <si>
    <t>M$ CLP</t>
  </si>
  <si>
    <t xml:space="preserve">RESULTADO  NETO </t>
  </si>
  <si>
    <t>Empresa</t>
  </si>
  <si>
    <t xml:space="preserve">Fitogreen </t>
  </si>
  <si>
    <t>Valor UF</t>
  </si>
  <si>
    <t>ESTADO DE RESULTADOS (USD)</t>
  </si>
  <si>
    <t>ESTADO DE RESULTADOS (M$ CLP)</t>
  </si>
  <si>
    <t>Costos Directos Totales</t>
  </si>
  <si>
    <t xml:space="preserve">Costos Indirectos </t>
  </si>
  <si>
    <t>V.2024-1073</t>
  </si>
  <si>
    <t>Sistema de riego y eficiencia</t>
  </si>
  <si>
    <t>Microaspersión</t>
  </si>
  <si>
    <t>Aspersión o Pivote</t>
  </si>
  <si>
    <t>Surco</t>
  </si>
  <si>
    <t>Californiano</t>
  </si>
  <si>
    <t>Evapotranspiración de referencia (ETo) – Enero – por comuna, Regiones de Atacama a Los Lagos</t>
  </si>
  <si>
    <t>Fuente: CNR/CIREN, Evapotranspiración de Referencia para la determinación de las demandas de riego en Chile (Anexo 7.2). Valores medios climatológicos, FAO Penman-Monteith.</t>
  </si>
  <si>
    <t>Días de enero:</t>
  </si>
  <si>
    <t>Localidad(es) de referencia</t>
  </si>
  <si>
    <t>Tipo de asignación</t>
  </si>
  <si>
    <t>ETo enero (mm/día)</t>
  </si>
  <si>
    <t>ETo enero (mm/mes)</t>
  </si>
  <si>
    <t>ETo anual (mm/año)</t>
  </si>
  <si>
    <t>Eto Max +15% (mm/año)</t>
  </si>
  <si>
    <t>Alto del Carmen</t>
  </si>
  <si>
    <t>El Toro</t>
  </si>
  <si>
    <t>Estimado – localidad cercana</t>
  </si>
  <si>
    <t>Caldera</t>
  </si>
  <si>
    <t>Directo (cabecera comunal)</t>
  </si>
  <si>
    <t>Chañaral</t>
  </si>
  <si>
    <t>Copiapó</t>
  </si>
  <si>
    <t>Diego de Almagro</t>
  </si>
  <si>
    <t>Pueblo Hundido (Diego de Almagro)</t>
  </si>
  <si>
    <t>Freirina</t>
  </si>
  <si>
    <t>Huasco</t>
  </si>
  <si>
    <t>Tierra Amarilla</t>
  </si>
  <si>
    <t>Vallenar</t>
  </si>
  <si>
    <t>Andacollo</t>
  </si>
  <si>
    <t>Canela</t>
  </si>
  <si>
    <t>Canela Baja</t>
  </si>
  <si>
    <t>Combarbalá</t>
  </si>
  <si>
    <t>Coquimbo</t>
  </si>
  <si>
    <t>Illapel</t>
  </si>
  <si>
    <t>La Higuera</t>
  </si>
  <si>
    <t>Quebrada Honda</t>
  </si>
  <si>
    <t>La Serena</t>
  </si>
  <si>
    <t>Los Vilos</t>
  </si>
  <si>
    <t>Monte Patria</t>
  </si>
  <si>
    <t>Ovalle</t>
  </si>
  <si>
    <t>Paiguano</t>
  </si>
  <si>
    <t>Monte Grande</t>
  </si>
  <si>
    <t>Punitaqui</t>
  </si>
  <si>
    <t>Río Hurtado</t>
  </si>
  <si>
    <t>Samo Alto</t>
  </si>
  <si>
    <t>Salamanca</t>
  </si>
  <si>
    <t>Vicuña</t>
  </si>
  <si>
    <t>Algarrobo</t>
  </si>
  <si>
    <t>Cabildo</t>
  </si>
  <si>
    <t>Calle Larga</t>
  </si>
  <si>
    <t>Los Andes</t>
  </si>
  <si>
    <t>Cartagena</t>
  </si>
  <si>
    <t>Casablanca</t>
  </si>
  <si>
    <t>Catemu</t>
  </si>
  <si>
    <t>Concón</t>
  </si>
  <si>
    <t>El Quisco</t>
  </si>
  <si>
    <t>El Tabo</t>
  </si>
  <si>
    <t>Hijuelas</t>
  </si>
  <si>
    <t>La Calera</t>
  </si>
  <si>
    <t>La Cruz</t>
  </si>
  <si>
    <t>Quillota</t>
  </si>
  <si>
    <t>La Ligua</t>
  </si>
  <si>
    <t>Limache</t>
  </si>
  <si>
    <t>Llaillay</t>
  </si>
  <si>
    <t>Llay-Llay</t>
  </si>
  <si>
    <t>Nogales</t>
  </si>
  <si>
    <t>Olmué</t>
  </si>
  <si>
    <t>Panquehue</t>
  </si>
  <si>
    <t>San Felipe</t>
  </si>
  <si>
    <t>Papudo</t>
  </si>
  <si>
    <t>Petorca</t>
  </si>
  <si>
    <t>Puchuncaví</t>
  </si>
  <si>
    <t>Maitencillo</t>
  </si>
  <si>
    <t>Putaendo</t>
  </si>
  <si>
    <t>Quilpué</t>
  </si>
  <si>
    <t>Quintero</t>
  </si>
  <si>
    <t>Rinconada</t>
  </si>
  <si>
    <t>San Antonio</t>
  </si>
  <si>
    <t>San Esteban</t>
  </si>
  <si>
    <t>Santa María</t>
  </si>
  <si>
    <t>Santo Domingo</t>
  </si>
  <si>
    <t>Rocas de Santo Domingo</t>
  </si>
  <si>
    <t>Valparaíso</t>
  </si>
  <si>
    <t>Villa Alemana</t>
  </si>
  <si>
    <t>Viña del Mar</t>
  </si>
  <si>
    <t>Zapallar</t>
  </si>
  <si>
    <t>Santiago</t>
  </si>
  <si>
    <t>Alhué</t>
  </si>
  <si>
    <t>Villa Alhué</t>
  </si>
  <si>
    <t>Buin</t>
  </si>
  <si>
    <t>Calera de Tango</t>
  </si>
  <si>
    <t>Nos</t>
  </si>
  <si>
    <t>Cerrillos</t>
  </si>
  <si>
    <t>Cerro Navia</t>
  </si>
  <si>
    <t>Colina</t>
  </si>
  <si>
    <t>Conchalí</t>
  </si>
  <si>
    <t>Curacaví</t>
  </si>
  <si>
    <t>El Bosque</t>
  </si>
  <si>
    <t>El Monte</t>
  </si>
  <si>
    <t>Estación Central</t>
  </si>
  <si>
    <t>Huechuraba</t>
  </si>
  <si>
    <t>Independencia</t>
  </si>
  <si>
    <t>Isla de Maipo</t>
  </si>
  <si>
    <t>Lampa</t>
  </si>
  <si>
    <t>Batuco</t>
  </si>
  <si>
    <t>Maipú</t>
  </si>
  <si>
    <t>María Pinto</t>
  </si>
  <si>
    <t>Melipilla</t>
  </si>
  <si>
    <t>Padre Hurtado</t>
  </si>
  <si>
    <t>Paine</t>
  </si>
  <si>
    <t>Maipo</t>
  </si>
  <si>
    <t>Peñaflor</t>
  </si>
  <si>
    <t>Peñalolén</t>
  </si>
  <si>
    <t>Pirque</t>
  </si>
  <si>
    <t>Pudahuel</t>
  </si>
  <si>
    <t>Puente Alto</t>
  </si>
  <si>
    <t>Quilicura</t>
  </si>
  <si>
    <t>Renca</t>
  </si>
  <si>
    <t>San Bernardo</t>
  </si>
  <si>
    <t>San Joaquín</t>
  </si>
  <si>
    <t>San José de Maipo</t>
  </si>
  <si>
    <t>San Pedro</t>
  </si>
  <si>
    <t>Talagante</t>
  </si>
  <si>
    <t>Tiltil</t>
  </si>
  <si>
    <t>Chépica</t>
  </si>
  <si>
    <t>Nancagua</t>
  </si>
  <si>
    <t>Chimbarongo</t>
  </si>
  <si>
    <t>Codegua</t>
  </si>
  <si>
    <t>Coinco</t>
  </si>
  <si>
    <t>Coltauco</t>
  </si>
  <si>
    <t>Doñihue</t>
  </si>
  <si>
    <t>Graneros</t>
  </si>
  <si>
    <t>La Estrella</t>
  </si>
  <si>
    <t>Las Cabras</t>
  </si>
  <si>
    <t>Litueche</t>
  </si>
  <si>
    <t>Lolol</t>
  </si>
  <si>
    <t>Machalí</t>
  </si>
  <si>
    <t>Malloa</t>
  </si>
  <si>
    <t>Marchigüe</t>
  </si>
  <si>
    <t>Mostazal</t>
  </si>
  <si>
    <t>San Francisco de Mostazal</t>
  </si>
  <si>
    <t>Navidad</t>
  </si>
  <si>
    <t>La Estrella + Pichilemu</t>
  </si>
  <si>
    <t>Estimado – promedio de 2 localidades</t>
  </si>
  <si>
    <t>Olivar</t>
  </si>
  <si>
    <t>Palmilla</t>
  </si>
  <si>
    <t>Santa Cruz</t>
  </si>
  <si>
    <t>Paredones</t>
  </si>
  <si>
    <t>Peralillo</t>
  </si>
  <si>
    <t>Peumo</t>
  </si>
  <si>
    <t>Pichidegua</t>
  </si>
  <si>
    <t>Pichilemu</t>
  </si>
  <si>
    <t>Placilla</t>
  </si>
  <si>
    <t>San Fernando</t>
  </si>
  <si>
    <t>Pumanque</t>
  </si>
  <si>
    <t>Quinta de Tilcoco</t>
  </si>
  <si>
    <t>Rancagua</t>
  </si>
  <si>
    <t>Rengo</t>
  </si>
  <si>
    <t>Requínoa</t>
  </si>
  <si>
    <t>San Vicente</t>
  </si>
  <si>
    <t>San Vicente de Tagua Tagua</t>
  </si>
  <si>
    <t>Cauquenes</t>
  </si>
  <si>
    <t>Chanco</t>
  </si>
  <si>
    <t>Colbún</t>
  </si>
  <si>
    <t>Panimávida</t>
  </si>
  <si>
    <t>Constitución</t>
  </si>
  <si>
    <t>Curepto</t>
  </si>
  <si>
    <t>Curicó</t>
  </si>
  <si>
    <t>Empedrado</t>
  </si>
  <si>
    <t>Hualañé</t>
  </si>
  <si>
    <t>Curepto + Sagrada Familia</t>
  </si>
  <si>
    <t>Licantén</t>
  </si>
  <si>
    <t>Linares</t>
  </si>
  <si>
    <t>Longaví</t>
  </si>
  <si>
    <t>Maule</t>
  </si>
  <si>
    <t>Talca</t>
  </si>
  <si>
    <t>Molina</t>
  </si>
  <si>
    <t>Parral</t>
  </si>
  <si>
    <t>Pelarco</t>
  </si>
  <si>
    <t>Pelluhue</t>
  </si>
  <si>
    <t>Pencahue</t>
  </si>
  <si>
    <t>Rauco</t>
  </si>
  <si>
    <t>Retiro</t>
  </si>
  <si>
    <t>Río Claro</t>
  </si>
  <si>
    <t>Romeral</t>
  </si>
  <si>
    <t>Sagrada Familia</t>
  </si>
  <si>
    <t>San Clemente</t>
  </si>
  <si>
    <t>San Javier</t>
  </si>
  <si>
    <t>San Rafael</t>
  </si>
  <si>
    <t>Teno</t>
  </si>
  <si>
    <t>Vichuquén</t>
  </si>
  <si>
    <t>Villa Alegre</t>
  </si>
  <si>
    <t>Yerbas Buenas</t>
  </si>
  <si>
    <t>Chillán Viejo</t>
  </si>
  <si>
    <t>Cobquecura</t>
  </si>
  <si>
    <t>Coelemu</t>
  </si>
  <si>
    <t>Coihueco</t>
  </si>
  <si>
    <t>El Carmen</t>
  </si>
  <si>
    <t>Ninhue</t>
  </si>
  <si>
    <t>Ñiquén</t>
  </si>
  <si>
    <t>San Gregorio</t>
  </si>
  <si>
    <t>Pemuco</t>
  </si>
  <si>
    <t>Pinto</t>
  </si>
  <si>
    <t>Portezuelo</t>
  </si>
  <si>
    <t>Quillón</t>
  </si>
  <si>
    <t>Quirihue</t>
  </si>
  <si>
    <t>Ránquil</t>
  </si>
  <si>
    <t>San Carlos</t>
  </si>
  <si>
    <t>San Fabián</t>
  </si>
  <si>
    <t>San Fabián de Alico</t>
  </si>
  <si>
    <t>San Ignacio</t>
  </si>
  <si>
    <t>San Nicolás</t>
  </si>
  <si>
    <t>Treguaco</t>
  </si>
  <si>
    <t>Yungay</t>
  </si>
  <si>
    <t>Alto Biobío</t>
  </si>
  <si>
    <t>Loncopangue</t>
  </si>
  <si>
    <t>Antuco</t>
  </si>
  <si>
    <t>Arauco</t>
  </si>
  <si>
    <t>Cabrero</t>
  </si>
  <si>
    <t>Cañete</t>
  </si>
  <si>
    <t>Chiguayante</t>
  </si>
  <si>
    <t>Concepción</t>
  </si>
  <si>
    <t>Contulmo</t>
  </si>
  <si>
    <t>Coronel</t>
  </si>
  <si>
    <t>Curanilahue</t>
  </si>
  <si>
    <t>Florida</t>
  </si>
  <si>
    <t>Hualpén</t>
  </si>
  <si>
    <t>Hualpencillo</t>
  </si>
  <si>
    <t>Hualqui</t>
  </si>
  <si>
    <t>Laja</t>
  </si>
  <si>
    <t>Lebu</t>
  </si>
  <si>
    <t>Los Álamos</t>
  </si>
  <si>
    <t>Los Ángeles</t>
  </si>
  <si>
    <t>Lota</t>
  </si>
  <si>
    <t>Mulchén</t>
  </si>
  <si>
    <t>Nacimiento</t>
  </si>
  <si>
    <t>Negrete</t>
  </si>
  <si>
    <t>Penco</t>
  </si>
  <si>
    <t>Quilaco</t>
  </si>
  <si>
    <t>Quilleco</t>
  </si>
  <si>
    <t>San Pedro de la Paz</t>
  </si>
  <si>
    <t>San Rosendo</t>
  </si>
  <si>
    <t>Santa Bárbara</t>
  </si>
  <si>
    <t>Santa Juana</t>
  </si>
  <si>
    <t>Talcahuano</t>
  </si>
  <si>
    <t>Tirúa</t>
  </si>
  <si>
    <t>Cañete + Puerto Saavedra</t>
  </si>
  <si>
    <t>Tomé</t>
  </si>
  <si>
    <t>Tucapel</t>
  </si>
  <si>
    <t>Yumbel</t>
  </si>
  <si>
    <t>Temuco</t>
  </si>
  <si>
    <t>Angol</t>
  </si>
  <si>
    <t>Carahue</t>
  </si>
  <si>
    <t>Cholchol</t>
  </si>
  <si>
    <t>Collipulli</t>
  </si>
  <si>
    <t>Cunco</t>
  </si>
  <si>
    <t>Curacautín</t>
  </si>
  <si>
    <t>Curarrehue</t>
  </si>
  <si>
    <t>Pucón</t>
  </si>
  <si>
    <t>Ercilla</t>
  </si>
  <si>
    <t>Freire</t>
  </si>
  <si>
    <t>Galvarino</t>
  </si>
  <si>
    <t>Gorbea</t>
  </si>
  <si>
    <t>Lautaro</t>
  </si>
  <si>
    <t>Loncoche</t>
  </si>
  <si>
    <t>Lonquimay</t>
  </si>
  <si>
    <t>Los Sauces</t>
  </si>
  <si>
    <t>Angol + Purén</t>
  </si>
  <si>
    <t>Lumaco</t>
  </si>
  <si>
    <t>Capitán Pastene</t>
  </si>
  <si>
    <t>Melipeuco</t>
  </si>
  <si>
    <t>Nueva Imperial</t>
  </si>
  <si>
    <t>Padre Las Casas</t>
  </si>
  <si>
    <t>Perquenco</t>
  </si>
  <si>
    <t>Pitrufquén</t>
  </si>
  <si>
    <t>Purén</t>
  </si>
  <si>
    <t>Renaico</t>
  </si>
  <si>
    <t>Saavedra</t>
  </si>
  <si>
    <t>Puerto Saavedra</t>
  </si>
  <si>
    <t>Teodoro Schmidt</t>
  </si>
  <si>
    <t>Toltén</t>
  </si>
  <si>
    <t>Gualpín</t>
  </si>
  <si>
    <t>Traiguén</t>
  </si>
  <si>
    <t>Victoria</t>
  </si>
  <si>
    <t>Vilcún</t>
  </si>
  <si>
    <t>Villarrica</t>
  </si>
  <si>
    <t>Corral</t>
  </si>
  <si>
    <t>Valdivia</t>
  </si>
  <si>
    <t>Futrono</t>
  </si>
  <si>
    <t>La Unión</t>
  </si>
  <si>
    <t>Lago Ranco</t>
  </si>
  <si>
    <t>Lanco</t>
  </si>
  <si>
    <t>Los Lagos</t>
  </si>
  <si>
    <t>Máfil</t>
  </si>
  <si>
    <t>Mariquina</t>
  </si>
  <si>
    <t>Paillaco</t>
  </si>
  <si>
    <t>Panguipulli</t>
  </si>
  <si>
    <t>Río Bueno</t>
  </si>
  <si>
    <t>Ancud</t>
  </si>
  <si>
    <t>Calbuco</t>
  </si>
  <si>
    <t>Puerto Montt</t>
  </si>
  <si>
    <t>Castro</t>
  </si>
  <si>
    <t>Chaitén</t>
  </si>
  <si>
    <t>Chonchi</t>
  </si>
  <si>
    <t>Cochamó</t>
  </si>
  <si>
    <t>Petrohué</t>
  </si>
  <si>
    <t>Curaco de Vélez</t>
  </si>
  <si>
    <t>Dalcahue</t>
  </si>
  <si>
    <t>Fresia</t>
  </si>
  <si>
    <t>Frutillar</t>
  </si>
  <si>
    <t>Futaleufú</t>
  </si>
  <si>
    <t>Palena</t>
  </si>
  <si>
    <t>Hualaihué</t>
  </si>
  <si>
    <t>Llanquihue</t>
  </si>
  <si>
    <t>Los Muermos</t>
  </si>
  <si>
    <t>Maullín</t>
  </si>
  <si>
    <t>Osorno</t>
  </si>
  <si>
    <t>Puerto Octay</t>
  </si>
  <si>
    <t>Puerto Varas</t>
  </si>
  <si>
    <t>Puqueldón</t>
  </si>
  <si>
    <t>Purranque</t>
  </si>
  <si>
    <t>Puyehue</t>
  </si>
  <si>
    <t>Queilén</t>
  </si>
  <si>
    <t>Quellón</t>
  </si>
  <si>
    <t>Quemchi</t>
  </si>
  <si>
    <t>Ancud + Dalcahue</t>
  </si>
  <si>
    <t>Quinchao</t>
  </si>
  <si>
    <t>Río Negro</t>
  </si>
  <si>
    <t>San Juan de la Costa</t>
  </si>
  <si>
    <t>Bahía Mansa</t>
  </si>
  <si>
    <t>San Pablo</t>
  </si>
  <si>
    <t>Notas:</t>
  </si>
  <si>
    <t>1. Directo: la fuente tiene un valor para la cabecera comunal (o su localidad equivalente, p. ej. Diego de Almagro = Pueblo Hundido, Río Hurtado = Samo Alto, Colbún = Panimávida).</t>
  </si>
  <si>
    <t>2. Estimado (celda amarilla): la comuna no tiene localidad en la fuente; se asignó la localidad más cercana con condición similar (costa/valle/precordillera) o el promedio de dos localidades vecinas. Revisar si el predio está en un sector con altitud o influencia costera distinta.</t>
  </si>
  <si>
    <t>3. Comunas urbanas del Gran Santiago se asignaron a la localidad Santiago, salvo La Pintana y Quilicura que tienen valor propio.</t>
  </si>
  <si>
    <t>4. Se excluyen Juan Fernández e Isla de Pascua (sin datos en la fuente).</t>
  </si>
  <si>
    <t>5. ETo mensual = ETo diaria × días de enero (celda C3). Valores en verde se leen desde la hoja 'Localidades (fuente)'.</t>
  </si>
  <si>
    <t>n° Region</t>
  </si>
  <si>
    <t>III</t>
  </si>
  <si>
    <t>IV</t>
  </si>
  <si>
    <t>V</t>
  </si>
  <si>
    <t>RM</t>
  </si>
  <si>
    <t>VI</t>
  </si>
  <si>
    <t>VII</t>
  </si>
  <si>
    <t>Atacama</t>
  </si>
  <si>
    <t>Metropolitana</t>
  </si>
  <si>
    <t>O'Higgins</t>
  </si>
  <si>
    <t>Ñuble</t>
  </si>
  <si>
    <t>VIII</t>
  </si>
  <si>
    <t>Biobío</t>
  </si>
  <si>
    <t>IX</t>
  </si>
  <si>
    <t>Araucanía</t>
  </si>
  <si>
    <t>XIV</t>
  </si>
  <si>
    <t>X</t>
  </si>
  <si>
    <t>Los Ríos</t>
  </si>
  <si>
    <t>Comuna:</t>
  </si>
  <si>
    <t>Regiones</t>
  </si>
  <si>
    <t>ESPECIE</t>
  </si>
  <si>
    <t>Kc</t>
  </si>
  <si>
    <t>Alcachofa</t>
  </si>
  <si>
    <t>Alfalfa</t>
  </si>
  <si>
    <t>Almendro</t>
  </si>
  <si>
    <t>Arroz</t>
  </si>
  <si>
    <t>Caqui</t>
  </si>
  <si>
    <t>Castaño</t>
  </si>
  <si>
    <t>Cebolla</t>
  </si>
  <si>
    <t>Chirimoyo</t>
  </si>
  <si>
    <t>Ciruelo europeo</t>
  </si>
  <si>
    <t>Ciruelo japonés</t>
  </si>
  <si>
    <t>Cucurbitáceas</t>
  </si>
  <si>
    <t>Damasco</t>
  </si>
  <si>
    <t>Durazno</t>
  </si>
  <si>
    <t>Espárrago</t>
  </si>
  <si>
    <t>Frambuesa</t>
  </si>
  <si>
    <t>Frutilla</t>
  </si>
  <si>
    <t>Granado</t>
  </si>
  <si>
    <t>Guindo agrio</t>
  </si>
  <si>
    <t>Higuera</t>
  </si>
  <si>
    <t>Kiwi</t>
  </si>
  <si>
    <t>Limón</t>
  </si>
  <si>
    <t>Lúcumo</t>
  </si>
  <si>
    <t>Lúpulo</t>
  </si>
  <si>
    <t>Maíz</t>
  </si>
  <si>
    <t>Mandarino</t>
  </si>
  <si>
    <t>Mango</t>
  </si>
  <si>
    <t>Manzano</t>
  </si>
  <si>
    <t>Melón</t>
  </si>
  <si>
    <t>Membrillo</t>
  </si>
  <si>
    <t>Mora cultivada</t>
  </si>
  <si>
    <t>Naranjo</t>
  </si>
  <si>
    <t>Nectarín</t>
  </si>
  <si>
    <t>Nogal</t>
  </si>
  <si>
    <t>Nogal pecanero</t>
  </si>
  <si>
    <t>Olivo</t>
  </si>
  <si>
    <t>Palto</t>
  </si>
  <si>
    <t>Papa</t>
  </si>
  <si>
    <t>Papayo</t>
  </si>
  <si>
    <t>Peral</t>
  </si>
  <si>
    <t>Pimiento / ají industrial</t>
  </si>
  <si>
    <t>Pistacho</t>
  </si>
  <si>
    <t>Pomelo</t>
  </si>
  <si>
    <t>Poroto</t>
  </si>
  <si>
    <t>Pradera permanente de riego</t>
  </si>
  <si>
    <t>Remolacha azucarera</t>
  </si>
  <si>
    <t>Sandía</t>
  </si>
  <si>
    <t>Semillas</t>
  </si>
  <si>
    <t>Tomate</t>
  </si>
  <si>
    <t>Tuna</t>
  </si>
  <si>
    <t>Uva de mesa</t>
  </si>
  <si>
    <t>Uva pisquera</t>
  </si>
  <si>
    <t>Uva vinífera</t>
  </si>
  <si>
    <r>
      <t xml:space="preserve">RESULTADO </t>
    </r>
    <r>
      <rPr>
        <b/>
        <sz val="12"/>
        <color indexed="10"/>
        <rFont val="Calibri"/>
        <family val="2"/>
      </rPr>
      <t>REAL</t>
    </r>
    <r>
      <rPr>
        <b/>
        <sz val="12"/>
        <color indexed="18"/>
        <rFont val="Calibri"/>
        <family val="2"/>
      </rPr>
      <t xml:space="preserve"> TEMPORADA </t>
    </r>
  </si>
  <si>
    <t>Valor Dólar</t>
  </si>
  <si>
    <t>Especie o Rubro</t>
  </si>
  <si>
    <t>Producción 
Total</t>
  </si>
  <si>
    <t>Unidad</t>
  </si>
  <si>
    <t xml:space="preserve">% 
Exportación
</t>
  </si>
  <si>
    <t>Ventas 
Exportación 
($)</t>
  </si>
  <si>
    <t>Ventas 
Merc. Interno 
($)</t>
  </si>
  <si>
    <t>Total 
ventas 
($)</t>
  </si>
  <si>
    <t>Costos Directos Totales por Rubro 
($)</t>
  </si>
  <si>
    <t>Margen 
Bruto 
($)</t>
  </si>
  <si>
    <t>kg</t>
  </si>
  <si>
    <t>Administración $</t>
  </si>
  <si>
    <t>EBITDA $</t>
  </si>
  <si>
    <t>Δ Precio exportación</t>
  </si>
  <si>
    <t>Δ Rendimiento (kg/ha)</t>
  </si>
  <si>
    <t>Δ Costos (USD/ha)</t>
  </si>
  <si>
    <t>Administración general (USD/año)</t>
  </si>
  <si>
    <t>Rendimiento (kg/ha)</t>
  </si>
  <si>
    <t>Sup. (ha)</t>
  </si>
  <si>
    <t>Costo fijo (USD/ha)</t>
  </si>
  <si>
    <t>Diferencia %</t>
  </si>
  <si>
    <t>Precio mercado interno (USD/kg)</t>
  </si>
  <si>
    <t>Tema</t>
  </si>
  <si>
    <t>SUPUESTOS DE PROYECCIÓN – parámetros utilizados en el flujo (USD)</t>
  </si>
  <si>
    <t>Rendimiento en kg/ha; precios en USD/kg; costos fijos en USD/ha y variables en USD/kg producido. Azul = dato de entrada; verde = vínculo a otra hoja.</t>
  </si>
  <si>
    <t>Δ Precio mercado interno</t>
  </si>
  <si>
    <t>Costo variable (USD/kg)</t>
  </si>
  <si>
    <t>Costo en formación año 1 (USD/ha)</t>
  </si>
  <si>
    <t>Costo en formación año 2 (USD/ha)</t>
  </si>
  <si>
    <t>Fijo año 3 de formación (USD/ha)</t>
  </si>
  <si>
    <t>Variable año 3 de formación (USD/kg)</t>
  </si>
  <si>
    <t>% del total</t>
  </si>
  <si>
    <t>Margen bruto (USD/ha)</t>
  </si>
  <si>
    <t>Azul = dato tomado de los documentos; negro = fórmula; verde = vínculo a otra hoja. Precios en USD/kg. 'Modelo' = precio vigente en la hoja Supuestos (largo plazo).</t>
  </si>
  <si>
    <t>Grupo varietal</t>
  </si>
  <si>
    <t>Kilos netos</t>
  </si>
  <si>
    <t>USD/kg promedio</t>
  </si>
  <si>
    <t>Retorno final (USD)</t>
  </si>
  <si>
    <t>Precio modelo (USD/kg)</t>
  </si>
  <si>
    <t>Modelo vs. liquidación</t>
  </si>
  <si>
    <t>Total exportado</t>
  </si>
  <si>
    <t>Concepto</t>
  </si>
  <si>
    <t>Texto sugerido</t>
  </si>
  <si>
    <t>Fuente: formularios 29 (declaración mensual de IVA y PPM) de la Carpeta Tributaria del SII. Cifras en pesos chilenos (CLP). Azul = dato del F29; negro = fórmula; verde = vínculo a otra hoja.</t>
  </si>
  <si>
    <t>Período (F29)</t>
  </si>
  <si>
    <t>Base imponible (cód. 563)</t>
  </si>
  <si>
    <t>Débitos facturas emitidas (cód. 502)</t>
  </si>
  <si>
    <t>Notas de débito emitidas (cód. 513)</t>
  </si>
  <si>
    <t>Notas de crédito emitidas (cód. 510)</t>
  </si>
  <si>
    <t>Ventas por facturas de compra recibidas (cód. 720)</t>
  </si>
  <si>
    <t>Total 12 meses</t>
  </si>
  <si>
    <t>CLP</t>
  </si>
  <si>
    <t>USD</t>
  </si>
  <si>
    <t>Diferencia F29 – venta informada</t>
  </si>
  <si>
    <t>Valor dólar usado (CLP/USD)</t>
  </si>
  <si>
    <t>Mes</t>
  </si>
  <si>
    <t>Ventas netas ($)</t>
  </si>
  <si>
    <t>Ventas netas (USD)</t>
  </si>
  <si>
    <t>% acumulado</t>
  </si>
  <si>
    <t>Valor dólar utilizado ($/USD)</t>
  </si>
  <si>
    <t>Diferencia entre F29 y venta informada (%)</t>
  </si>
  <si>
    <t>RESULTADO DEL FLUJO (USD)</t>
  </si>
  <si>
    <t>Costos directos</t>
  </si>
  <si>
    <t>Costos indirectos (administración)</t>
  </si>
  <si>
    <t>EBITDA</t>
  </si>
  <si>
    <t>EBITDA por hectárea (USD/ha)</t>
  </si>
  <si>
    <t>EBITDA / Ingresos</t>
  </si>
  <si>
    <t>Histórico (real)</t>
  </si>
  <si>
    <t>Año plant.</t>
  </si>
  <si>
    <t>% export.</t>
  </si>
  <si>
    <t>SENSIBILIZACIÓN (Δ %)</t>
  </si>
  <si>
    <t xml:space="preserve">Densidad o marco de plantación </t>
  </si>
  <si>
    <t>Demanda Q Máximo L/s/ha</t>
  </si>
  <si>
    <t>Demanda Máxima Total Predio L/s</t>
  </si>
  <si>
    <t>Históricos (Reales)</t>
  </si>
  <si>
    <t>Ingresos Totales</t>
  </si>
  <si>
    <t>ANEXO 1. Información aportada por el cliente sobre el desempeño real de la temporada anterior.</t>
  </si>
  <si>
    <t>ANEXO 2. VENTAS SEGÚN DECLARACIONES MENSUALES DE IVA (FORMULARIO 29)</t>
  </si>
  <si>
    <t>ANEXO 3. ANÁLISIS DE PRECIOS (LIQUIDACIONES Y CONTRATOS)</t>
  </si>
  <si>
    <t>ANEXO 4. IMÁGENES DE LAS PLANTACIONES</t>
  </si>
  <si>
    <t>Gastos Generales $</t>
  </si>
  <si>
    <t>2. RESUMEN POR ESPECIE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</si>
</sst>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0.0%"/>
    <numFmt numFmtId="165" formatCode="dd/mm/yy;@"/>
    <numFmt numFmtId="166" formatCode="0.0"/>
    <numFmt numFmtId="167" formatCode="_ [$$-340A]* #,##0.00_ ;_ [$$-340A]* \-#,##0.00_ ;_ [$$-340A]* &quot;-&quot;??_ ;_ @_ "/>
    <numFmt numFmtId="168" formatCode="_-* #,##0\ &quot;€&quot;_-;\-* #,##0\ &quot;€&quot;_-;_-* &quot;-&quot;\ &quot;€&quot;_-;_-@_-"/>
    <numFmt numFmtId="169" formatCode="_-* #,##0.00\ _€_-;\-* #,##0.00\ _€_-;_-* &quot;-&quot;??\ _€_-;_-@_-"/>
    <numFmt numFmtId="170" formatCode="_-* #,##0\ _€_-;\-* #,##0\ _€_-;_-* &quot;-&quot;??\ _€_-;_-@_-"/>
    <numFmt numFmtId="171" formatCode="_ * #,##0.00_ ;_ * \-#,##0.00_ ;_ * &quot;-&quot;_ ;_ @_ "/>
    <numFmt numFmtId="172" formatCode="#,##0_ ;[Red]\-#,##0\ "/>
    <numFmt numFmtId="173" formatCode="_ * #,##0.0_ ;_ * \-#,##0.0_ ;_ * &quot;-&quot;_ ;_ @_ "/>
    <numFmt numFmtId="174" formatCode="0.0%;\-0.0%;0.0%"/>
    <numFmt numFmtId="175" formatCode="#,##0;\(#,##0\);\-"/>
    <numFmt numFmtId="176" formatCode="0.0%;\-0.0%;\-"/>
    <numFmt numFmtId="177" formatCode="\+0.0%;\-0.0%;0.0%"/>
    <numFmt numFmtId="178" formatCode="_(* #,##0_);_(* \(#,##0\);_(* &quot;-&quot;_);_(@_)"/>
  </numFmts>
  <fonts count="5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vertAlign val="superscript"/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11"/>
      <name val="Arial"/>
      <family val="2"/>
    </font>
    <font>
      <sz val="11"/>
      <color rgb="FF0000FF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sz val="11"/>
      <color rgb="FF008000"/>
      <name val="Arial"/>
      <family val="2"/>
    </font>
    <font>
      <sz val="12"/>
      <color rgb="FF0000CC"/>
      <name val="Calibri"/>
      <family val="2"/>
      <charset val="1"/>
    </font>
    <font>
      <sz val="9"/>
      <name val="Arial"/>
      <family val="2"/>
    </font>
    <font>
      <sz val="11"/>
      <color rgb="FF0000CC"/>
      <name val="Aptos Narrow"/>
      <family val="2"/>
      <scheme val="minor"/>
    </font>
    <font>
      <sz val="10"/>
      <name val="Arial"/>
      <family val="2"/>
    </font>
    <font>
      <b/>
      <sz val="12"/>
      <color rgb="FF000099"/>
      <name val="Calibri"/>
      <family val="2"/>
    </font>
    <font>
      <b/>
      <sz val="12"/>
      <color indexed="10"/>
      <name val="Calibri"/>
      <family val="2"/>
    </font>
    <font>
      <b/>
      <sz val="12"/>
      <color indexed="18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name val="Calibri"/>
      <family val="2"/>
    </font>
    <font>
      <b/>
      <sz val="11"/>
      <color rgb="FFFF0000"/>
      <name val="Calibri"/>
      <family val="2"/>
    </font>
    <font>
      <b/>
      <sz val="11"/>
      <color rgb="FF0000CC"/>
      <name val="Calibri"/>
      <family val="2"/>
    </font>
    <font>
      <b/>
      <sz val="12"/>
      <color rgb="FF0000CC"/>
      <name val="Calibri"/>
      <family val="2"/>
    </font>
    <font>
      <sz val="11"/>
      <color rgb="FF0000F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8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800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4"/>
      <color rgb="FFC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0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2E5E3E"/>
        <bgColor rgb="FF333300"/>
      </patternFill>
    </fill>
    <fill>
      <patternFill patternType="solid">
        <fgColor rgb="FFFFF2CC"/>
        <bgColor rgb="FFFFFFFF"/>
      </patternFill>
    </fill>
    <fill>
      <patternFill patternType="solid">
        <fgColor rgb="FF2E5E3E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0">
    <xf numFmtId="0" fontId="0" fillId="0" borderId="0"/>
    <xf numFmtId="9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0" fontId="15" fillId="0" borderId="0"/>
    <xf numFmtId="0" fontId="26" fillId="0" borderId="0"/>
    <xf numFmtId="168" fontId="26" fillId="0" borderId="0" applyFont="0" applyFill="0" applyBorder="0" applyAlignment="0" applyProtection="0"/>
    <xf numFmtId="0" fontId="26" fillId="0" borderId="0"/>
    <xf numFmtId="9" fontId="26" fillId="0" borderId="0" applyFont="0" applyFill="0" applyBorder="0" applyAlignment="0" applyProtection="0"/>
    <xf numFmtId="169" fontId="26" fillId="0" borderId="0" applyFont="0" applyFill="0" applyBorder="0" applyAlignment="0" applyProtection="0"/>
  </cellStyleXfs>
  <cellXfs count="626">
    <xf numFmtId="0" fontId="0" fillId="0" borderId="0" xfId="0"/>
    <xf numFmtId="0" fontId="0" fillId="0" borderId="1" xfId="0" applyBorder="1"/>
    <xf numFmtId="0" fontId="0" fillId="0" borderId="8" xfId="0" applyBorder="1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1" fillId="0" borderId="11" xfId="0" applyFont="1" applyBorder="1"/>
    <xf numFmtId="0" fontId="0" fillId="0" borderId="17" xfId="0" applyBorder="1"/>
    <xf numFmtId="0" fontId="1" fillId="0" borderId="19" xfId="0" applyFont="1" applyBorder="1"/>
    <xf numFmtId="0" fontId="0" fillId="0" borderId="18" xfId="0" applyBorder="1" applyAlignment="1">
      <alignment horizontal="left"/>
    </xf>
    <xf numFmtId="0" fontId="0" fillId="0" borderId="19" xfId="0" applyBorder="1"/>
    <xf numFmtId="0" fontId="2" fillId="3" borderId="27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0" fillId="0" borderId="15" xfId="0" applyBorder="1"/>
    <xf numFmtId="0" fontId="1" fillId="0" borderId="8" xfId="0" applyFont="1" applyBorder="1"/>
    <xf numFmtId="0" fontId="0" fillId="0" borderId="18" xfId="0" applyBorder="1"/>
    <xf numFmtId="0" fontId="0" fillId="0" borderId="43" xfId="0" applyBorder="1"/>
    <xf numFmtId="0" fontId="0" fillId="0" borderId="23" xfId="0" applyBorder="1"/>
    <xf numFmtId="0" fontId="0" fillId="0" borderId="29" xfId="0" applyBorder="1"/>
    <xf numFmtId="0" fontId="0" fillId="0" borderId="36" xfId="0" applyBorder="1"/>
    <xf numFmtId="0" fontId="1" fillId="0" borderId="0" xfId="0" applyFont="1" applyAlignment="1">
      <alignment horizontal="center"/>
    </xf>
    <xf numFmtId="0" fontId="0" fillId="0" borderId="43" xfId="0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43" xfId="0" applyFont="1" applyBorder="1" applyAlignment="1">
      <alignment horizontal="left"/>
    </xf>
    <xf numFmtId="0" fontId="1" fillId="4" borderId="39" xfId="0" applyFont="1" applyFill="1" applyBorder="1"/>
    <xf numFmtId="0" fontId="1" fillId="4" borderId="19" xfId="0" applyFont="1" applyFill="1" applyBorder="1"/>
    <xf numFmtId="0" fontId="1" fillId="4" borderId="11" xfId="0" applyFont="1" applyFill="1" applyBorder="1"/>
    <xf numFmtId="0" fontId="1" fillId="4" borderId="13" xfId="0" applyFont="1" applyFill="1" applyBorder="1"/>
    <xf numFmtId="0" fontId="0" fillId="4" borderId="14" xfId="0" applyFill="1" applyBorder="1"/>
    <xf numFmtId="0" fontId="0" fillId="4" borderId="25" xfId="0" applyFill="1" applyBorder="1"/>
    <xf numFmtId="0" fontId="0" fillId="0" borderId="20" xfId="0" applyBorder="1"/>
    <xf numFmtId="0" fontId="0" fillId="0" borderId="21" xfId="0" applyBorder="1"/>
    <xf numFmtId="0" fontId="0" fillId="0" borderId="26" xfId="0" applyBorder="1"/>
    <xf numFmtId="0" fontId="0" fillId="0" borderId="14" xfId="0" applyBorder="1"/>
    <xf numFmtId="0" fontId="0" fillId="0" borderId="25" xfId="0" applyBorder="1"/>
    <xf numFmtId="0" fontId="0" fillId="0" borderId="37" xfId="0" applyBorder="1"/>
    <xf numFmtId="0" fontId="0" fillId="0" borderId="51" xfId="0" applyBorder="1"/>
    <xf numFmtId="0" fontId="0" fillId="4" borderId="51" xfId="0" applyFill="1" applyBorder="1"/>
    <xf numFmtId="0" fontId="0" fillId="0" borderId="53" xfId="0" applyBorder="1"/>
    <xf numFmtId="0" fontId="0" fillId="0" borderId="55" xfId="0" applyBorder="1"/>
    <xf numFmtId="0" fontId="1" fillId="0" borderId="47" xfId="0" applyFont="1" applyBorder="1"/>
    <xf numFmtId="0" fontId="1" fillId="0" borderId="47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0" fillId="0" borderId="6" xfId="0" applyBorder="1"/>
    <xf numFmtId="0" fontId="2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wrapText="1"/>
    </xf>
    <xf numFmtId="0" fontId="2" fillId="0" borderId="0" xfId="0" applyFont="1"/>
    <xf numFmtId="0" fontId="5" fillId="0" borderId="0" xfId="0" applyFont="1"/>
    <xf numFmtId="0" fontId="6" fillId="0" borderId="14" xfId="0" applyFont="1" applyBorder="1"/>
    <xf numFmtId="0" fontId="6" fillId="0" borderId="18" xfId="0" applyFont="1" applyBorder="1"/>
    <xf numFmtId="0" fontId="6" fillId="0" borderId="20" xfId="0" applyFont="1" applyBorder="1"/>
    <xf numFmtId="0" fontId="6" fillId="0" borderId="21" xfId="0" applyFont="1" applyBorder="1"/>
    <xf numFmtId="0" fontId="0" fillId="0" borderId="65" xfId="0" applyBorder="1"/>
    <xf numFmtId="0" fontId="0" fillId="0" borderId="66" xfId="0" applyBorder="1"/>
    <xf numFmtId="0" fontId="0" fillId="0" borderId="31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" fillId="0" borderId="21" xfId="0" applyFont="1" applyBorder="1" applyAlignment="1">
      <alignment horizontal="center"/>
    </xf>
    <xf numFmtId="0" fontId="0" fillId="2" borderId="20" xfId="0" applyFill="1" applyBorder="1"/>
    <xf numFmtId="0" fontId="0" fillId="2" borderId="21" xfId="0" applyFill="1" applyBorder="1"/>
    <xf numFmtId="0" fontId="0" fillId="2" borderId="18" xfId="0" applyFill="1" applyBorder="1"/>
    <xf numFmtId="0" fontId="0" fillId="2" borderId="0" xfId="0" applyFill="1"/>
    <xf numFmtId="0" fontId="0" fillId="0" borderId="18" xfId="0" applyBorder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6" xfId="0" applyFont="1" applyBorder="1"/>
    <xf numFmtId="0" fontId="6" fillId="0" borderId="41" xfId="0" applyFont="1" applyBorder="1"/>
    <xf numFmtId="0" fontId="6" fillId="0" borderId="43" xfId="0" applyFont="1" applyBorder="1"/>
    <xf numFmtId="0" fontId="7" fillId="0" borderId="51" xfId="0" applyFont="1" applyBorder="1"/>
    <xf numFmtId="9" fontId="1" fillId="4" borderId="31" xfId="1" applyFont="1" applyFill="1" applyBorder="1"/>
    <xf numFmtId="9" fontId="1" fillId="4" borderId="47" xfId="1" applyFont="1" applyFill="1" applyBorder="1"/>
    <xf numFmtId="9" fontId="1" fillId="4" borderId="32" xfId="1" applyFont="1" applyFill="1" applyBorder="1"/>
    <xf numFmtId="0" fontId="6" fillId="0" borderId="34" xfId="0" applyFont="1" applyBorder="1" applyAlignment="1">
      <alignment vertical="center"/>
    </xf>
    <xf numFmtId="0" fontId="7" fillId="0" borderId="35" xfId="0" applyFont="1" applyBorder="1" applyAlignment="1">
      <alignment horizontal="right" vertical="center"/>
    </xf>
    <xf numFmtId="0" fontId="7" fillId="0" borderId="35" xfId="0" applyFont="1" applyBorder="1" applyAlignment="1">
      <alignment horizontal="center" vertical="center"/>
    </xf>
    <xf numFmtId="0" fontId="6" fillId="0" borderId="68" xfId="0" applyFont="1" applyBorder="1"/>
    <xf numFmtId="0" fontId="6" fillId="0" borderId="50" xfId="0" applyFont="1" applyBorder="1"/>
    <xf numFmtId="0" fontId="0" fillId="0" borderId="61" xfId="0" applyBorder="1"/>
    <xf numFmtId="0" fontId="6" fillId="0" borderId="46" xfId="0" applyFont="1" applyBorder="1"/>
    <xf numFmtId="0" fontId="1" fillId="0" borderId="31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164" fontId="0" fillId="0" borderId="0" xfId="1" applyNumberFormat="1" applyFont="1"/>
    <xf numFmtId="0" fontId="2" fillId="3" borderId="1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6" fillId="0" borderId="23" xfId="0" applyFont="1" applyBorder="1"/>
    <xf numFmtId="0" fontId="7" fillId="0" borderId="42" xfId="0" applyFont="1" applyBorder="1" applyAlignment="1">
      <alignment horizontal="center" vertical="center"/>
    </xf>
    <xf numFmtId="0" fontId="6" fillId="0" borderId="13" xfId="0" applyFont="1" applyBorder="1" applyAlignment="1">
      <alignment horizontal="left"/>
    </xf>
    <xf numFmtId="0" fontId="6" fillId="0" borderId="0" xfId="0" applyFont="1"/>
    <xf numFmtId="0" fontId="6" fillId="0" borderId="64" xfId="0" applyFont="1" applyBorder="1"/>
    <xf numFmtId="0" fontId="1" fillId="4" borderId="28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55" xfId="0" applyBorder="1" applyAlignment="1">
      <alignment horizontal="center"/>
    </xf>
    <xf numFmtId="0" fontId="1" fillId="0" borderId="41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5" fontId="6" fillId="0" borderId="6" xfId="0" applyNumberFormat="1" applyFont="1" applyBorder="1"/>
    <xf numFmtId="0" fontId="7" fillId="0" borderId="64" xfId="0" applyFont="1" applyBorder="1"/>
    <xf numFmtId="0" fontId="7" fillId="0" borderId="6" xfId="0" applyFont="1" applyBorder="1"/>
    <xf numFmtId="43" fontId="0" fillId="0" borderId="62" xfId="0" applyNumberFormat="1" applyBorder="1"/>
    <xf numFmtId="0" fontId="0" fillId="0" borderId="49" xfId="0" applyBorder="1" applyAlignment="1">
      <alignment horizontal="center"/>
    </xf>
    <xf numFmtId="166" fontId="0" fillId="0" borderId="49" xfId="0" applyNumberFormat="1" applyBorder="1" applyAlignment="1">
      <alignment horizontal="center"/>
    </xf>
    <xf numFmtId="0" fontId="7" fillId="0" borderId="31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/>
    </xf>
    <xf numFmtId="0" fontId="7" fillId="0" borderId="35" xfId="0" applyFont="1" applyBorder="1" applyAlignment="1">
      <alignment horizontal="center" vertical="center" wrapText="1"/>
    </xf>
    <xf numFmtId="0" fontId="0" fillId="0" borderId="61" xfId="0" applyBorder="1" applyAlignment="1">
      <alignment horizontal="center"/>
    </xf>
    <xf numFmtId="166" fontId="3" fillId="0" borderId="22" xfId="0" applyNumberFormat="1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38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54" xfId="0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0" xfId="0" applyBorder="1" applyAlignment="1">
      <alignment horizontal="center"/>
    </xf>
    <xf numFmtId="0" fontId="1" fillId="0" borderId="40" xfId="0" applyFont="1" applyBorder="1"/>
    <xf numFmtId="0" fontId="0" fillId="0" borderId="57" xfId="0" applyBorder="1" applyAlignment="1">
      <alignment horizontal="center"/>
    </xf>
    <xf numFmtId="0" fontId="11" fillId="0" borderId="0" xfId="0" applyFont="1"/>
    <xf numFmtId="0" fontId="0" fillId="0" borderId="13" xfId="0" applyBorder="1" applyAlignment="1">
      <alignment horizontal="left"/>
    </xf>
    <xf numFmtId="0" fontId="1" fillId="2" borderId="24" xfId="0" applyFont="1" applyFill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6" fillId="0" borderId="37" xfId="0" applyFont="1" applyBorder="1"/>
    <xf numFmtId="0" fontId="0" fillId="0" borderId="60" xfId="0" applyBorder="1" applyAlignment="1">
      <alignment horizontal="center"/>
    </xf>
    <xf numFmtId="0" fontId="0" fillId="0" borderId="10" xfId="0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44" xfId="0" applyBorder="1" applyAlignment="1">
      <alignment horizontal="center"/>
    </xf>
    <xf numFmtId="2" fontId="0" fillId="0" borderId="36" xfId="0" applyNumberFormat="1" applyBorder="1" applyAlignment="1">
      <alignment horizontal="center"/>
    </xf>
    <xf numFmtId="0" fontId="1" fillId="2" borderId="31" xfId="0" applyFont="1" applyFill="1" applyBorder="1" applyAlignment="1">
      <alignment horizontal="center"/>
    </xf>
    <xf numFmtId="0" fontId="1" fillId="2" borderId="47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7" fillId="6" borderId="35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2" fontId="0" fillId="0" borderId="17" xfId="0" applyNumberFormat="1" applyBorder="1" applyAlignment="1">
      <alignment horizontal="center"/>
    </xf>
    <xf numFmtId="2" fontId="1" fillId="0" borderId="37" xfId="0" applyNumberFormat="1" applyFont="1" applyBorder="1" applyAlignment="1">
      <alignment horizontal="center"/>
    </xf>
    <xf numFmtId="2" fontId="0" fillId="0" borderId="30" xfId="0" applyNumberFormat="1" applyBorder="1" applyAlignment="1">
      <alignment horizontal="center"/>
    </xf>
    <xf numFmtId="0" fontId="1" fillId="0" borderId="20" xfId="0" applyFont="1" applyBorder="1"/>
    <xf numFmtId="0" fontId="1" fillId="0" borderId="21" xfId="0" applyFont="1" applyBorder="1"/>
    <xf numFmtId="0" fontId="1" fillId="0" borderId="26" xfId="0" applyFont="1" applyBorder="1"/>
    <xf numFmtId="2" fontId="1" fillId="4" borderId="12" xfId="0" applyNumberFormat="1" applyFont="1" applyFill="1" applyBorder="1" applyAlignment="1">
      <alignment horizontal="center"/>
    </xf>
    <xf numFmtId="0" fontId="0" fillId="4" borderId="66" xfId="0" applyFill="1" applyBorder="1"/>
    <xf numFmtId="0" fontId="1" fillId="4" borderId="66" xfId="0" applyFont="1" applyFill="1" applyBorder="1"/>
    <xf numFmtId="0" fontId="1" fillId="4" borderId="51" xfId="0" applyFont="1" applyFill="1" applyBorder="1"/>
    <xf numFmtId="2" fontId="1" fillId="4" borderId="49" xfId="0" applyNumberFormat="1" applyFont="1" applyFill="1" applyBorder="1" applyAlignment="1">
      <alignment horizontal="center"/>
    </xf>
    <xf numFmtId="0" fontId="0" fillId="0" borderId="49" xfId="0" applyBorder="1" applyAlignment="1">
      <alignment horizontal="center" shrinkToFit="1"/>
    </xf>
    <xf numFmtId="0" fontId="1" fillId="4" borderId="49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 wrapText="1"/>
    </xf>
    <xf numFmtId="2" fontId="1" fillId="0" borderId="31" xfId="0" applyNumberFormat="1" applyFont="1" applyBorder="1"/>
    <xf numFmtId="2" fontId="0" fillId="0" borderId="38" xfId="0" applyNumberFormat="1" applyBorder="1"/>
    <xf numFmtId="164" fontId="1" fillId="0" borderId="28" xfId="1" applyNumberFormat="1" applyFont="1" applyBorder="1" applyAlignment="1">
      <alignment horizontal="center"/>
    </xf>
    <xf numFmtId="2" fontId="0" fillId="0" borderId="15" xfId="0" applyNumberFormat="1" applyBorder="1"/>
    <xf numFmtId="164" fontId="1" fillId="0" borderId="32" xfId="0" applyNumberFormat="1" applyFont="1" applyBorder="1"/>
    <xf numFmtId="2" fontId="1" fillId="4" borderId="36" xfId="0" applyNumberFormat="1" applyFont="1" applyFill="1" applyBorder="1" applyAlignment="1">
      <alignment horizontal="center"/>
    </xf>
    <xf numFmtId="2" fontId="1" fillId="4" borderId="48" xfId="0" applyNumberFormat="1" applyFont="1" applyFill="1" applyBorder="1" applyAlignment="1">
      <alignment horizontal="center"/>
    </xf>
    <xf numFmtId="164" fontId="1" fillId="0" borderId="32" xfId="0" applyNumberFormat="1" applyFon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2" fontId="1" fillId="0" borderId="31" xfId="0" applyNumberFormat="1" applyFont="1" applyBorder="1" applyAlignment="1">
      <alignment horizontal="center"/>
    </xf>
    <xf numFmtId="2" fontId="0" fillId="0" borderId="28" xfId="0" applyNumberFormat="1" applyBorder="1" applyAlignment="1">
      <alignment horizontal="center"/>
    </xf>
    <xf numFmtId="2" fontId="1" fillId="0" borderId="47" xfId="0" applyNumberFormat="1" applyFont="1" applyBorder="1" applyAlignment="1">
      <alignment horizontal="center"/>
    </xf>
    <xf numFmtId="2" fontId="1" fillId="0" borderId="35" xfId="0" applyNumberFormat="1" applyFont="1" applyBorder="1" applyAlignment="1">
      <alignment horizontal="center"/>
    </xf>
    <xf numFmtId="9" fontId="1" fillId="4" borderId="48" xfId="1" applyFont="1" applyFill="1" applyBorder="1" applyAlignment="1">
      <alignment horizontal="center"/>
    </xf>
    <xf numFmtId="9" fontId="1" fillId="4" borderId="47" xfId="1" applyFont="1" applyFill="1" applyBorder="1" applyAlignment="1">
      <alignment horizontal="center"/>
    </xf>
    <xf numFmtId="9" fontId="1" fillId="4" borderId="32" xfId="1" applyFont="1" applyFill="1" applyBorder="1" applyAlignment="1">
      <alignment horizontal="center"/>
    </xf>
    <xf numFmtId="0" fontId="1" fillId="4" borderId="31" xfId="0" applyFont="1" applyFill="1" applyBorder="1" applyAlignment="1">
      <alignment horizontal="center" vertical="center" wrapText="1"/>
    </xf>
    <xf numFmtId="0" fontId="1" fillId="4" borderId="33" xfId="0" applyFont="1" applyFill="1" applyBorder="1"/>
    <xf numFmtId="0" fontId="1" fillId="4" borderId="20" xfId="0" applyFont="1" applyFill="1" applyBorder="1"/>
    <xf numFmtId="0" fontId="1" fillId="4" borderId="47" xfId="0" applyFont="1" applyFill="1" applyBorder="1" applyAlignment="1">
      <alignment horizontal="center" vertical="center" wrapText="1"/>
    </xf>
    <xf numFmtId="0" fontId="1" fillId="4" borderId="47" xfId="0" applyFont="1" applyFill="1" applyBorder="1" applyAlignment="1">
      <alignment horizontal="center" vertical="center"/>
    </xf>
    <xf numFmtId="0" fontId="1" fillId="4" borderId="32" xfId="0" applyFont="1" applyFill="1" applyBorder="1" applyAlignment="1">
      <alignment horizontal="center" vertical="center" wrapText="1"/>
    </xf>
    <xf numFmtId="0" fontId="1" fillId="4" borderId="48" xfId="0" applyFont="1" applyFill="1" applyBorder="1" applyAlignment="1">
      <alignment horizontal="center" vertical="center" wrapText="1"/>
    </xf>
    <xf numFmtId="0" fontId="1" fillId="4" borderId="56" xfId="0" applyFont="1" applyFill="1" applyBorder="1" applyAlignment="1">
      <alignment horizontal="center" vertical="center" wrapText="1"/>
    </xf>
    <xf numFmtId="0" fontId="1" fillId="4" borderId="57" xfId="0" applyFont="1" applyFill="1" applyBorder="1"/>
    <xf numFmtId="0" fontId="1" fillId="0" borderId="49" xfId="0" applyFont="1" applyBorder="1"/>
    <xf numFmtId="0" fontId="1" fillId="0" borderId="68" xfId="0" applyFont="1" applyBorder="1"/>
    <xf numFmtId="164" fontId="1" fillId="0" borderId="36" xfId="1" applyNumberFormat="1" applyFont="1" applyBorder="1" applyAlignment="1">
      <alignment horizontal="center"/>
    </xf>
    <xf numFmtId="2" fontId="1" fillId="0" borderId="8" xfId="0" applyNumberFormat="1" applyFont="1" applyBorder="1"/>
    <xf numFmtId="2" fontId="1" fillId="0" borderId="11" xfId="0" applyNumberFormat="1" applyFont="1" applyBorder="1"/>
    <xf numFmtId="41" fontId="0" fillId="0" borderId="8" xfId="2" applyFont="1" applyBorder="1"/>
    <xf numFmtId="41" fontId="0" fillId="0" borderId="11" xfId="2" applyFont="1" applyBorder="1"/>
    <xf numFmtId="41" fontId="0" fillId="0" borderId="19" xfId="2" applyFont="1" applyBorder="1"/>
    <xf numFmtId="41" fontId="0" fillId="2" borderId="8" xfId="2" applyFont="1" applyFill="1" applyBorder="1"/>
    <xf numFmtId="41" fontId="0" fillId="2" borderId="11" xfId="2" applyFont="1" applyFill="1" applyBorder="1"/>
    <xf numFmtId="41" fontId="0" fillId="2" borderId="19" xfId="2" applyFont="1" applyFill="1" applyBorder="1"/>
    <xf numFmtId="41" fontId="0" fillId="2" borderId="22" xfId="2" applyFont="1" applyFill="1" applyBorder="1"/>
    <xf numFmtId="41" fontId="0" fillId="2" borderId="23" xfId="2" applyFont="1" applyFill="1" applyBorder="1"/>
    <xf numFmtId="41" fontId="0" fillId="2" borderId="24" xfId="2" applyFont="1" applyFill="1" applyBorder="1"/>
    <xf numFmtId="0" fontId="2" fillId="3" borderId="67" xfId="0" applyFont="1" applyFill="1" applyBorder="1" applyAlignment="1">
      <alignment horizontal="center" vertical="center"/>
    </xf>
    <xf numFmtId="41" fontId="0" fillId="0" borderId="39" xfId="2" applyFont="1" applyBorder="1"/>
    <xf numFmtId="41" fontId="0" fillId="0" borderId="43" xfId="2" applyFont="1" applyBorder="1"/>
    <xf numFmtId="41" fontId="0" fillId="2" borderId="43" xfId="2" applyFont="1" applyFill="1" applyBorder="1"/>
    <xf numFmtId="41" fontId="0" fillId="2" borderId="26" xfId="2" applyFont="1" applyFill="1" applyBorder="1"/>
    <xf numFmtId="0" fontId="0" fillId="0" borderId="43" xfId="0" applyBorder="1" applyAlignment="1">
      <alignment vertical="top"/>
    </xf>
    <xf numFmtId="0" fontId="0" fillId="2" borderId="43" xfId="0" applyFill="1" applyBorder="1"/>
    <xf numFmtId="0" fontId="0" fillId="2" borderId="26" xfId="0" applyFill="1" applyBorder="1"/>
    <xf numFmtId="0" fontId="1" fillId="4" borderId="27" xfId="0" applyFont="1" applyFill="1" applyBorder="1" applyAlignment="1">
      <alignment horizontal="center"/>
    </xf>
    <xf numFmtId="0" fontId="1" fillId="4" borderId="36" xfId="0" applyFont="1" applyFill="1" applyBorder="1" applyAlignment="1">
      <alignment horizontal="center"/>
    </xf>
    <xf numFmtId="2" fontId="12" fillId="0" borderId="15" xfId="0" applyNumberFormat="1" applyFont="1" applyBorder="1"/>
    <xf numFmtId="0" fontId="12" fillId="0" borderId="16" xfId="0" applyFont="1" applyBorder="1"/>
    <xf numFmtId="0" fontId="12" fillId="0" borderId="17" xfId="0" applyFont="1" applyBorder="1"/>
    <xf numFmtId="2" fontId="1" fillId="4" borderId="38" xfId="0" applyNumberFormat="1" applyFont="1" applyFill="1" applyBorder="1"/>
    <xf numFmtId="2" fontId="1" fillId="4" borderId="16" xfId="0" applyNumberFormat="1" applyFont="1" applyFill="1" applyBorder="1"/>
    <xf numFmtId="2" fontId="1" fillId="4" borderId="17" xfId="0" applyNumberFormat="1" applyFont="1" applyFill="1" applyBorder="1"/>
    <xf numFmtId="2" fontId="0" fillId="0" borderId="39" xfId="0" applyNumberFormat="1" applyBorder="1"/>
    <xf numFmtId="2" fontId="0" fillId="0" borderId="11" xfId="0" applyNumberFormat="1" applyBorder="1"/>
    <xf numFmtId="2" fontId="0" fillId="0" borderId="19" xfId="0" applyNumberFormat="1" applyBorder="1"/>
    <xf numFmtId="0" fontId="1" fillId="4" borderId="68" xfId="0" applyFont="1" applyFill="1" applyBorder="1" applyAlignment="1">
      <alignment horizontal="center"/>
    </xf>
    <xf numFmtId="0" fontId="1" fillId="4" borderId="50" xfId="0" applyFont="1" applyFill="1" applyBorder="1"/>
    <xf numFmtId="41" fontId="0" fillId="0" borderId="39" xfId="0" applyNumberFormat="1" applyBorder="1"/>
    <xf numFmtId="41" fontId="0" fillId="0" borderId="8" xfId="0" applyNumberFormat="1" applyBorder="1"/>
    <xf numFmtId="41" fontId="0" fillId="0" borderId="11" xfId="0" applyNumberFormat="1" applyBorder="1"/>
    <xf numFmtId="41" fontId="0" fillId="0" borderId="40" xfId="2" applyFont="1" applyBorder="1"/>
    <xf numFmtId="41" fontId="0" fillId="0" borderId="23" xfId="2" applyFont="1" applyBorder="1"/>
    <xf numFmtId="41" fontId="0" fillId="0" borderId="22" xfId="2" applyFont="1" applyBorder="1"/>
    <xf numFmtId="41" fontId="0" fillId="0" borderId="26" xfId="2" applyFont="1" applyBorder="1"/>
    <xf numFmtId="41" fontId="1" fillId="4" borderId="38" xfId="2" applyFont="1" applyFill="1" applyBorder="1"/>
    <xf numFmtId="41" fontId="1" fillId="4" borderId="16" xfId="2" applyFont="1" applyFill="1" applyBorder="1"/>
    <xf numFmtId="41" fontId="1" fillId="4" borderId="25" xfId="2" applyFont="1" applyFill="1" applyBorder="1"/>
    <xf numFmtId="41" fontId="1" fillId="4" borderId="15" xfId="2" applyFont="1" applyFill="1" applyBorder="1"/>
    <xf numFmtId="41" fontId="1" fillId="4" borderId="39" xfId="2" applyFont="1" applyFill="1" applyBorder="1"/>
    <xf numFmtId="41" fontId="1" fillId="4" borderId="11" xfId="2" applyFont="1" applyFill="1" applyBorder="1"/>
    <xf numFmtId="41" fontId="1" fillId="4" borderId="19" xfId="2" applyFont="1" applyFill="1" applyBorder="1"/>
    <xf numFmtId="41" fontId="0" fillId="0" borderId="38" xfId="2" applyFont="1" applyBorder="1"/>
    <xf numFmtId="41" fontId="0" fillId="0" borderId="15" xfId="2" applyFont="1" applyBorder="1"/>
    <xf numFmtId="41" fontId="0" fillId="0" borderId="16" xfId="2" applyFont="1" applyBorder="1"/>
    <xf numFmtId="41" fontId="0" fillId="0" borderId="25" xfId="2" applyFont="1" applyBorder="1"/>
    <xf numFmtId="41" fontId="0" fillId="0" borderId="0" xfId="2" applyFont="1"/>
    <xf numFmtId="41" fontId="1" fillId="4" borderId="43" xfId="2" applyFont="1" applyFill="1" applyBorder="1"/>
    <xf numFmtId="41" fontId="1" fillId="4" borderId="8" xfId="2" applyFont="1" applyFill="1" applyBorder="1"/>
    <xf numFmtId="164" fontId="0" fillId="4" borderId="40" xfId="1" applyNumberFormat="1" applyFont="1" applyFill="1" applyBorder="1"/>
    <xf numFmtId="164" fontId="0" fillId="4" borderId="22" xfId="1" applyNumberFormat="1" applyFont="1" applyFill="1" applyBorder="1"/>
    <xf numFmtId="164" fontId="0" fillId="4" borderId="23" xfId="1" applyNumberFormat="1" applyFont="1" applyFill="1" applyBorder="1"/>
    <xf numFmtId="164" fontId="0" fillId="4" borderId="26" xfId="1" applyNumberFormat="1" applyFont="1" applyFill="1" applyBorder="1"/>
    <xf numFmtId="42" fontId="0" fillId="0" borderId="29" xfId="3" applyFont="1" applyBorder="1"/>
    <xf numFmtId="42" fontId="0" fillId="0" borderId="30" xfId="3" applyFont="1" applyBorder="1"/>
    <xf numFmtId="41" fontId="10" fillId="0" borderId="38" xfId="2" applyFont="1" applyBorder="1"/>
    <xf numFmtId="41" fontId="10" fillId="0" borderId="15" xfId="2" applyFont="1" applyBorder="1"/>
    <xf numFmtId="41" fontId="10" fillId="0" borderId="16" xfId="2" applyFont="1" applyBorder="1"/>
    <xf numFmtId="41" fontId="10" fillId="0" borderId="25" xfId="2" applyFont="1" applyBorder="1"/>
    <xf numFmtId="41" fontId="1" fillId="0" borderId="39" xfId="2" applyFont="1" applyBorder="1"/>
    <xf numFmtId="41" fontId="1" fillId="0" borderId="8" xfId="2" applyFont="1" applyBorder="1"/>
    <xf numFmtId="41" fontId="1" fillId="0" borderId="11" xfId="2" applyFont="1" applyBorder="1"/>
    <xf numFmtId="41" fontId="1" fillId="0" borderId="43" xfId="2" applyFont="1" applyBorder="1"/>
    <xf numFmtId="41" fontId="0" fillId="0" borderId="42" xfId="2" applyFont="1" applyBorder="1"/>
    <xf numFmtId="41" fontId="6" fillId="0" borderId="16" xfId="2" applyFont="1" applyBorder="1"/>
    <xf numFmtId="167" fontId="7" fillId="0" borderId="6" xfId="3" applyNumberFormat="1" applyFont="1" applyBorder="1"/>
    <xf numFmtId="0" fontId="6" fillId="0" borderId="66" xfId="0" applyFont="1" applyBorder="1"/>
    <xf numFmtId="0" fontId="7" fillId="4" borderId="12" xfId="0" applyFont="1" applyFill="1" applyBorder="1" applyAlignment="1">
      <alignment horizontal="left" wrapText="1"/>
    </xf>
    <xf numFmtId="0" fontId="1" fillId="2" borderId="47" xfId="0" applyFont="1" applyFill="1" applyBorder="1" applyAlignment="1">
      <alignment horizontal="center" vertical="center"/>
    </xf>
    <xf numFmtId="43" fontId="0" fillId="0" borderId="33" xfId="0" applyNumberFormat="1" applyBorder="1"/>
    <xf numFmtId="0" fontId="0" fillId="0" borderId="35" xfId="0" applyBorder="1"/>
    <xf numFmtId="9" fontId="0" fillId="0" borderId="0" xfId="1" applyFont="1" applyAlignment="1">
      <alignment horizontal="center"/>
    </xf>
    <xf numFmtId="0" fontId="16" fillId="0" borderId="0" xfId="4" applyFont="1"/>
    <xf numFmtId="0" fontId="15" fillId="0" borderId="0" xfId="4"/>
    <xf numFmtId="0" fontId="17" fillId="0" borderId="0" xfId="4" applyFont="1"/>
    <xf numFmtId="0" fontId="18" fillId="0" borderId="0" xfId="4" applyFont="1"/>
    <xf numFmtId="0" fontId="19" fillId="7" borderId="0" xfId="4" applyFont="1" applyFill="1"/>
    <xf numFmtId="0" fontId="20" fillId="8" borderId="69" xfId="4" applyFont="1" applyFill="1" applyBorder="1" applyAlignment="1">
      <alignment horizontal="center" vertical="center" wrapText="1"/>
    </xf>
    <xf numFmtId="0" fontId="21" fillId="0" borderId="69" xfId="4" applyFont="1" applyBorder="1"/>
    <xf numFmtId="0" fontId="21" fillId="9" borderId="69" xfId="4" applyFont="1" applyFill="1" applyBorder="1"/>
    <xf numFmtId="166" fontId="22" fillId="0" borderId="69" xfId="4" applyNumberFormat="1" applyFont="1" applyBorder="1"/>
    <xf numFmtId="1" fontId="21" fillId="0" borderId="69" xfId="4" applyNumberFormat="1" applyFont="1" applyBorder="1"/>
    <xf numFmtId="3" fontId="22" fillId="0" borderId="69" xfId="4" applyNumberFormat="1" applyFont="1" applyBorder="1"/>
    <xf numFmtId="2" fontId="23" fillId="0" borderId="0" xfId="4" applyNumberFormat="1" applyFont="1" applyAlignment="1">
      <alignment horizontal="center"/>
    </xf>
    <xf numFmtId="0" fontId="24" fillId="0" borderId="0" xfId="4" applyFont="1"/>
    <xf numFmtId="0" fontId="21" fillId="0" borderId="69" xfId="4" applyFont="1" applyBorder="1" applyAlignment="1">
      <alignment horizontal="center"/>
    </xf>
    <xf numFmtId="0" fontId="15" fillId="0" borderId="0" xfId="4" applyAlignment="1">
      <alignment horizontal="center"/>
    </xf>
    <xf numFmtId="0" fontId="1" fillId="0" borderId="12" xfId="0" applyFont="1" applyBorder="1" applyAlignment="1">
      <alignment horizontal="center"/>
    </xf>
    <xf numFmtId="0" fontId="20" fillId="10" borderId="69" xfId="0" applyFont="1" applyFill="1" applyBorder="1" applyAlignment="1">
      <alignment horizontal="center"/>
    </xf>
    <xf numFmtId="0" fontId="21" fillId="11" borderId="69" xfId="0" applyFont="1" applyFill="1" applyBorder="1"/>
    <xf numFmtId="2" fontId="19" fillId="11" borderId="69" xfId="0" applyNumberFormat="1" applyFont="1" applyFill="1" applyBorder="1" applyAlignment="1">
      <alignment horizontal="center"/>
    </xf>
    <xf numFmtId="0" fontId="21" fillId="0" borderId="69" xfId="0" applyFont="1" applyBorder="1"/>
    <xf numFmtId="2" fontId="19" fillId="0" borderId="69" xfId="0" applyNumberFormat="1" applyFont="1" applyBorder="1" applyAlignment="1">
      <alignment horizontal="center"/>
    </xf>
    <xf numFmtId="2" fontId="0" fillId="0" borderId="36" xfId="0" applyNumberFormat="1" applyBorder="1" applyAlignment="1">
      <alignment horizontal="center" vertical="center"/>
    </xf>
    <xf numFmtId="2" fontId="1" fillId="0" borderId="26" xfId="0" applyNumberFormat="1" applyFont="1" applyBorder="1"/>
    <xf numFmtId="0" fontId="0" fillId="0" borderId="27" xfId="0" applyBorder="1"/>
    <xf numFmtId="2" fontId="0" fillId="0" borderId="36" xfId="0" applyNumberFormat="1" applyBorder="1"/>
    <xf numFmtId="9" fontId="0" fillId="0" borderId="36" xfId="1" applyFont="1" applyBorder="1" applyAlignment="1">
      <alignment horizontal="center"/>
    </xf>
    <xf numFmtId="0" fontId="6" fillId="0" borderId="67" xfId="0" applyFont="1" applyBorder="1" applyAlignment="1">
      <alignment horizontal="center"/>
    </xf>
    <xf numFmtId="0" fontId="27" fillId="0" borderId="0" xfId="5" applyFont="1"/>
    <xf numFmtId="0" fontId="27" fillId="12" borderId="0" xfId="5" applyFont="1" applyFill="1" applyAlignment="1">
      <alignment horizontal="center"/>
    </xf>
    <xf numFmtId="0" fontId="30" fillId="13" borderId="0" xfId="5" applyFont="1" applyFill="1" applyAlignment="1">
      <alignment horizontal="center"/>
    </xf>
    <xf numFmtId="167" fontId="30" fillId="13" borderId="0" xfId="6" applyNumberFormat="1" applyFont="1" applyFill="1" applyAlignment="1">
      <alignment horizontal="center"/>
    </xf>
    <xf numFmtId="0" fontId="26" fillId="0" borderId="0" xfId="7"/>
    <xf numFmtId="0" fontId="31" fillId="14" borderId="27" xfId="5" applyFont="1" applyFill="1" applyBorder="1" applyAlignment="1">
      <alignment horizontal="center" vertical="center" wrapText="1"/>
    </xf>
    <xf numFmtId="0" fontId="31" fillId="14" borderId="67" xfId="5" applyFont="1" applyFill="1" applyBorder="1" applyAlignment="1">
      <alignment horizontal="center" vertical="center" wrapText="1"/>
    </xf>
    <xf numFmtId="0" fontId="32" fillId="14" borderId="36" xfId="5" applyFont="1" applyFill="1" applyBorder="1" applyAlignment="1">
      <alignment horizontal="center" vertical="top" wrapText="1"/>
    </xf>
    <xf numFmtId="0" fontId="32" fillId="14" borderId="36" xfId="5" applyFont="1" applyFill="1" applyBorder="1" applyAlignment="1">
      <alignment horizontal="center" vertical="center" wrapText="1"/>
    </xf>
    <xf numFmtId="0" fontId="32" fillId="14" borderId="54" xfId="5" applyFont="1" applyFill="1" applyBorder="1" applyAlignment="1">
      <alignment horizontal="center" vertical="center" wrapText="1"/>
    </xf>
    <xf numFmtId="0" fontId="32" fillId="14" borderId="64" xfId="5" applyFont="1" applyFill="1" applyBorder="1" applyAlignment="1">
      <alignment horizontal="center" vertical="center" wrapText="1"/>
    </xf>
    <xf numFmtId="0" fontId="32" fillId="14" borderId="28" xfId="5" applyFont="1" applyFill="1" applyBorder="1" applyAlignment="1">
      <alignment horizontal="center" vertical="center" wrapText="1"/>
    </xf>
    <xf numFmtId="0" fontId="32" fillId="0" borderId="52" xfId="5" applyFont="1" applyBorder="1"/>
    <xf numFmtId="41" fontId="32" fillId="0" borderId="7" xfId="2" applyFont="1" applyBorder="1"/>
    <xf numFmtId="0" fontId="32" fillId="0" borderId="7" xfId="5" applyFont="1" applyBorder="1" applyAlignment="1">
      <alignment horizontal="center"/>
    </xf>
    <xf numFmtId="9" fontId="33" fillId="0" borderId="1" xfId="8" applyFont="1" applyBorder="1"/>
    <xf numFmtId="3" fontId="33" fillId="0" borderId="1" xfId="5" applyNumberFormat="1" applyFont="1" applyBorder="1"/>
    <xf numFmtId="3" fontId="33" fillId="0" borderId="5" xfId="5" applyNumberFormat="1" applyFont="1" applyBorder="1"/>
    <xf numFmtId="3" fontId="33" fillId="0" borderId="2" xfId="9" applyNumberFormat="1" applyFont="1" applyBorder="1"/>
    <xf numFmtId="170" fontId="34" fillId="0" borderId="53" xfId="5" applyNumberFormat="1" applyFont="1" applyBorder="1"/>
    <xf numFmtId="171" fontId="0" fillId="0" borderId="0" xfId="0" applyNumberFormat="1"/>
    <xf numFmtId="172" fontId="33" fillId="0" borderId="0" xfId="5" applyNumberFormat="1" applyFont="1"/>
    <xf numFmtId="3" fontId="32" fillId="0" borderId="23" xfId="5" applyNumberFormat="1" applyFont="1" applyBorder="1" applyAlignment="1">
      <alignment horizontal="right"/>
    </xf>
    <xf numFmtId="41" fontId="32" fillId="0" borderId="23" xfId="2" applyFont="1" applyBorder="1" applyAlignment="1">
      <alignment horizontal="right"/>
    </xf>
    <xf numFmtId="172" fontId="32" fillId="0" borderId="22" xfId="5" applyNumberFormat="1" applyFont="1" applyBorder="1"/>
    <xf numFmtId="172" fontId="32" fillId="0" borderId="26" xfId="5" applyNumberFormat="1" applyFont="1" applyBorder="1"/>
    <xf numFmtId="0" fontId="35" fillId="0" borderId="0" xfId="5" applyFont="1"/>
    <xf numFmtId="3" fontId="31" fillId="0" borderId="28" xfId="5" applyNumberFormat="1" applyFont="1" applyBorder="1"/>
    <xf numFmtId="3" fontId="31" fillId="0" borderId="53" xfId="5" applyNumberFormat="1" applyFont="1" applyBorder="1"/>
    <xf numFmtId="3" fontId="37" fillId="16" borderId="30" xfId="5" applyNumberFormat="1" applyFont="1" applyFill="1" applyBorder="1"/>
    <xf numFmtId="0" fontId="0" fillId="15" borderId="0" xfId="0" applyFill="1"/>
    <xf numFmtId="173" fontId="0" fillId="0" borderId="8" xfId="2" applyNumberFormat="1" applyFont="1" applyBorder="1"/>
    <xf numFmtId="171" fontId="0" fillId="0" borderId="8" xfId="2" applyNumberFormat="1" applyFont="1" applyBorder="1"/>
    <xf numFmtId="171" fontId="1" fillId="4" borderId="25" xfId="2" applyNumberFormat="1" applyFont="1" applyFill="1" applyBorder="1"/>
    <xf numFmtId="3" fontId="0" fillId="0" borderId="0" xfId="0" applyNumberFormat="1"/>
    <xf numFmtId="3" fontId="38" fillId="0" borderId="0" xfId="0" applyNumberFormat="1" applyFont="1"/>
    <xf numFmtId="0" fontId="39" fillId="0" borderId="0" xfId="0" applyFont="1"/>
    <xf numFmtId="0" fontId="40" fillId="0" borderId="0" xfId="0" applyFont="1"/>
    <xf numFmtId="0" fontId="41" fillId="3" borderId="0" xfId="0" applyFont="1" applyFill="1"/>
    <xf numFmtId="0" fontId="41" fillId="3" borderId="0" xfId="0" applyFont="1" applyFill="1" applyAlignment="1">
      <alignment horizontal="center"/>
    </xf>
    <xf numFmtId="0" fontId="41" fillId="3" borderId="0" xfId="0" applyFont="1" applyFill="1" applyAlignment="1">
      <alignment horizontal="center" vertical="center" wrapText="1"/>
    </xf>
    <xf numFmtId="0" fontId="42" fillId="0" borderId="0" xfId="0" applyFont="1"/>
    <xf numFmtId="2" fontId="42" fillId="0" borderId="0" xfId="0" applyNumberFormat="1" applyFont="1"/>
    <xf numFmtId="0" fontId="43" fillId="0" borderId="0" xfId="0" applyFont="1"/>
    <xf numFmtId="9" fontId="38" fillId="0" borderId="0" xfId="0" applyNumberFormat="1" applyFont="1"/>
    <xf numFmtId="2" fontId="38" fillId="0" borderId="0" xfId="0" applyNumberFormat="1" applyFont="1"/>
    <xf numFmtId="175" fontId="38" fillId="0" borderId="0" xfId="0" applyNumberFormat="1" applyFont="1"/>
    <xf numFmtId="0" fontId="1" fillId="0" borderId="70" xfId="0" applyFont="1" applyBorder="1"/>
    <xf numFmtId="2" fontId="1" fillId="0" borderId="70" xfId="0" applyNumberFormat="1" applyFont="1" applyBorder="1"/>
    <xf numFmtId="9" fontId="0" fillId="0" borderId="8" xfId="0" applyNumberFormat="1" applyBorder="1"/>
    <xf numFmtId="9" fontId="0" fillId="0" borderId="11" xfId="0" applyNumberFormat="1" applyBorder="1"/>
    <xf numFmtId="9" fontId="0" fillId="0" borderId="19" xfId="0" applyNumberFormat="1" applyBorder="1"/>
    <xf numFmtId="2" fontId="0" fillId="0" borderId="8" xfId="0" applyNumberFormat="1" applyBorder="1"/>
    <xf numFmtId="3" fontId="0" fillId="0" borderId="8" xfId="0" applyNumberFormat="1" applyBorder="1"/>
    <xf numFmtId="3" fontId="0" fillId="0" borderId="11" xfId="0" applyNumberFormat="1" applyBorder="1"/>
    <xf numFmtId="3" fontId="0" fillId="0" borderId="19" xfId="0" applyNumberFormat="1" applyBorder="1"/>
    <xf numFmtId="175" fontId="0" fillId="0" borderId="0" xfId="0" applyNumberFormat="1"/>
    <xf numFmtId="175" fontId="42" fillId="0" borderId="0" xfId="0" applyNumberFormat="1" applyFont="1"/>
    <xf numFmtId="175" fontId="1" fillId="0" borderId="70" xfId="0" applyNumberFormat="1" applyFont="1" applyBorder="1"/>
    <xf numFmtId="3" fontId="0" fillId="0" borderId="36" xfId="0" applyNumberFormat="1" applyBorder="1"/>
    <xf numFmtId="3" fontId="0" fillId="0" borderId="1" xfId="0" applyNumberFormat="1" applyBorder="1"/>
    <xf numFmtId="164" fontId="0" fillId="0" borderId="28" xfId="0" applyNumberFormat="1" applyBorder="1"/>
    <xf numFmtId="173" fontId="0" fillId="0" borderId="39" xfId="2" applyNumberFormat="1" applyFont="1" applyBorder="1"/>
    <xf numFmtId="173" fontId="0" fillId="0" borderId="11" xfId="2" applyNumberFormat="1" applyFont="1" applyBorder="1"/>
    <xf numFmtId="173" fontId="0" fillId="0" borderId="19" xfId="2" applyNumberFormat="1" applyFont="1" applyBorder="1"/>
    <xf numFmtId="173" fontId="0" fillId="0" borderId="43" xfId="2" applyNumberFormat="1" applyFont="1" applyBorder="1"/>
    <xf numFmtId="176" fontId="0" fillId="0" borderId="0" xfId="0" applyNumberFormat="1"/>
    <xf numFmtId="177" fontId="0" fillId="0" borderId="0" xfId="0" applyNumberFormat="1"/>
    <xf numFmtId="0" fontId="0" fillId="0" borderId="0" xfId="0" applyAlignment="1">
      <alignment vertical="top" wrapText="1"/>
    </xf>
    <xf numFmtId="3" fontId="42" fillId="0" borderId="0" xfId="0" applyNumberFormat="1" applyFont="1"/>
    <xf numFmtId="0" fontId="47" fillId="0" borderId="0" xfId="0" applyFont="1"/>
    <xf numFmtId="178" fontId="0" fillId="0" borderId="39" xfId="2" applyNumberFormat="1" applyFont="1" applyBorder="1"/>
    <xf numFmtId="178" fontId="0" fillId="0" borderId="8" xfId="2" applyNumberFormat="1" applyFont="1" applyBorder="1"/>
    <xf numFmtId="178" fontId="0" fillId="0" borderId="11" xfId="2" applyNumberFormat="1" applyFont="1" applyBorder="1"/>
    <xf numFmtId="178" fontId="0" fillId="0" borderId="43" xfId="2" applyNumberFormat="1" applyFont="1" applyBorder="1"/>
    <xf numFmtId="177" fontId="1" fillId="0" borderId="0" xfId="0" applyNumberFormat="1" applyFont="1"/>
    <xf numFmtId="0" fontId="46" fillId="0" borderId="70" xfId="0" applyFont="1" applyBorder="1"/>
    <xf numFmtId="3" fontId="45" fillId="0" borderId="70" xfId="0" applyNumberFormat="1" applyFont="1" applyBorder="1"/>
    <xf numFmtId="2" fontId="45" fillId="0" borderId="70" xfId="0" applyNumberFormat="1" applyFont="1" applyBorder="1"/>
    <xf numFmtId="2" fontId="44" fillId="0" borderId="70" xfId="0" applyNumberFormat="1" applyFont="1" applyBorder="1"/>
    <xf numFmtId="177" fontId="1" fillId="0" borderId="70" xfId="0" applyNumberFormat="1" applyFont="1" applyBorder="1"/>
    <xf numFmtId="49" fontId="46" fillId="0" borderId="70" xfId="0" applyNumberFormat="1" applyFont="1" applyBorder="1"/>
    <xf numFmtId="3" fontId="1" fillId="0" borderId="70" xfId="0" applyNumberFormat="1" applyFont="1" applyBorder="1"/>
    <xf numFmtId="4" fontId="42" fillId="0" borderId="0" xfId="0" applyNumberFormat="1" applyFont="1"/>
    <xf numFmtId="0" fontId="1" fillId="0" borderId="71" xfId="0" applyFont="1" applyBorder="1"/>
    <xf numFmtId="175" fontId="1" fillId="0" borderId="71" xfId="0" applyNumberFormat="1" applyFont="1" applyBorder="1"/>
    <xf numFmtId="164" fontId="1" fillId="0" borderId="71" xfId="0" applyNumberFormat="1" applyFont="1" applyBorder="1"/>
    <xf numFmtId="3" fontId="1" fillId="4" borderId="53" xfId="0" applyNumberFormat="1" applyFont="1" applyFill="1" applyBorder="1"/>
    <xf numFmtId="9" fontId="1" fillId="4" borderId="30" xfId="1" applyFont="1" applyFill="1" applyBorder="1"/>
    <xf numFmtId="167" fontId="0" fillId="0" borderId="0" xfId="0" applyNumberFormat="1"/>
    <xf numFmtId="0" fontId="1" fillId="0" borderId="32" xfId="0" applyFont="1" applyBorder="1" applyAlignment="1">
      <alignment horizontal="center"/>
    </xf>
    <xf numFmtId="164" fontId="0" fillId="0" borderId="53" xfId="0" applyNumberFormat="1" applyBorder="1"/>
    <xf numFmtId="0" fontId="0" fillId="0" borderId="30" xfId="0" applyBorder="1"/>
    <xf numFmtId="0" fontId="1" fillId="0" borderId="56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0" fillId="0" borderId="67" xfId="0" applyBorder="1"/>
    <xf numFmtId="0" fontId="0" fillId="0" borderId="7" xfId="0" applyBorder="1"/>
    <xf numFmtId="0" fontId="1" fillId="0" borderId="12" xfId="0" applyFont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175" fontId="44" fillId="0" borderId="70" xfId="0" applyNumberFormat="1" applyFont="1" applyBorder="1"/>
    <xf numFmtId="0" fontId="41" fillId="3" borderId="0" xfId="0" applyFont="1" applyFill="1" applyAlignment="1">
      <alignment horizontal="left"/>
    </xf>
    <xf numFmtId="0" fontId="1" fillId="0" borderId="70" xfId="0" applyFont="1" applyBorder="1" applyAlignment="1">
      <alignment horizontal="left"/>
    </xf>
    <xf numFmtId="0" fontId="0" fillId="0" borderId="9" xfId="0" applyBorder="1" applyAlignment="1">
      <alignment horizontal="left"/>
    </xf>
    <xf numFmtId="0" fontId="48" fillId="0" borderId="0" xfId="0" applyFont="1"/>
    <xf numFmtId="176" fontId="42" fillId="0" borderId="9" xfId="0" applyNumberFormat="1" applyFont="1" applyBorder="1"/>
    <xf numFmtId="0" fontId="49" fillId="0" borderId="0" xfId="0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49" fillId="0" borderId="1" xfId="0" applyFont="1" applyBorder="1"/>
    <xf numFmtId="0" fontId="49" fillId="0" borderId="1" xfId="0" applyFont="1" applyBorder="1" applyAlignment="1">
      <alignment horizontal="center"/>
    </xf>
    <xf numFmtId="0" fontId="41" fillId="3" borderId="74" xfId="0" applyFont="1" applyFill="1" applyBorder="1"/>
    <xf numFmtId="0" fontId="0" fillId="0" borderId="73" xfId="0" applyBorder="1"/>
    <xf numFmtId="0" fontId="0" fillId="0" borderId="3" xfId="0" applyBorder="1"/>
    <xf numFmtId="0" fontId="41" fillId="3" borderId="74" xfId="0" applyFont="1" applyFill="1" applyBorder="1" applyAlignment="1">
      <alignment horizontal="center"/>
    </xf>
    <xf numFmtId="174" fontId="38" fillId="17" borderId="73" xfId="0" applyNumberFormat="1" applyFont="1" applyFill="1" applyBorder="1"/>
    <xf numFmtId="174" fontId="38" fillId="17" borderId="3" xfId="0" applyNumberFormat="1" applyFont="1" applyFill="1" applyBorder="1"/>
    <xf numFmtId="3" fontId="38" fillId="17" borderId="1" xfId="0" applyNumberFormat="1" applyFont="1" applyFill="1" applyBorder="1"/>
    <xf numFmtId="9" fontId="0" fillId="6" borderId="17" xfId="1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66" fontId="25" fillId="0" borderId="17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3" fontId="0" fillId="0" borderId="16" xfId="0" applyNumberFormat="1" applyBorder="1" applyAlignment="1">
      <alignment horizontal="center" vertical="center"/>
    </xf>
    <xf numFmtId="0" fontId="1" fillId="0" borderId="33" xfId="0" applyFont="1" applyBorder="1" applyAlignment="1">
      <alignment horizontal="center" wrapText="1"/>
    </xf>
    <xf numFmtId="0" fontId="1" fillId="0" borderId="34" xfId="0" applyFont="1" applyBorder="1" applyAlignment="1">
      <alignment horizontal="center" wrapText="1"/>
    </xf>
    <xf numFmtId="0" fontId="1" fillId="0" borderId="35" xfId="0" applyFont="1" applyBorder="1" applyAlignment="1">
      <alignment horizontal="center" wrapText="1"/>
    </xf>
    <xf numFmtId="41" fontId="6" fillId="0" borderId="20" xfId="0" applyNumberFormat="1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41" fontId="6" fillId="0" borderId="18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43" xfId="0" applyFont="1" applyBorder="1" applyAlignment="1">
      <alignment horizontal="center"/>
    </xf>
    <xf numFmtId="4" fontId="7" fillId="4" borderId="33" xfId="0" applyNumberFormat="1" applyFont="1" applyFill="1" applyBorder="1" applyAlignment="1">
      <alignment horizontal="center"/>
    </xf>
    <xf numFmtId="4" fontId="7" fillId="4" borderId="35" xfId="0" applyNumberFormat="1" applyFont="1" applyFill="1" applyBorder="1" applyAlignment="1">
      <alignment horizontal="center"/>
    </xf>
    <xf numFmtId="4" fontId="6" fillId="0" borderId="18" xfId="0" applyNumberFormat="1" applyFont="1" applyBorder="1" applyAlignment="1">
      <alignment horizontal="center"/>
    </xf>
    <xf numFmtId="4" fontId="6" fillId="0" borderId="43" xfId="0" applyNumberFormat="1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1" fillId="0" borderId="33" xfId="0" applyFont="1" applyBorder="1" applyAlignment="1">
      <alignment horizontal="left" vertical="center"/>
    </xf>
    <xf numFmtId="0" fontId="1" fillId="0" borderId="34" xfId="0" applyFont="1" applyBorder="1" applyAlignment="1">
      <alignment horizontal="left" vertical="center"/>
    </xf>
    <xf numFmtId="0" fontId="6" fillId="0" borderId="41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9" fontId="6" fillId="0" borderId="13" xfId="1" applyFont="1" applyBorder="1" applyAlignment="1">
      <alignment horizontal="center"/>
    </xf>
    <xf numFmtId="9" fontId="6" fillId="0" borderId="25" xfId="1" applyFont="1" applyBorder="1" applyAlignment="1">
      <alignment horizontal="center"/>
    </xf>
    <xf numFmtId="41" fontId="7" fillId="4" borderId="33" xfId="0" applyNumberFormat="1" applyFont="1" applyFill="1" applyBorder="1" applyAlignment="1">
      <alignment horizontal="center" wrapText="1"/>
    </xf>
    <xf numFmtId="0" fontId="7" fillId="4" borderId="34" xfId="0" applyFont="1" applyFill="1" applyBorder="1" applyAlignment="1">
      <alignment horizontal="center" wrapText="1"/>
    </xf>
    <xf numFmtId="41" fontId="7" fillId="4" borderId="33" xfId="0" applyNumberFormat="1" applyFont="1" applyFill="1" applyBorder="1" applyAlignment="1">
      <alignment horizontal="center"/>
    </xf>
    <xf numFmtId="0" fontId="7" fillId="4" borderId="35" xfId="0" applyFont="1" applyFill="1" applyBorder="1" applyAlignment="1">
      <alignment horizontal="center"/>
    </xf>
    <xf numFmtId="2" fontId="7" fillId="0" borderId="61" xfId="0" applyNumberFormat="1" applyFont="1" applyBorder="1" applyAlignment="1">
      <alignment horizontal="center"/>
    </xf>
    <xf numFmtId="0" fontId="7" fillId="0" borderId="37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6" fillId="0" borderId="46" xfId="0" applyFont="1" applyBorder="1" applyAlignment="1">
      <alignment horizontal="center"/>
    </xf>
    <xf numFmtId="2" fontId="7" fillId="0" borderId="44" xfId="0" applyNumberFormat="1" applyFont="1" applyBorder="1" applyAlignment="1">
      <alignment horizontal="center"/>
    </xf>
    <xf numFmtId="0" fontId="7" fillId="0" borderId="45" xfId="0" applyFont="1" applyBorder="1" applyAlignment="1">
      <alignment horizontal="center"/>
    </xf>
    <xf numFmtId="41" fontId="6" fillId="0" borderId="13" xfId="0" applyNumberFormat="1" applyFont="1" applyBorder="1" applyAlignment="1">
      <alignment horizontal="center"/>
    </xf>
    <xf numFmtId="4" fontId="6" fillId="0" borderId="13" xfId="0" applyNumberFormat="1" applyFont="1" applyBorder="1" applyAlignment="1">
      <alignment horizontal="center"/>
    </xf>
    <xf numFmtId="4" fontId="6" fillId="0" borderId="25" xfId="0" applyNumberFormat="1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2" fontId="6" fillId="0" borderId="13" xfId="0" applyNumberFormat="1" applyFont="1" applyBorder="1" applyAlignment="1">
      <alignment horizont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0" fontId="7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/>
    </xf>
    <xf numFmtId="0" fontId="0" fillId="4" borderId="13" xfId="0" applyFill="1" applyBorder="1" applyAlignment="1">
      <alignment horizontal="justify" vertical="top" wrapText="1"/>
    </xf>
    <xf numFmtId="0" fontId="0" fillId="4" borderId="14" xfId="0" applyFill="1" applyBorder="1" applyAlignment="1">
      <alignment horizontal="justify" vertical="top"/>
    </xf>
    <xf numFmtId="0" fontId="0" fillId="4" borderId="25" xfId="0" applyFill="1" applyBorder="1" applyAlignment="1">
      <alignment horizontal="justify" vertical="top"/>
    </xf>
    <xf numFmtId="0" fontId="0" fillId="4" borderId="18" xfId="0" applyFill="1" applyBorder="1" applyAlignment="1">
      <alignment horizontal="justify" vertical="top"/>
    </xf>
    <xf numFmtId="0" fontId="0" fillId="4" borderId="0" xfId="0" applyFill="1" applyAlignment="1">
      <alignment horizontal="justify" vertical="top"/>
    </xf>
    <xf numFmtId="0" fontId="0" fillId="4" borderId="43" xfId="0" applyFill="1" applyBorder="1" applyAlignment="1">
      <alignment horizontal="justify" vertical="top"/>
    </xf>
    <xf numFmtId="0" fontId="0" fillId="4" borderId="20" xfId="0" applyFill="1" applyBorder="1" applyAlignment="1">
      <alignment horizontal="justify" vertical="top"/>
    </xf>
    <xf numFmtId="0" fontId="0" fillId="4" borderId="21" xfId="0" applyFill="1" applyBorder="1" applyAlignment="1">
      <alignment horizontal="justify" vertical="top"/>
    </xf>
    <xf numFmtId="0" fontId="0" fillId="4" borderId="26" xfId="0" applyFill="1" applyBorder="1" applyAlignment="1">
      <alignment horizontal="justify" vertical="top"/>
    </xf>
    <xf numFmtId="0" fontId="0" fillId="0" borderId="37" xfId="0" applyBorder="1" applyAlignment="1">
      <alignment horizontal="center"/>
    </xf>
    <xf numFmtId="0" fontId="8" fillId="3" borderId="0" xfId="0" applyFont="1" applyFill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1" fillId="0" borderId="41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2" borderId="33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1" fillId="2" borderId="35" xfId="0" applyFont="1" applyFill="1" applyBorder="1" applyAlignment="1">
      <alignment horizontal="center"/>
    </xf>
    <xf numFmtId="0" fontId="1" fillId="0" borderId="3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2" borderId="47" xfId="0" applyFont="1" applyFill="1" applyBorder="1" applyAlignment="1">
      <alignment horizontal="center" vertical="center"/>
    </xf>
    <xf numFmtId="0" fontId="0" fillId="0" borderId="54" xfId="0" applyBorder="1" applyAlignment="1">
      <alignment horizontal="left"/>
    </xf>
    <xf numFmtId="0" fontId="0" fillId="0" borderId="67" xfId="0" applyBorder="1" applyAlignment="1">
      <alignment horizontal="left"/>
    </xf>
    <xf numFmtId="0" fontId="1" fillId="0" borderId="26" xfId="0" applyFont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2" xfId="0" applyBorder="1" applyAlignment="1">
      <alignment horizontal="center"/>
    </xf>
    <xf numFmtId="2" fontId="0" fillId="0" borderId="72" xfId="0" applyNumberFormat="1" applyBorder="1" applyAlignment="1">
      <alignment horizontal="center"/>
    </xf>
    <xf numFmtId="2" fontId="0" fillId="0" borderId="73" xfId="0" applyNumberFormat="1" applyBorder="1" applyAlignment="1">
      <alignment horizontal="center"/>
    </xf>
    <xf numFmtId="0" fontId="0" fillId="0" borderId="73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4" borderId="14" xfId="0" applyFill="1" applyBorder="1" applyAlignment="1">
      <alignment horizontal="justify"/>
    </xf>
    <xf numFmtId="0" fontId="0" fillId="4" borderId="25" xfId="0" applyFill="1" applyBorder="1" applyAlignment="1">
      <alignment horizontal="justify"/>
    </xf>
    <xf numFmtId="0" fontId="0" fillId="4" borderId="18" xfId="0" applyFill="1" applyBorder="1" applyAlignment="1">
      <alignment horizontal="justify"/>
    </xf>
    <xf numFmtId="0" fontId="0" fillId="4" borderId="0" xfId="0" applyFill="1" applyAlignment="1">
      <alignment horizontal="justify"/>
    </xf>
    <xf numFmtId="0" fontId="0" fillId="4" borderId="43" xfId="0" applyFill="1" applyBorder="1" applyAlignment="1">
      <alignment horizontal="justify"/>
    </xf>
    <xf numFmtId="0" fontId="0" fillId="4" borderId="20" xfId="0" applyFill="1" applyBorder="1" applyAlignment="1">
      <alignment horizontal="justify"/>
    </xf>
    <xf numFmtId="0" fontId="0" fillId="4" borderId="21" xfId="0" applyFill="1" applyBorder="1" applyAlignment="1">
      <alignment horizontal="justify"/>
    </xf>
    <xf numFmtId="0" fontId="0" fillId="4" borderId="26" xfId="0" applyFill="1" applyBorder="1" applyAlignment="1">
      <alignment horizontal="justify"/>
    </xf>
    <xf numFmtId="0" fontId="0" fillId="0" borderId="1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3" xfId="0" applyBorder="1" applyAlignment="1">
      <alignment horizontal="center"/>
    </xf>
    <xf numFmtId="0" fontId="1" fillId="4" borderId="56" xfId="0" applyFont="1" applyFill="1" applyBorder="1" applyAlignment="1">
      <alignment horizontal="center" vertical="center" wrapText="1"/>
    </xf>
    <xf numFmtId="0" fontId="1" fillId="4" borderId="48" xfId="0" applyFont="1" applyFill="1" applyBorder="1" applyAlignment="1">
      <alignment horizontal="center" vertical="center" wrapText="1"/>
    </xf>
    <xf numFmtId="0" fontId="0" fillId="0" borderId="54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1" xfId="0" applyBorder="1" applyAlignment="1">
      <alignment horizontal="center"/>
    </xf>
    <xf numFmtId="0" fontId="1" fillId="4" borderId="34" xfId="0" applyFont="1" applyFill="1" applyBorder="1" applyAlignment="1">
      <alignment horizontal="center" vertical="center" wrapText="1"/>
    </xf>
    <xf numFmtId="0" fontId="1" fillId="4" borderId="33" xfId="0" applyFont="1" applyFill="1" applyBorder="1" applyAlignment="1">
      <alignment horizontal="center"/>
    </xf>
    <xf numFmtId="0" fontId="1" fillId="4" borderId="34" xfId="0" applyFont="1" applyFill="1" applyBorder="1" applyAlignment="1">
      <alignment horizontal="center"/>
    </xf>
    <xf numFmtId="0" fontId="1" fillId="4" borderId="35" xfId="0" applyFont="1" applyFill="1" applyBorder="1" applyAlignment="1">
      <alignment horizontal="center"/>
    </xf>
    <xf numFmtId="0" fontId="0" fillId="4" borderId="18" xfId="0" applyFill="1" applyBorder="1" applyAlignment="1">
      <alignment horizontal="justify" vertical="top" wrapText="1"/>
    </xf>
    <xf numFmtId="0" fontId="0" fillId="0" borderId="18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1" fillId="4" borderId="18" xfId="0" applyFont="1" applyFill="1" applyBorder="1" applyAlignment="1">
      <alignment horizontal="left"/>
    </xf>
    <xf numFmtId="0" fontId="1" fillId="4" borderId="0" xfId="0" applyFont="1" applyFill="1" applyAlignment="1">
      <alignment horizontal="left"/>
    </xf>
    <xf numFmtId="0" fontId="1" fillId="4" borderId="43" xfId="0" applyFont="1" applyFill="1" applyBorder="1" applyAlignment="1">
      <alignment horizontal="left"/>
    </xf>
    <xf numFmtId="0" fontId="2" fillId="3" borderId="33" xfId="0" applyFont="1" applyFill="1" applyBorder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/>
    </xf>
    <xf numFmtId="0" fontId="1" fillId="4" borderId="57" xfId="0" applyFont="1" applyFill="1" applyBorder="1" applyAlignment="1">
      <alignment horizontal="left"/>
    </xf>
    <xf numFmtId="0" fontId="1" fillId="4" borderId="64" xfId="0" applyFont="1" applyFill="1" applyBorder="1" applyAlignment="1">
      <alignment horizontal="left"/>
    </xf>
    <xf numFmtId="0" fontId="1" fillId="4" borderId="59" xfId="0" applyFont="1" applyFill="1" applyBorder="1" applyAlignment="1">
      <alignment horizontal="left"/>
    </xf>
    <xf numFmtId="0" fontId="1" fillId="4" borderId="6" xfId="0" applyFont="1" applyFill="1" applyBorder="1" applyAlignment="1">
      <alignment horizontal="left"/>
    </xf>
    <xf numFmtId="0" fontId="1" fillId="4" borderId="44" xfId="0" applyFont="1" applyFill="1" applyBorder="1" applyAlignment="1">
      <alignment horizontal="left"/>
    </xf>
    <xf numFmtId="0" fontId="1" fillId="4" borderId="45" xfId="0" applyFont="1" applyFill="1" applyBorder="1" applyAlignment="1">
      <alignment horizontal="left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1" fillId="4" borderId="13" xfId="0" applyFont="1" applyFill="1" applyBorder="1" applyAlignment="1">
      <alignment horizontal="left"/>
    </xf>
    <xf numFmtId="0" fontId="1" fillId="4" borderId="14" xfId="0" applyFont="1" applyFill="1" applyBorder="1" applyAlignment="1">
      <alignment horizontal="left"/>
    </xf>
    <xf numFmtId="0" fontId="1" fillId="4" borderId="25" xfId="0" applyFont="1" applyFill="1" applyBorder="1" applyAlignment="1">
      <alignment horizontal="left"/>
    </xf>
    <xf numFmtId="0" fontId="1" fillId="0" borderId="13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1" fillId="0" borderId="25" xfId="0" applyFont="1" applyBorder="1" applyAlignment="1">
      <alignment horizontal="center" wrapText="1"/>
    </xf>
    <xf numFmtId="0" fontId="1" fillId="0" borderId="20" xfId="0" applyFont="1" applyBorder="1" applyAlignment="1">
      <alignment horizontal="center" wrapText="1"/>
    </xf>
    <xf numFmtId="0" fontId="1" fillId="0" borderId="21" xfId="0" applyFont="1" applyBorder="1" applyAlignment="1">
      <alignment horizontal="center" wrapText="1"/>
    </xf>
    <xf numFmtId="0" fontId="1" fillId="0" borderId="26" xfId="0" applyFont="1" applyBorder="1" applyAlignment="1">
      <alignment horizontal="center" wrapText="1"/>
    </xf>
    <xf numFmtId="0" fontId="0" fillId="4" borderId="20" xfId="0" applyFill="1" applyBorder="1" applyAlignment="1">
      <alignment horizontal="left"/>
    </xf>
    <xf numFmtId="0" fontId="0" fillId="4" borderId="21" xfId="0" applyFill="1" applyBorder="1" applyAlignment="1">
      <alignment horizontal="left"/>
    </xf>
    <xf numFmtId="0" fontId="0" fillId="4" borderId="26" xfId="0" applyFill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43" xfId="0" applyFont="1" applyBorder="1" applyAlignment="1">
      <alignment horizontal="left"/>
    </xf>
    <xf numFmtId="0" fontId="50" fillId="0" borderId="0" xfId="0" applyFont="1" applyAlignment="1">
      <alignment horizontal="left" vertical="top" wrapText="1"/>
    </xf>
    <xf numFmtId="0" fontId="43" fillId="4" borderId="13" xfId="0" applyFont="1" applyFill="1" applyBorder="1" applyAlignment="1">
      <alignment horizontal="left" vertical="top" wrapText="1"/>
    </xf>
    <xf numFmtId="0" fontId="0" fillId="4" borderId="14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43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33" xfId="0" applyFont="1" applyBorder="1" applyAlignment="1">
      <alignment horizontal="left"/>
    </xf>
    <xf numFmtId="0" fontId="1" fillId="0" borderId="34" xfId="0" applyFont="1" applyBorder="1" applyAlignment="1">
      <alignment horizontal="left"/>
    </xf>
    <xf numFmtId="0" fontId="1" fillId="0" borderId="48" xfId="0" applyFont="1" applyBorder="1" applyAlignment="1">
      <alignment horizontal="left"/>
    </xf>
    <xf numFmtId="0" fontId="43" fillId="18" borderId="13" xfId="0" applyFont="1" applyFill="1" applyBorder="1" applyAlignment="1">
      <alignment horizontal="left" vertical="top" wrapText="1"/>
    </xf>
    <xf numFmtId="0" fontId="0" fillId="18" borderId="14" xfId="0" applyFill="1" applyBorder="1"/>
    <xf numFmtId="0" fontId="0" fillId="18" borderId="25" xfId="0" applyFill="1" applyBorder="1"/>
    <xf numFmtId="0" fontId="0" fillId="18" borderId="18" xfId="0" applyFill="1" applyBorder="1"/>
    <xf numFmtId="0" fontId="0" fillId="18" borderId="0" xfId="0" applyFill="1"/>
    <xf numFmtId="0" fontId="0" fillId="18" borderId="43" xfId="0" applyFill="1" applyBorder="1"/>
    <xf numFmtId="0" fontId="0" fillId="18" borderId="20" xfId="0" applyFill="1" applyBorder="1"/>
    <xf numFmtId="0" fontId="0" fillId="18" borderId="21" xfId="0" applyFill="1" applyBorder="1"/>
    <xf numFmtId="0" fontId="0" fillId="18" borderId="26" xfId="0" applyFill="1" applyBorder="1"/>
    <xf numFmtId="0" fontId="43" fillId="18" borderId="18" xfId="0" applyFont="1" applyFill="1" applyBorder="1" applyAlignment="1">
      <alignment horizontal="left" vertical="top" wrapText="1"/>
    </xf>
    <xf numFmtId="0" fontId="32" fillId="0" borderId="27" xfId="5" applyFont="1" applyBorder="1" applyAlignment="1">
      <alignment horizontal="center"/>
    </xf>
    <xf numFmtId="0" fontId="32" fillId="0" borderId="36" xfId="5" applyFont="1" applyBorder="1" applyAlignment="1">
      <alignment horizontal="center"/>
    </xf>
    <xf numFmtId="0" fontId="32" fillId="15" borderId="52" xfId="5" applyFont="1" applyFill="1" applyBorder="1" applyAlignment="1">
      <alignment horizontal="center"/>
    </xf>
    <xf numFmtId="0" fontId="32" fillId="15" borderId="1" xfId="5" applyFont="1" applyFill="1" applyBorder="1" applyAlignment="1">
      <alignment horizontal="center"/>
    </xf>
    <xf numFmtId="0" fontId="36" fillId="16" borderId="29" xfId="5" applyFont="1" applyFill="1" applyBorder="1" applyAlignment="1">
      <alignment horizontal="center"/>
    </xf>
    <xf numFmtId="0" fontId="36" fillId="16" borderId="37" xfId="5" applyFont="1" applyFill="1" applyBorder="1" applyAlignment="1">
      <alignment horizontal="center"/>
    </xf>
    <xf numFmtId="0" fontId="40" fillId="0" borderId="0" xfId="0" applyFont="1" applyAlignment="1">
      <alignment wrapText="1"/>
    </xf>
    <xf numFmtId="0" fontId="0" fillId="0" borderId="0" xfId="0"/>
    <xf numFmtId="0" fontId="0" fillId="0" borderId="0" xfId="0" applyAlignment="1">
      <alignment vertical="top" wrapText="1"/>
    </xf>
    <xf numFmtId="0" fontId="41" fillId="3" borderId="0" xfId="0" applyFont="1" applyFill="1"/>
    <xf numFmtId="0" fontId="2" fillId="3" borderId="28" xfId="0" applyNumberFormat="1" applyFont="1" applyFill="1" applyBorder="1" applyAlignment="1">
      <alignment horizontal="center" vertical="center"/>
    </xf>
    <xf numFmtId="0" fontId="41" fillId="3" borderId="0" xfId="0" applyNumberFormat="1" applyFont="1" applyFill="1" applyAlignment="1">
      <alignment horizontal="center" vertical="center" wrapText="1"/>
    </xf>
    <xf numFmtId="0" fontId="43" fillId="0" borderId="0" xfId="0" applyNumberFormat="1" applyFont="1"/>
    <xf numFmtId="0" fontId="46" fillId="0" borderId="0" xfId="0" applyNumberFormat="1" applyFont="1"/>
  </cellXfs>
  <cellStyles count="10">
    <cellStyle name="Millares [0]" xfId="2" builtinId="6"/>
    <cellStyle name="Millares 2" xfId="9" xr:uid="{2E659E41-718C-4BA5-9FBD-28D19DD4D866}"/>
    <cellStyle name="Moneda [0]" xfId="3" builtinId="7"/>
    <cellStyle name="Moneda [0] 2 2" xfId="6" xr:uid="{FA8DC72A-7535-4A5C-92B1-9B1320F1B4E2}"/>
    <cellStyle name="Normal" xfId="0" builtinId="0"/>
    <cellStyle name="Normal 2" xfId="4" xr:uid="{AF4CB2FD-926C-4434-84A4-0010064A2DD1}"/>
    <cellStyle name="Normal 2 2" xfId="5" xr:uid="{D5170E6C-9BB4-442A-87A6-2D20BCD6CE9A}"/>
    <cellStyle name="Normal 3" xfId="7" xr:uid="{8BB19FFA-2979-48C4-82F8-48C98C6C7025}"/>
    <cellStyle name="Porcentaje" xfId="1" builtinId="5"/>
    <cellStyle name="Porcentaje 2" xfId="8" xr:uid="{75595EF8-CF94-49A1-8121-356663D2A38C}"/>
  </cellStyles>
  <dxfs count="2">
    <dxf>
      <font>
        <b/>
        <i val="0"/>
        <color rgb="FFC0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n_fg1.png"/><Relationship Id="rIdFg1" Type="http://schemas.openxmlformats.org/officeDocument/2006/relationships/image" Target="../media/imagen_fg1.jpeg"/></Relationships>
</file>

<file path=xl/drawings/_rels/drawing5.xml.rels><?xml version="1.0" encoding="UTF-8" standalone="yes"?>
<Relationships xmlns="http://schemas.openxmlformats.org/package/2006/relationships"></Relationships>
</file>

<file path=xl/drawings/_rels/drawing6.xml.rels><?xml version="1.0" encoding="UTF-8" standalone="yes"?>
<Relationships xmlns="http://schemas.openxmlformats.org/package/2006/relationships"><Relationship Id="rIdFg1" Type="http://schemas.openxmlformats.org/officeDocument/2006/relationships/image" Target="../media/imagen_fg2.jpeg"/><Relationship Id="rIdFg2" Type="http://schemas.openxmlformats.org/officeDocument/2006/relationships/image" Target="../media/imagen_fg3.jpeg"/><Relationship Id="rIdFg3" Type="http://schemas.openxmlformats.org/officeDocument/2006/relationships/image" Target="../media/imagen_fg4.jpeg"/><Relationship Id="rIdFg4" Type="http://schemas.openxmlformats.org/officeDocument/2006/relationships/image" Target="../media/imagen_fg5.jpeg"/><Relationship Id="rIdFg5" Type="http://schemas.openxmlformats.org/officeDocument/2006/relationships/image" Target="../media/imagen_fg6.jpeg"/><Relationship Id="rIdFg6" Type="http://schemas.openxmlformats.org/officeDocument/2006/relationships/image" Target="../media/imagen_fg7.jpeg"/><Relationship Id="rIdFg7" Type="http://schemas.openxmlformats.org/officeDocument/2006/relationships/image" Target="../media/imagen_fg8.jpeg"/><Relationship Id="rIdFg8" Type="http://schemas.openxmlformats.org/officeDocument/2006/relationships/image" Target="../media/imagen_fg9.jpeg"/><Relationship Id="rIdFg9" Type="http://schemas.openxmlformats.org/officeDocument/2006/relationships/image" Target="../media/imagen_fg10.jpeg"/><Relationship Id="rIdFg10" Type="http://schemas.openxmlformats.org/officeDocument/2006/relationships/image" Target="../media/imagen_fg11.jpeg"/><Relationship Id="rIdFg11" Type="http://schemas.openxmlformats.org/officeDocument/2006/relationships/image" Target="../media/imagen_fg12.jpeg"/><Relationship Id="rIdFg12" Type="http://schemas.openxmlformats.org/officeDocument/2006/relationships/image" Target="../media/imagen_fg13.jpeg"/><Relationship Id="rIdFg13" Type="http://schemas.openxmlformats.org/officeDocument/2006/relationships/image" Target="../media/imagen_fg14.jpeg"/><Relationship Id="rIdFg14" Type="http://schemas.openxmlformats.org/officeDocument/2006/relationships/image" Target="../media/imagen_fg15.jpeg"/><Relationship Id="rIdFg15" Type="http://schemas.openxmlformats.org/officeDocument/2006/relationships/image" Target="../media/imagen_fg16.jpeg"/></Relationships>
</file>

<file path=xl/drawings/drawing4.xml><?xml version="1.0" encoding="utf-8"?>
<xdr:wsDr xmlns:a="http://schemas.openxmlformats.org/drawingml/2006/main" xmlns:a14="http://schemas.microsoft.com/office/drawing/2010/main" xmlns:a16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6</xdr:col>
      <xdr:colOff>60199</xdr:colOff>
      <xdr:row>0</xdr:row>
      <xdr:rowOff>46193</xdr:rowOff>
    </xdr:from>
    <xdr:to>
      <xdr:col>8</xdr:col>
      <xdr:colOff>436997</xdr:colOff>
      <xdr:row>2</xdr:row>
      <xdr:rowOff>172783</xdr:rowOff>
    </xdr:to>
    <xdr:pic>
      <xdr:nvPicPr>
        <xdr:cNvPr id="3" name="Imagen 2">
          <a:extLst>
            <a:ext uri="{FF2B5EF4-FFF2-40B4-BE49-F238E27FC236}">
              <a16:creationId id="{EAE0B9E6-57DA-35B8-672A-6FA05EF2FD0C}"/>
            </a:ext>
          </a:extLst>
        </xdr:cNvPr>
        <xdr:cNvPicPr>
          <a:picLocks noChangeAspect="1"/>
        </xdr:cNvPicPr>
      </xdr:nvPicPr>
      <xdr:blipFill rotWithShape="1">
        <a:blip r:embed="rId1" cstate="print">
          <a:extLst>
            <a:ext uri="{28A0092B-C50C-407E-A947-70E740481C1C}">
              <a14:useLocalDpi val="0"/>
            </a:ext>
          </a:extLst>
        </a:blip>
        <a:srcRect r="9540" b="18723"/>
        <a:stretch>
          <a:fillRect/>
        </a:stretch>
      </xdr:blipFill>
      <xdr:spPr>
        <a:xfrm>
          <a:off x="5742801" y="46193"/>
          <a:ext cx="1825362" cy="479922"/>
        </a:xfrm>
        <a:prstGeom prst="rect">
          <a:avLst/>
        </a:prstGeom>
      </xdr:spPr>
    </xdr:pic>
    <xdr:clientData/>
  </xdr:twoCellAnchor>
  <xdr:twoCellAnchor editAs="oneCell">
    <xdr:from>
      <xdr:col>0</xdr:col>
      <xdr:colOff>1119674</xdr:colOff>
      <xdr:row>38</xdr:row>
      <xdr:rowOff>42848</xdr:rowOff>
    </xdr:from>
    <xdr:to>
      <xdr:col>7</xdr:col>
      <xdr:colOff>376024</xdr:colOff>
      <xdr:row>53</xdr:row>
      <xdr:rowOff>109378</xdr:rowOff>
    </xdr:to>
    <xdr:pic>
      <xdr:nvPicPr>
        <xdr:cNvPr id="2" name="Imagen 1">
          <a:extLst>
            <a:ext uri="{FF2B5EF4-FFF2-40B4-BE49-F238E27FC236}">
              <a16:creationId id="{C0621C22-47EA-8DA7-2555-F2B4ADE7BF61}"/>
            </a:ext>
          </a:extLst>
        </xdr:cNvPr>
        <xdr:cNvPicPr>
          <a:picLocks noChangeAspect="1"/>
        </xdr:cNvPicPr>
      </xdr:nvPicPr>
      <xdr:blipFill>
        <a:blip r:embed="rIdFg1"/>
        <a:stretch>
          <a:fillRect/>
        </a:stretch>
      </xdr:blipFill>
      <xdr:spPr>
        <a:xfrm>
          <a:off x="1119674" y="7219644"/>
          <a:ext cx="5126860" cy="28657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a="http://schemas.openxmlformats.org/drawingml/2006/main" xmlns:a16="http://schemas.microsoft.com/office/drawing/2014/main" xmlns:xdr="http://schemas.openxmlformats.org/drawingml/2006/spreadsheetDrawing">
  <xdr:twoCellAnchor>
    <xdr:from>
      <xdr:col>0</xdr:col>
      <xdr:colOff>75655</xdr:colOff>
      <xdr:row>15</xdr:row>
      <xdr:rowOff>5578</xdr:rowOff>
    </xdr:from>
    <xdr:to>
      <xdr:col>13</xdr:col>
      <xdr:colOff>2924</xdr:colOff>
      <xdr:row>17</xdr:row>
      <xdr:rowOff>102053</xdr:rowOff>
    </xdr:to>
    <xdr:sp macro="" textlink="">
      <xdr:nvSpPr>
        <xdr:cNvPr id="2" name="CuadroTexto 1">
          <a:extLst>
            <a:ext uri="{FF2B5EF4-FFF2-40B4-BE49-F238E27FC236}">
              <a16:creationId id="{8C60258C-1C41-4C9E-E3A0-C015FBC8CC0A}"/>
            </a:ext>
          </a:extLst>
        </xdr:cNvPr>
        <xdr:cNvSpPr txBox="1"/>
      </xdr:nvSpPr>
      <xdr:spPr>
        <a:xfrm>
          <a:off x="75655" y="5380399"/>
          <a:ext cx="11476332" cy="555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L" sz="1100"/>
        </a:p>
      </xdr:txBody>
    </xdr:sp>
    <xdr:clientData/>
  </xdr:twoCellAnchor>
  <xdr:twoCellAnchor>
    <xdr:from>
      <xdr:col>0</xdr:col>
      <xdr:colOff>75655</xdr:colOff>
      <xdr:row>26</xdr:row>
      <xdr:rowOff>60415</xdr:rowOff>
    </xdr:from>
    <xdr:to>
      <xdr:col>12</xdr:col>
      <xdr:colOff>809828</xdr:colOff>
      <xdr:row>28</xdr:row>
      <xdr:rowOff>0</xdr:rowOff>
    </xdr:to>
    <xdr:sp macro="" textlink="">
      <xdr:nvSpPr>
        <xdr:cNvPr id="3" name="CuadroTexto 2">
          <a:extLst>
            <a:ext uri="{FF2B5EF4-FFF2-40B4-BE49-F238E27FC236}">
              <a16:creationId id="{C3064189-042F-42A7-8388-D7E8D020D99A}"/>
            </a:ext>
          </a:extLst>
        </xdr:cNvPr>
        <xdr:cNvSpPr txBox="1"/>
      </xdr:nvSpPr>
      <xdr:spPr>
        <a:xfrm>
          <a:off x="75655" y="3177743"/>
          <a:ext cx="11723846" cy="8533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Para efectos del balance solo se consideran derechos permanentes. En el caso de ejercicio discontinuo, se considera el caudal promedio mensual.</a:t>
          </a:r>
        </a:p>
      </xdr:txBody>
    </xdr:sp>
    <xdr:clientData/>
  </xdr:twoCellAnchor>
</xdr:wsDr>
</file>

<file path=xl/drawings/drawing6.xml><?xml version="1.0" encoding="utf-8"?>
<xdr:wsDr xmlns:a="http://schemas.openxmlformats.org/drawingml/2006/main" xmlns:a14="http://schemas.microsoft.com/office/drawing/2010/main" xmlns:a16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0</xdr:col>
      <xdr:colOff>107313</xdr:colOff>
      <xdr:row>2</xdr:row>
      <xdr:rowOff>196847</xdr:rowOff>
    </xdr:from>
    <xdr:to>
      <xdr:col>0</xdr:col>
      <xdr:colOff>2689788</xdr:colOff>
      <xdr:row>2</xdr:row>
      <xdr:rowOff>1579220</xdr:rowOff>
    </xdr:to>
    <xdr:pic>
      <xdr:nvPicPr>
        <xdr:cNvPr id="27" name="Imagen 26">
          <a:extLst>
            <a:ext uri="{FF2B5EF4-FFF2-40B4-BE49-F238E27FC236}">
              <a16:creationId id="{6EDBDE4F-A729-A8BB-C310-4C384A1044AD}"/>
            </a:ext>
          </a:extLst>
        </xdr:cNvPr>
        <xdr:cNvPicPr>
          <a:picLocks noChangeAspect="1"/>
        </xdr:cNvPicPr>
      </xdr:nvPicPr>
      <xdr:blipFill>
        <a:blip r:embed="rIdFg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107313" y="593722"/>
          <a:ext cx="2592000" cy="1372848"/>
        </a:xfrm>
        <a:prstGeom prst="rect">
          <a:avLst/>
        </a:prstGeom>
      </xdr:spPr>
    </xdr:pic>
    <xdr:clientData/>
  </xdr:twoCellAnchor>
  <xdr:twoCellAnchor editAs="oneCell">
    <xdr:from>
      <xdr:col>0</xdr:col>
      <xdr:colOff>96660</xdr:colOff>
      <xdr:row>4</xdr:row>
      <xdr:rowOff>161430</xdr:rowOff>
    </xdr:from>
    <xdr:to>
      <xdr:col>0</xdr:col>
      <xdr:colOff>2688660</xdr:colOff>
      <xdr:row>4</xdr:row>
      <xdr:rowOff>1539511</xdr:rowOff>
    </xdr:to>
    <xdr:pic>
      <xdr:nvPicPr>
        <xdr:cNvPr id="29" name="Imagen 28">
          <a:extLst>
            <a:ext uri="{FF2B5EF4-FFF2-40B4-BE49-F238E27FC236}">
              <a16:creationId id="{EBA94C67-55A7-DF98-7A50-A2E36CDBBB2C}"/>
            </a:ext>
          </a:extLst>
        </xdr:cNvPr>
        <xdr:cNvPicPr>
          <a:picLocks noChangeAspect="1"/>
        </xdr:cNvPicPr>
      </xdr:nvPicPr>
      <xdr:blipFill>
        <a:blip r:embed="rIdFg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96660" y="2256930"/>
          <a:ext cx="2592000" cy="1378081"/>
        </a:xfrm>
        <a:prstGeom prst="rect">
          <a:avLst/>
        </a:prstGeom>
      </xdr:spPr>
    </xdr:pic>
    <xdr:clientData/>
  </xdr:twoCellAnchor>
  <xdr:twoCellAnchor editAs="oneCell">
    <xdr:from>
      <xdr:col>2</xdr:col>
      <xdr:colOff>82830</xdr:colOff>
      <xdr:row>8</xdr:row>
      <xdr:rowOff>232055</xdr:rowOff>
    </xdr:from>
    <xdr:to>
      <xdr:col>2</xdr:col>
      <xdr:colOff>2672925</xdr:colOff>
      <xdr:row>8</xdr:row>
      <xdr:rowOff>1592775</xdr:rowOff>
    </xdr:to>
    <xdr:pic>
      <xdr:nvPicPr>
        <xdr:cNvPr id="31" name="Imagen 30">
          <a:extLst>
            <a:ext uri="{FF2B5EF4-FFF2-40B4-BE49-F238E27FC236}">
              <a16:creationId id="{C6BB011C-9E3B-4BBB-21A1-68AA49ECBD0B}"/>
            </a:ext>
          </a:extLst>
        </xdr:cNvPr>
        <xdr:cNvPicPr>
          <a:picLocks noChangeAspect="1"/>
        </xdr:cNvPicPr>
      </xdr:nvPicPr>
      <xdr:blipFill>
        <a:blip r:embed="rIdFg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5607330" y="6486805"/>
          <a:ext cx="2590095" cy="1360720"/>
        </a:xfrm>
        <a:prstGeom prst="rect">
          <a:avLst/>
        </a:prstGeom>
      </xdr:spPr>
    </xdr:pic>
    <xdr:clientData/>
  </xdr:twoCellAnchor>
  <xdr:twoCellAnchor editAs="oneCell">
    <xdr:from>
      <xdr:col>1</xdr:col>
      <xdr:colOff>85511</xdr:colOff>
      <xdr:row>8</xdr:row>
      <xdr:rowOff>188380</xdr:rowOff>
    </xdr:from>
    <xdr:to>
      <xdr:col>1</xdr:col>
      <xdr:colOff>2681321</xdr:colOff>
      <xdr:row>8</xdr:row>
      <xdr:rowOff>1596636</xdr:rowOff>
    </xdr:to>
    <xdr:pic>
      <xdr:nvPicPr>
        <xdr:cNvPr id="33" name="Imagen 32">
          <a:extLst>
            <a:ext uri="{FF2B5EF4-FFF2-40B4-BE49-F238E27FC236}">
              <a16:creationId id="{8904E0AC-0646-C6F9-89B7-53B08B0233E0}"/>
            </a:ext>
          </a:extLst>
        </xdr:cNvPr>
        <xdr:cNvPicPr>
          <a:picLocks noChangeAspect="1"/>
        </xdr:cNvPicPr>
      </xdr:nvPicPr>
      <xdr:blipFill>
        <a:blip r:embed="rIdFg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847761" y="6443130"/>
          <a:ext cx="2595810" cy="1408256"/>
        </a:xfrm>
        <a:prstGeom prst="rect">
          <a:avLst/>
        </a:prstGeom>
      </xdr:spPr>
    </xdr:pic>
    <xdr:clientData/>
  </xdr:twoCellAnchor>
  <xdr:twoCellAnchor editAs="oneCell">
    <xdr:from>
      <xdr:col>2</xdr:col>
      <xdr:colOff>86920</xdr:colOff>
      <xdr:row>6</xdr:row>
      <xdr:rowOff>182170</xdr:rowOff>
    </xdr:from>
    <xdr:to>
      <xdr:col>2</xdr:col>
      <xdr:colOff>2686540</xdr:colOff>
      <xdr:row>6</xdr:row>
      <xdr:rowOff>1580461</xdr:rowOff>
    </xdr:to>
    <xdr:pic>
      <xdr:nvPicPr>
        <xdr:cNvPr id="35" name="Imagen 34">
          <a:extLst>
            <a:ext uri="{FF2B5EF4-FFF2-40B4-BE49-F238E27FC236}">
              <a16:creationId id="{3DEA2A93-0788-E58A-A965-DAF87831CAF3}"/>
            </a:ext>
          </a:extLst>
        </xdr:cNvPr>
        <xdr:cNvPicPr>
          <a:picLocks noChangeAspect="1"/>
        </xdr:cNvPicPr>
      </xdr:nvPicPr>
      <xdr:blipFill>
        <a:blip r:embed="rIdFg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5611420" y="3976295"/>
          <a:ext cx="2588190" cy="1398291"/>
        </a:xfrm>
        <a:prstGeom prst="rect">
          <a:avLst/>
        </a:prstGeom>
      </xdr:spPr>
    </xdr:pic>
    <xdr:clientData/>
  </xdr:twoCellAnchor>
  <xdr:twoCellAnchor editAs="oneCell">
    <xdr:from>
      <xdr:col>0</xdr:col>
      <xdr:colOff>88330</xdr:colOff>
      <xdr:row>6</xdr:row>
      <xdr:rowOff>191200</xdr:rowOff>
    </xdr:from>
    <xdr:to>
      <xdr:col>0</xdr:col>
      <xdr:colOff>2687950</xdr:colOff>
      <xdr:row>6</xdr:row>
      <xdr:rowOff>1620379</xdr:rowOff>
    </xdr:to>
    <xdr:pic>
      <xdr:nvPicPr>
        <xdr:cNvPr id="37" name="Imagen 36">
          <a:extLst>
            <a:ext uri="{FF2B5EF4-FFF2-40B4-BE49-F238E27FC236}">
              <a16:creationId id="{53B8C5C5-5A65-5CC7-A03C-4578715A8D47}"/>
            </a:ext>
          </a:extLst>
        </xdr:cNvPr>
        <xdr:cNvPicPr>
          <a:picLocks noChangeAspect="1"/>
        </xdr:cNvPicPr>
      </xdr:nvPicPr>
      <xdr:blipFill>
        <a:blip r:embed="rIdFg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88330" y="3985325"/>
          <a:ext cx="2592000" cy="1417749"/>
        </a:xfrm>
        <a:prstGeom prst="rect">
          <a:avLst/>
        </a:prstGeom>
      </xdr:spPr>
    </xdr:pic>
    <xdr:clientData/>
  </xdr:twoCellAnchor>
  <xdr:twoCellAnchor editAs="oneCell">
    <xdr:from>
      <xdr:col>2</xdr:col>
      <xdr:colOff>104981</xdr:colOff>
      <xdr:row>2</xdr:row>
      <xdr:rowOff>99265</xdr:rowOff>
    </xdr:from>
    <xdr:to>
      <xdr:col>2</xdr:col>
      <xdr:colOff>2685551</xdr:colOff>
      <xdr:row>2</xdr:row>
      <xdr:rowOff>1543603</xdr:rowOff>
    </xdr:to>
    <xdr:pic>
      <xdr:nvPicPr>
        <xdr:cNvPr id="39" name="Imagen 38">
          <a:extLst>
            <a:ext uri="{FF2B5EF4-FFF2-40B4-BE49-F238E27FC236}">
              <a16:creationId id="{ABF17FFA-28EB-8B24-B545-AD1B943BE1A4}"/>
            </a:ext>
          </a:extLst>
        </xdr:cNvPr>
        <xdr:cNvPicPr>
          <a:picLocks noChangeAspect="1"/>
        </xdr:cNvPicPr>
      </xdr:nvPicPr>
      <xdr:blipFill>
        <a:blip r:embed="rIdFg3" cstate="email">
          <a:extLst>
            <a:ext uri="{28A0092B-C50C-407E-A947-70E740481C1C}">
              <a14:useLocalDpi/>
            </a:ext>
          </a:extLst>
        </a:blip>
        <a:stretch>
          <a:fillRect/>
        </a:stretch>
      </xdr:blipFill>
      <xdr:spPr>
        <a:xfrm>
          <a:off x="5629481" y="496140"/>
          <a:ext cx="2588190" cy="1429098"/>
        </a:xfrm>
        <a:prstGeom prst="rect">
          <a:avLst/>
        </a:prstGeom>
      </xdr:spPr>
    </xdr:pic>
    <xdr:clientData/>
  </xdr:twoCellAnchor>
  <xdr:twoCellAnchor editAs="oneCell">
    <xdr:from>
      <xdr:col>1</xdr:col>
      <xdr:colOff>79720</xdr:colOff>
      <xdr:row>6</xdr:row>
      <xdr:rowOff>177510</xdr:rowOff>
    </xdr:from>
    <xdr:to>
      <xdr:col>1</xdr:col>
      <xdr:colOff>2650765</xdr:colOff>
      <xdr:row>6</xdr:row>
      <xdr:rowOff>1583449</xdr:rowOff>
    </xdr:to>
    <xdr:pic>
      <xdr:nvPicPr>
        <xdr:cNvPr id="41" name="Imagen 40">
          <a:extLst>
            <a:ext uri="{FF2B5EF4-FFF2-40B4-BE49-F238E27FC236}">
              <a16:creationId id="{5819560B-5689-873A-071F-2C133F509693}"/>
            </a:ext>
          </a:extLst>
        </xdr:cNvPr>
        <xdr:cNvPicPr>
          <a:picLocks noChangeAspect="1"/>
        </xdr:cNvPicPr>
      </xdr:nvPicPr>
      <xdr:blipFill>
        <a:blip r:embed="rIdFg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841970" y="3971635"/>
          <a:ext cx="2580570" cy="1415464"/>
        </a:xfrm>
        <a:prstGeom prst="rect">
          <a:avLst/>
        </a:prstGeom>
      </xdr:spPr>
    </xdr:pic>
    <xdr:clientData/>
  </xdr:twoCellAnchor>
  <xdr:twoCellAnchor editAs="oneCell">
    <xdr:from>
      <xdr:col>0</xdr:col>
      <xdr:colOff>121136</xdr:colOff>
      <xdr:row>8</xdr:row>
      <xdr:rowOff>149075</xdr:rowOff>
    </xdr:from>
    <xdr:to>
      <xdr:col>0</xdr:col>
      <xdr:colOff>2707421</xdr:colOff>
      <xdr:row>8</xdr:row>
      <xdr:rowOff>1546673</xdr:rowOff>
    </xdr:to>
    <xdr:pic>
      <xdr:nvPicPr>
        <xdr:cNvPr id="43" name="Imagen 42">
          <a:extLst>
            <a:ext uri="{FF2B5EF4-FFF2-40B4-BE49-F238E27FC236}">
              <a16:creationId id="{A3AD7372-83BD-AF8A-964F-F0A300336AE2}"/>
            </a:ext>
          </a:extLst>
        </xdr:cNvPr>
        <xdr:cNvPicPr>
          <a:picLocks noChangeAspect="1"/>
        </xdr:cNvPicPr>
      </xdr:nvPicPr>
      <xdr:blipFill>
        <a:blip r:embed="rIdFg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121136" y="5641825"/>
          <a:ext cx="2586285" cy="1397598"/>
        </a:xfrm>
        <a:prstGeom prst="rect">
          <a:avLst/>
        </a:prstGeom>
      </xdr:spPr>
    </xdr:pic>
    <xdr:clientData/>
  </xdr:twoCellAnchor>
  <xdr:twoCellAnchor editAs="oneCell">
    <xdr:from>
      <xdr:col>1</xdr:col>
      <xdr:colOff>71111</xdr:colOff>
      <xdr:row>4</xdr:row>
      <xdr:rowOff>191125</xdr:rowOff>
    </xdr:from>
    <xdr:to>
      <xdr:col>1</xdr:col>
      <xdr:colOff>2647871</xdr:colOff>
      <xdr:row>4</xdr:row>
      <xdr:rowOff>1578622</xdr:rowOff>
    </xdr:to>
    <xdr:pic>
      <xdr:nvPicPr>
        <xdr:cNvPr id="45" name="Imagen 44">
          <a:extLst>
            <a:ext uri="{FF2B5EF4-FFF2-40B4-BE49-F238E27FC236}">
              <a16:creationId id="{57CB0CC9-B35E-BA68-4FBA-EF4ED2C99AEA}"/>
            </a:ext>
          </a:extLst>
        </xdr:cNvPr>
        <xdr:cNvPicPr>
          <a:picLocks noChangeAspect="1"/>
        </xdr:cNvPicPr>
      </xdr:nvPicPr>
      <xdr:blipFill>
        <a:blip r:embed="rIdFg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833361" y="2286625"/>
          <a:ext cx="2588190" cy="1387497"/>
        </a:xfrm>
        <a:prstGeom prst="rect">
          <a:avLst/>
        </a:prstGeom>
      </xdr:spPr>
    </xdr:pic>
    <xdr:clientData/>
  </xdr:twoCellAnchor>
  <xdr:twoCellAnchor editAs="oneCell">
    <xdr:from>
      <xdr:col>2</xdr:col>
      <xdr:colOff>78870</xdr:colOff>
      <xdr:row>4</xdr:row>
      <xdr:rowOff>193806</xdr:rowOff>
    </xdr:from>
    <xdr:to>
      <xdr:col>2</xdr:col>
      <xdr:colOff>2668965</xdr:colOff>
      <xdr:row>4</xdr:row>
      <xdr:rowOff>1603277</xdr:rowOff>
    </xdr:to>
    <xdr:pic>
      <xdr:nvPicPr>
        <xdr:cNvPr id="47" name="Imagen 46">
          <a:extLst>
            <a:ext uri="{FF2B5EF4-FFF2-40B4-BE49-F238E27FC236}">
              <a16:creationId id="{C979E0F8-94F5-E989-CB88-15AA1C00F4E4}"/>
            </a:ext>
          </a:extLst>
        </xdr:cNvPr>
        <xdr:cNvPicPr>
          <a:picLocks noChangeAspect="1"/>
        </xdr:cNvPicPr>
      </xdr:nvPicPr>
      <xdr:blipFill>
        <a:blip r:embed="rIdFg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5603370" y="2289306"/>
          <a:ext cx="2590095" cy="1409471"/>
        </a:xfrm>
        <a:prstGeom prst="rect">
          <a:avLst/>
        </a:prstGeom>
      </xdr:spPr>
    </xdr:pic>
    <xdr:clientData/>
  </xdr:twoCellAnchor>
  <xdr:twoCellAnchor editAs="oneCell">
    <xdr:from>
      <xdr:col>1</xdr:col>
      <xdr:colOff>115840</xdr:colOff>
      <xdr:row>2</xdr:row>
      <xdr:rowOff>144423</xdr:rowOff>
    </xdr:from>
    <xdr:to>
      <xdr:col>1</xdr:col>
      <xdr:colOff>2721175</xdr:colOff>
      <xdr:row>2</xdr:row>
      <xdr:rowOff>1580748</xdr:rowOff>
    </xdr:to>
    <xdr:pic>
      <xdr:nvPicPr>
        <xdr:cNvPr id="49" name="Imagen 48">
          <a:extLst>
            <a:ext uri="{FF2B5EF4-FFF2-40B4-BE49-F238E27FC236}">
              <a16:creationId id="{8563E543-BE55-9C83-6FD6-B972B380E8C1}"/>
            </a:ext>
          </a:extLst>
        </xdr:cNvPr>
        <xdr:cNvPicPr>
          <a:picLocks noChangeAspect="1"/>
        </xdr:cNvPicPr>
      </xdr:nvPicPr>
      <xdr:blipFill>
        <a:blip r:embed="rIdFg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878090" y="541298"/>
          <a:ext cx="2599620" cy="1447755"/>
        </a:xfrm>
        <a:prstGeom prst="rect">
          <a:avLst/>
        </a:prstGeom>
      </xdr:spPr>
    </xdr:pic>
    <xdr:clientData/>
  </xdr:twoCellAnchor>
  <xdr:twoCellAnchor editAs="oneCell">
    <xdr:from>
      <xdr:col>0</xdr:col>
      <xdr:colOff>111125</xdr:colOff>
      <xdr:row>10</xdr:row>
      <xdr:rowOff>95250</xdr:rowOff>
    </xdr:from>
    <xdr:to>
      <xdr:col>0</xdr:col>
      <xdr:colOff>2703125</xdr:colOff>
      <xdr:row>10</xdr:row>
      <xdr:rowOff>1554625</xdr:rowOff>
    </xdr:to>
    <xdr:pic>
      <xdr:nvPicPr>
        <xdr:cNvPr id="51" name="Imagen 50">
          <a:extLst>
            <a:ext uri="{FF2B5EF4-FFF2-40B4-BE49-F238E27FC236}">
              <a16:creationId id="{C1433D18-BE81-18AA-5FF5-6D92666B27C7}"/>
            </a:ext>
          </a:extLst>
        </xdr:cNvPr>
        <xdr:cNvPicPr>
          <a:picLocks noChangeAspect="1"/>
        </xdr:cNvPicPr>
      </xdr:nvPicPr>
      <xdr:blipFill>
        <a:blip r:embed="rIdFg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111125" y="8302625"/>
          <a:ext cx="2592000" cy="1459375"/>
        </a:xfrm>
        <a:prstGeom prst="rect">
          <a:avLst/>
        </a:prstGeom>
      </xdr:spPr>
    </xdr:pic>
    <xdr:clientData/>
  </xdr:twoCellAnchor>
  <xdr:twoCellAnchor editAs="oneCell">
    <xdr:from>
      <xdr:col>1</xdr:col>
      <xdr:colOff>98565</xdr:colOff>
      <xdr:row>10</xdr:row>
      <xdr:rowOff>114440</xdr:rowOff>
    </xdr:from>
    <xdr:to>
      <xdr:col>1</xdr:col>
      <xdr:colOff>2690565</xdr:colOff>
      <xdr:row>10</xdr:row>
      <xdr:rowOff>1575991</xdr:rowOff>
    </xdr:to>
    <xdr:pic>
      <xdr:nvPicPr>
        <xdr:cNvPr id="53" name="Imagen 52">
          <a:extLst>
            <a:ext uri="{FF2B5EF4-FFF2-40B4-BE49-F238E27FC236}">
              <a16:creationId id="{F11C8A28-6348-3DC1-1E78-6B7433F0C3BB}"/>
            </a:ext>
          </a:extLst>
        </xdr:cNvPr>
        <xdr:cNvPicPr>
          <a:picLocks noChangeAspect="1"/>
        </xdr:cNvPicPr>
      </xdr:nvPicPr>
      <xdr:blipFill>
        <a:blip r:embed="rIdFg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860815" y="8321815"/>
          <a:ext cx="2592000" cy="1461551"/>
        </a:xfrm>
        <a:prstGeom prst="rect">
          <a:avLst/>
        </a:prstGeom>
      </xdr:spPr>
    </xdr:pic>
    <xdr:clientData/>
  </xdr:twoCellAnchor>
  <xdr:twoCellAnchor editAs="oneCell">
    <xdr:from>
      <xdr:col>2</xdr:col>
      <xdr:colOff>58065</xdr:colOff>
      <xdr:row>10</xdr:row>
      <xdr:rowOff>105690</xdr:rowOff>
    </xdr:from>
    <xdr:to>
      <xdr:col>2</xdr:col>
      <xdr:colOff>2655780</xdr:colOff>
      <xdr:row>10</xdr:row>
      <xdr:rowOff>1568875</xdr:rowOff>
    </xdr:to>
    <xdr:pic>
      <xdr:nvPicPr>
        <xdr:cNvPr id="55" name="Imagen 54">
          <a:extLst>
            <a:ext uri="{FF2B5EF4-FFF2-40B4-BE49-F238E27FC236}">
              <a16:creationId id="{AF771C3E-0E4D-6291-549A-37E1DBECA8B5}"/>
            </a:ext>
          </a:extLst>
        </xdr:cNvPr>
        <xdr:cNvPicPr>
          <a:picLocks noChangeAspect="1"/>
        </xdr:cNvPicPr>
      </xdr:nvPicPr>
      <xdr:blipFill>
        <a:blip r:embed="rIdFg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5582565" y="8313065"/>
          <a:ext cx="2597715" cy="14631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FDF5A-4EF5-425D-9175-2AFC686AB219}">
  <sheetPr codeName="Hoja1">
    <pageSetUpPr fitToPage="1"/>
  </sheetPr>
  <dimension ref="A3:L54"/>
  <sheetViews>
    <sheetView showGridLines="0" tabSelected="1" view="pageBreakPreview" topLeftCell="A14" zoomScale="98" zoomScaleNormal="98" zoomScaleSheetLayoutView="98" zoomScalePageLayoutView="85" workbookViewId="0">
      <selection activeCell="M31" sqref="M31"/>
    </sheetView>
  </sheetViews>
  <sheetFormatPr baseColWidth="10" defaultColWidth="11.42578125" defaultRowHeight="15" x14ac:dyDescent="0.25"/>
  <cols>
    <col min="1" max="1" width="23.7109375" customWidth="1"/>
    <col min="2" max="9" width="10.28515625" customWidth="1"/>
    <col min="10" max="10" width="12.42578125" customWidth="1"/>
    <col min="11" max="11" width="13.42578125" customWidth="1"/>
    <col min="12" max="12" width="13.42578125" hidden="1" customWidth="1"/>
  </cols>
  <sheetData>
    <row r="3" spans="1:11" ht="18.399999999999999" customHeight="1" x14ac:dyDescent="0.25"/>
    <row r="4" spans="1:11" ht="14.65" customHeight="1" x14ac:dyDescent="0.25">
      <c r="A4" s="442" t="s">
        <v>0</v>
      </c>
      <c r="B4" s="442"/>
      <c r="C4" s="442"/>
      <c r="D4" s="442"/>
      <c r="E4" s="442"/>
      <c r="F4" s="442"/>
      <c r="G4" s="442"/>
      <c r="H4" s="442"/>
      <c r="I4" s="442"/>
      <c r="J4" s="46"/>
      <c r="K4" s="46"/>
    </row>
    <row r="5" spans="1:11" ht="7.5" customHeight="1" x14ac:dyDescent="0.25">
      <c r="A5" s="442"/>
      <c r="B5" s="442"/>
      <c r="C5" s="442"/>
      <c r="D5" s="442"/>
      <c r="E5" s="442"/>
      <c r="F5" s="442"/>
      <c r="G5" s="442"/>
      <c r="H5" s="442"/>
      <c r="I5" s="442"/>
      <c r="J5" s="46"/>
      <c r="K5" s="46"/>
    </row>
    <row r="6" spans="1:11" ht="8.1" customHeight="1" x14ac:dyDescent="0.25"/>
    <row r="7" spans="1:11" ht="9.6" customHeight="1" x14ac:dyDescent="0.25">
      <c r="I7" s="49" t="s">
        <v>203</v>
      </c>
    </row>
    <row r="8" spans="1:11" ht="16.149999999999999" customHeight="1" x14ac:dyDescent="0.25">
      <c r="A8" s="443" t="s">
        <v>109</v>
      </c>
      <c r="B8" s="443"/>
      <c r="C8" s="443"/>
      <c r="D8" s="443"/>
      <c r="E8" s="443"/>
      <c r="F8" s="443"/>
      <c r="G8" s="443"/>
      <c r="H8" s="443"/>
      <c r="I8" s="443"/>
    </row>
    <row r="9" spans="1:11" ht="4.1500000000000004" customHeight="1" thickBot="1" x14ac:dyDescent="0.3">
      <c r="A9" s="67"/>
      <c r="B9" s="67"/>
      <c r="C9" s="67"/>
      <c r="D9" s="67"/>
      <c r="E9" s="67"/>
      <c r="F9" s="67"/>
      <c r="G9" s="67"/>
      <c r="H9" s="67"/>
      <c r="I9" s="67"/>
    </row>
    <row r="10" spans="1:11" x14ac:dyDescent="0.25">
      <c r="A10" s="90" t="s">
        <v>1</v>
      </c>
      <c r="B10" s="107"/>
      <c r="C10" s="92"/>
      <c r="D10" s="92"/>
      <c r="E10" s="34"/>
      <c r="F10" s="50" t="s">
        <v>111</v>
      </c>
      <c r="G10" s="34"/>
      <c r="H10" s="107"/>
      <c r="I10" s="35"/>
    </row>
    <row r="11" spans="1:11" x14ac:dyDescent="0.25">
      <c r="A11" s="51" t="s">
        <v>108</v>
      </c>
      <c r="B11" s="69"/>
      <c r="C11" s="69"/>
      <c r="D11" s="69"/>
      <c r="F11" s="91" t="s">
        <v>2</v>
      </c>
      <c r="H11" s="106"/>
      <c r="I11" s="17"/>
    </row>
    <row r="12" spans="1:11" x14ac:dyDescent="0.25">
      <c r="A12" s="51" t="s">
        <v>3</v>
      </c>
      <c r="B12" s="69"/>
      <c r="C12" s="69"/>
      <c r="D12" s="69"/>
      <c r="F12" s="91" t="s">
        <v>4</v>
      </c>
      <c r="H12" s="106"/>
      <c r="I12" s="17"/>
    </row>
    <row r="13" spans="1:11" ht="16.5" customHeight="1" x14ac:dyDescent="0.25">
      <c r="A13" s="51" t="s">
        <v>196</v>
      </c>
      <c r="B13" s="108" t="s">
        <v>197</v>
      </c>
      <c r="C13" s="69"/>
      <c r="D13" s="44"/>
      <c r="F13" s="91" t="s">
        <v>110</v>
      </c>
      <c r="H13" s="108"/>
      <c r="I13" s="17"/>
    </row>
    <row r="14" spans="1:11" ht="16.5" customHeight="1" x14ac:dyDescent="0.25">
      <c r="A14" s="51" t="s">
        <v>114</v>
      </c>
      <c r="B14" s="108"/>
      <c r="C14" s="69"/>
      <c r="D14" s="44"/>
      <c r="F14" s="91" t="s">
        <v>198</v>
      </c>
      <c r="H14" s="268"/>
      <c r="I14" s="17"/>
    </row>
    <row r="15" spans="1:11" ht="12" customHeight="1" thickBot="1" x14ac:dyDescent="0.3">
      <c r="A15" s="52"/>
      <c r="B15" s="53"/>
      <c r="C15" s="53"/>
      <c r="D15" s="32"/>
      <c r="E15" s="53"/>
      <c r="F15" s="32"/>
      <c r="G15" s="53"/>
      <c r="H15" s="32"/>
      <c r="I15" s="33"/>
    </row>
    <row r="16" spans="1:11" ht="10.9" customHeight="1" x14ac:dyDescent="0.25">
      <c r="A16" s="91"/>
      <c r="B16" s="91"/>
      <c r="C16" s="91"/>
      <c r="E16" s="91"/>
      <c r="G16" s="91"/>
    </row>
    <row r="17" spans="1:11" x14ac:dyDescent="0.25">
      <c r="A17" s="443" t="s">
        <v>5</v>
      </c>
      <c r="B17" s="443"/>
      <c r="C17" s="443"/>
      <c r="D17" s="443"/>
      <c r="E17" s="443"/>
      <c r="F17" s="443"/>
      <c r="G17" s="443"/>
      <c r="H17" s="443"/>
      <c r="I17" s="443"/>
      <c r="J17" s="48"/>
    </row>
    <row r="18" spans="1:11" ht="6" customHeight="1" thickBot="1" x14ac:dyDescent="0.3">
      <c r="B18" s="45"/>
      <c r="C18" s="45"/>
      <c r="D18" s="45"/>
      <c r="E18" s="45"/>
      <c r="F18" s="45"/>
      <c r="G18" s="45"/>
      <c r="H18" s="45"/>
      <c r="I18" s="45"/>
      <c r="J18" s="45"/>
      <c r="K18" s="45"/>
    </row>
    <row r="19" spans="1:11" ht="17.45" customHeight="1" x14ac:dyDescent="0.25">
      <c r="A19" s="474" t="s">
        <v>6</v>
      </c>
      <c r="B19" s="444" t="s">
        <v>7</v>
      </c>
      <c r="C19" s="445"/>
      <c r="D19" s="444" t="s">
        <v>8</v>
      </c>
      <c r="E19" s="479"/>
      <c r="F19" s="445" t="s">
        <v>9</v>
      </c>
      <c r="G19" s="445"/>
      <c r="H19" s="445"/>
      <c r="I19" s="479"/>
    </row>
    <row r="20" spans="1:11" ht="13.15" customHeight="1" thickBot="1" x14ac:dyDescent="0.3">
      <c r="A20" s="475"/>
      <c r="B20" s="476" t="s">
        <v>10</v>
      </c>
      <c r="C20" s="477"/>
      <c r="D20" s="476" t="s">
        <v>11</v>
      </c>
      <c r="E20" s="480"/>
      <c r="F20" s="481" t="s">
        <v>12</v>
      </c>
      <c r="G20" s="481"/>
      <c r="H20" s="99" t="s">
        <v>13</v>
      </c>
      <c r="I20" s="100" t="s">
        <v>14</v>
      </c>
    </row>
    <row r="21" spans="1:11" x14ac:dyDescent="0.25">
      <c r="A21" s="70">
        <f>'Flujo proyectado '!A25</f>
        <v>0</v>
      </c>
      <c r="B21" s="473">
        <f>SUMIF(Plantaciones!$A$15:$A$15,Portada!A21,Plantaciones!$D$15:$D$15)</f>
        <v>0</v>
      </c>
      <c r="C21" s="472"/>
      <c r="D21" s="457">
        <f>IFERROR('Flujo proyectado '!F27/MAX('Flujo proyectado '!F27:M27),0)</f>
        <v>0</v>
      </c>
      <c r="E21" s="458"/>
      <c r="F21" s="478">
        <f>SUMIF(Plantaciones!$A$15:$A$15,Portada!A21,Plantaciones!$B$15:$B$15)</f>
        <v>0</v>
      </c>
      <c r="G21" s="433"/>
      <c r="H21" s="267">
        <f>SUMIF(Plantaciones!$A$15:$A$15,Portada!A21,Plantaciones!$C$15:$C$15)</f>
        <v>0</v>
      </c>
      <c r="I21" s="71"/>
    </row>
    <row r="22" spans="1:11" ht="15.75" thickBot="1" x14ac:dyDescent="0.3">
      <c r="A22" s="72" t="s">
        <v>15</v>
      </c>
      <c r="B22" s="467">
        <f>SUM(B21:C21)</f>
        <v>0</v>
      </c>
      <c r="C22" s="468"/>
      <c r="D22" s="465"/>
      <c r="E22" s="466"/>
      <c r="F22" s="463">
        <f>SUM(F21:G21)</f>
        <v>0</v>
      </c>
      <c r="G22" s="464"/>
      <c r="H22" s="88"/>
      <c r="I22" s="82"/>
    </row>
    <row r="23" spans="1:11" x14ac:dyDescent="0.25">
      <c r="B23" s="3"/>
    </row>
    <row r="24" spans="1:11" x14ac:dyDescent="0.25">
      <c r="A24" s="443" t="s">
        <v>16</v>
      </c>
      <c r="B24" s="443"/>
      <c r="C24" s="443"/>
      <c r="D24" s="443"/>
      <c r="E24" s="443"/>
      <c r="F24" s="443"/>
      <c r="G24" s="443"/>
      <c r="H24" s="443"/>
      <c r="I24" s="443"/>
    </row>
    <row r="25" spans="1:11" ht="6.6" customHeight="1" thickBot="1" x14ac:dyDescent="0.3"/>
    <row r="26" spans="1:11" ht="19.149999999999999" customHeight="1" thickBot="1" x14ac:dyDescent="0.3">
      <c r="A26" s="453" t="s">
        <v>17</v>
      </c>
      <c r="B26" s="451" t="s">
        <v>18</v>
      </c>
      <c r="C26" s="452"/>
      <c r="D26" s="452"/>
      <c r="E26" s="78" t="str">
        <f>RIGHT('Flujo proyectado '!$E$7,5)</f>
        <v/>
      </c>
      <c r="F26" s="455" t="s">
        <v>19</v>
      </c>
      <c r="G26" s="456"/>
      <c r="H26" s="76"/>
      <c r="I26" s="77" t="str">
        <f>RIGHT('Flujo proyectado '!$F$7,5)</f>
        <v/>
      </c>
    </row>
    <row r="27" spans="1:11" ht="15" customHeight="1" thickBot="1" x14ac:dyDescent="0.3">
      <c r="A27" s="454"/>
      <c r="B27" s="448" t="s">
        <v>194</v>
      </c>
      <c r="C27" s="449"/>
      <c r="D27" s="446" t="s">
        <v>20</v>
      </c>
      <c r="E27" s="447"/>
      <c r="F27" s="449" t="s">
        <v>194</v>
      </c>
      <c r="G27" s="450"/>
      <c r="H27" s="446" t="s">
        <v>20</v>
      </c>
      <c r="I27" s="447"/>
    </row>
    <row r="28" spans="1:11" x14ac:dyDescent="0.25">
      <c r="A28" s="79" t="s">
        <v>21</v>
      </c>
      <c r="B28" s="469" t="e">
        <f>'Flujo proyectado '!E65</f>
        <v>#DIV/0!</v>
      </c>
      <c r="C28" s="472"/>
      <c r="D28" s="470" t="e">
        <f>B28/$H$14*1000</f>
        <v>#DIV/0!</v>
      </c>
      <c r="E28" s="471"/>
      <c r="F28" s="469">
        <f>'Flujo proyectado '!F65</f>
        <v>0</v>
      </c>
      <c r="G28" s="447"/>
      <c r="H28" s="470" t="e">
        <f t="shared" ref="H28:H32" si="0">F28/$H$14*1000</f>
        <v>#DIV/0!</v>
      </c>
      <c r="I28" s="471"/>
    </row>
    <row r="29" spans="1:11" x14ac:dyDescent="0.25">
      <c r="A29" s="80" t="s">
        <v>22</v>
      </c>
      <c r="B29" s="432" t="e">
        <f>'Flujo proyectado '!E66</f>
        <v>#DIV/0!</v>
      </c>
      <c r="C29" s="433"/>
      <c r="D29" s="437" t="e">
        <f t="shared" ref="D29:D32" si="1">B29/$H$14*1000</f>
        <v>#DIV/0!</v>
      </c>
      <c r="E29" s="438"/>
      <c r="F29" s="432">
        <f>'Flujo proyectado '!F66</f>
        <v>0</v>
      </c>
      <c r="G29" s="434"/>
      <c r="H29" s="437" t="e">
        <f t="shared" si="0"/>
        <v>#DIV/0!</v>
      </c>
      <c r="I29" s="438"/>
    </row>
    <row r="30" spans="1:11" x14ac:dyDescent="0.25">
      <c r="A30" s="80" t="s">
        <v>23</v>
      </c>
      <c r="B30" s="432" t="e">
        <f>B28-B29</f>
        <v>#DIV/0!</v>
      </c>
      <c r="C30" s="433"/>
      <c r="D30" s="437" t="e">
        <f t="shared" si="1"/>
        <v>#DIV/0!</v>
      </c>
      <c r="E30" s="438"/>
      <c r="F30" s="432">
        <f>F28-F29</f>
        <v>0</v>
      </c>
      <c r="G30" s="433"/>
      <c r="H30" s="437" t="e">
        <f t="shared" si="0"/>
        <v>#DIV/0!</v>
      </c>
      <c r="I30" s="438"/>
    </row>
    <row r="31" spans="1:11" ht="15.75" thickBot="1" x14ac:dyDescent="0.3">
      <c r="A31" s="269" t="s">
        <v>24</v>
      </c>
      <c r="B31" s="432" t="e">
        <f>'Flujo proyectado '!E67</f>
        <v>#DIV/0!</v>
      </c>
      <c r="C31" s="433"/>
      <c r="D31" s="437" t="e">
        <f t="shared" si="1"/>
        <v>#DIV/0!</v>
      </c>
      <c r="E31" s="438"/>
      <c r="F31" s="430">
        <f>'Flujo proyectado '!F67</f>
        <v>0</v>
      </c>
      <c r="G31" s="431"/>
      <c r="H31" s="437" t="e">
        <f t="shared" si="0"/>
        <v>#DIV/0!</v>
      </c>
      <c r="I31" s="438"/>
    </row>
    <row r="32" spans="1:11" ht="15.75" thickBot="1" x14ac:dyDescent="0.3">
      <c r="A32" s="270" t="s">
        <v>195</v>
      </c>
      <c r="B32" s="459" t="e">
        <f>B30-B31</f>
        <v>#DIV/0!</v>
      </c>
      <c r="C32" s="460"/>
      <c r="D32" s="435" t="e">
        <f t="shared" si="1"/>
        <v>#DIV/0!</v>
      </c>
      <c r="E32" s="436"/>
      <c r="F32" s="461">
        <f>F30-F31</f>
        <v>0</v>
      </c>
      <c r="G32" s="462"/>
      <c r="H32" s="435" t="e">
        <f t="shared" si="0"/>
        <v>#DIV/0!</v>
      </c>
      <c r="I32" s="436"/>
    </row>
    <row r="33" spans="1:9" ht="15.75" thickBot="1" x14ac:dyDescent="0.3">
      <c r="B33" s="47"/>
      <c r="C33" s="47"/>
      <c r="D33" s="49"/>
      <c r="E33" s="49"/>
    </row>
    <row r="34" spans="1:9" ht="15.75" thickBot="1" x14ac:dyDescent="0.3">
      <c r="B34" s="427" t="s">
        <v>106</v>
      </c>
      <c r="C34" s="428"/>
      <c r="D34" s="428"/>
      <c r="E34" s="428"/>
      <c r="F34" s="428"/>
      <c r="G34" s="428"/>
      <c r="H34" s="428"/>
      <c r="I34" s="429"/>
    </row>
    <row r="35" spans="1:9" ht="26.65" customHeight="1" thickBot="1" x14ac:dyDescent="0.3">
      <c r="A35" s="68" t="s">
        <v>25</v>
      </c>
      <c r="B35" s="86" t="str">
        <f>'Flujo proyectado '!F57</f>
        <v/>
      </c>
      <c r="C35" s="86" t="str">
        <f>'Flujo proyectado '!G57</f>
        <v/>
      </c>
      <c r="D35" s="86" t="str">
        <f>'Flujo proyectado '!H57</f>
        <v/>
      </c>
      <c r="E35" s="87" t="str">
        <f>'Flujo proyectado '!I57</f>
        <v/>
      </c>
      <c r="F35" s="86" t="str">
        <f>'Flujo proyectado '!J57</f>
        <v/>
      </c>
      <c r="G35" s="86" t="str">
        <f>'Flujo proyectado '!K57</f>
        <v/>
      </c>
      <c r="H35" s="86" t="str">
        <f>'Flujo proyectado '!L57</f>
        <v/>
      </c>
      <c r="I35" s="86" t="str">
        <f>'Flujo proyectado '!M57</f>
        <v/>
      </c>
    </row>
    <row r="36" spans="1:9" ht="15.75" thickBot="1" x14ac:dyDescent="0.3">
      <c r="A36" s="89" t="s">
        <v>192</v>
      </c>
      <c r="B36" s="266">
        <f>'Flujo proyectado '!F71</f>
        <v>0</v>
      </c>
      <c r="C36" s="266">
        <f>'Flujo proyectado '!G71</f>
        <v>0</v>
      </c>
      <c r="D36" s="266">
        <f>'Flujo proyectado '!H71</f>
        <v>0</v>
      </c>
      <c r="E36" s="266">
        <f>'Flujo proyectado '!I71</f>
        <v>0</v>
      </c>
      <c r="F36" s="266">
        <f>'Flujo proyectado '!J71</f>
        <v>0</v>
      </c>
      <c r="G36" s="266">
        <f>'Flujo proyectado '!K71</f>
        <v>0</v>
      </c>
      <c r="H36" s="266">
        <f>'Flujo proyectado '!L71</f>
        <v>0</v>
      </c>
      <c r="I36" s="266">
        <f>'Flujo proyectado '!M71</f>
        <v>0</v>
      </c>
    </row>
    <row r="37" spans="1:9" ht="15.75" thickBot="1" x14ac:dyDescent="0.3"/>
    <row r="38" spans="1:9" ht="15.75" thickBot="1" x14ac:dyDescent="0.3">
      <c r="A38" s="439" t="s">
        <v>26</v>
      </c>
      <c r="B38" s="440"/>
      <c r="C38" s="440"/>
      <c r="D38" s="440"/>
      <c r="E38" s="440"/>
      <c r="F38" s="440"/>
      <c r="G38" s="440"/>
      <c r="H38" s="440"/>
      <c r="I38" s="441"/>
    </row>
    <row r="39" spans="1:9" x14ac:dyDescent="0.25">
      <c r="A39" s="16"/>
      <c r="B39" s="3"/>
      <c r="I39" s="17"/>
    </row>
    <row r="40" spans="1:9" x14ac:dyDescent="0.25">
      <c r="A40" s="16"/>
      <c r="B40" s="3"/>
      <c r="I40" s="17"/>
    </row>
    <row r="41" spans="1:9" x14ac:dyDescent="0.25">
      <c r="A41" s="16"/>
      <c r="I41" s="17"/>
    </row>
    <row r="42" spans="1:9" x14ac:dyDescent="0.25">
      <c r="A42" s="16"/>
      <c r="I42" s="17"/>
    </row>
    <row r="43" spans="1:9" x14ac:dyDescent="0.25">
      <c r="A43" s="16"/>
      <c r="I43" s="17"/>
    </row>
    <row r="44" spans="1:9" x14ac:dyDescent="0.25">
      <c r="A44" s="16"/>
      <c r="I44" s="17"/>
    </row>
    <row r="45" spans="1:9" x14ac:dyDescent="0.25">
      <c r="A45" s="16"/>
      <c r="I45" s="17"/>
    </row>
    <row r="46" spans="1:9" x14ac:dyDescent="0.25">
      <c r="A46" s="16"/>
      <c r="I46" s="17"/>
    </row>
    <row r="47" spans="1:9" x14ac:dyDescent="0.25">
      <c r="A47" s="16"/>
      <c r="I47" s="17"/>
    </row>
    <row r="48" spans="1:9" x14ac:dyDescent="0.25">
      <c r="A48" s="16"/>
      <c r="I48" s="17"/>
    </row>
    <row r="49" spans="1:9" x14ac:dyDescent="0.25">
      <c r="A49" s="16"/>
      <c r="I49" s="17"/>
    </row>
    <row r="50" spans="1:9" x14ac:dyDescent="0.25">
      <c r="A50" s="16"/>
      <c r="I50" s="17"/>
    </row>
    <row r="51" spans="1:9" x14ac:dyDescent="0.25">
      <c r="A51" s="16"/>
      <c r="I51" s="17"/>
    </row>
    <row r="52" spans="1:9" x14ac:dyDescent="0.25">
      <c r="A52" s="16"/>
      <c r="I52" s="17"/>
    </row>
    <row r="53" spans="1:9" x14ac:dyDescent="0.25">
      <c r="A53" s="16"/>
      <c r="I53" s="17"/>
    </row>
    <row r="54" spans="1:9" ht="15.75" thickBot="1" x14ac:dyDescent="0.3">
      <c r="A54" s="31"/>
      <c r="B54" s="32"/>
      <c r="C54" s="32"/>
      <c r="D54" s="32"/>
      <c r="E54" s="32"/>
      <c r="F54" s="32"/>
      <c r="G54" s="32"/>
      <c r="H54" s="32"/>
      <c r="I54" s="33"/>
    </row>
  </sheetData>
  <mergeCells count="46">
    <mergeCell ref="A17:I17"/>
    <mergeCell ref="B21:C21"/>
    <mergeCell ref="A19:A20"/>
    <mergeCell ref="B20:C20"/>
    <mergeCell ref="F21:G21"/>
    <mergeCell ref="D19:E19"/>
    <mergeCell ref="D20:E20"/>
    <mergeCell ref="F19:I19"/>
    <mergeCell ref="F20:G20"/>
    <mergeCell ref="F22:G22"/>
    <mergeCell ref="D22:E22"/>
    <mergeCell ref="B22:C22"/>
    <mergeCell ref="A24:I24"/>
    <mergeCell ref="F28:G28"/>
    <mergeCell ref="H28:I28"/>
    <mergeCell ref="D28:E28"/>
    <mergeCell ref="B28:C28"/>
    <mergeCell ref="A38:I38"/>
    <mergeCell ref="A4:I5"/>
    <mergeCell ref="A8:I8"/>
    <mergeCell ref="B19:C19"/>
    <mergeCell ref="D27:E27"/>
    <mergeCell ref="B27:C27"/>
    <mergeCell ref="F27:G27"/>
    <mergeCell ref="H27:I27"/>
    <mergeCell ref="B26:D26"/>
    <mergeCell ref="A26:A27"/>
    <mergeCell ref="F26:G26"/>
    <mergeCell ref="D21:E21"/>
    <mergeCell ref="B32:C32"/>
    <mergeCell ref="D32:E32"/>
    <mergeCell ref="F32:G32"/>
    <mergeCell ref="B34:I34"/>
    <mergeCell ref="F31:G31"/>
    <mergeCell ref="F30:G30"/>
    <mergeCell ref="F29:G29"/>
    <mergeCell ref="H32:I32"/>
    <mergeCell ref="H29:I29"/>
    <mergeCell ref="H30:I30"/>
    <mergeCell ref="H31:I31"/>
    <mergeCell ref="D29:E29"/>
    <mergeCell ref="D30:E30"/>
    <mergeCell ref="D31:E31"/>
    <mergeCell ref="B29:C29"/>
    <mergeCell ref="B30:C30"/>
    <mergeCell ref="B31:C31"/>
  </mergeCells>
  <pageMargins left="0.70866141732283472" right="0.70866141732283472" top="0.55118110236220474" bottom="0.55118110236220474" header="0.31496062992125984" footer="0.31496062992125984"/>
  <pageSetup scale="85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880A3-D155-4AA6-8FDD-883FA426F809}">
  <sheetPr codeName="Hoja2"/>
  <dimension ref="A1:N49"/>
  <sheetViews>
    <sheetView showGridLines="0" view="pageBreakPreview" topLeftCell="A67" zoomScale="112" zoomScaleNormal="95" zoomScaleSheetLayoutView="112" workbookViewId="0">
      <selection activeCell="D90" sqref="D90"/>
    </sheetView>
  </sheetViews>
  <sheetFormatPr baseColWidth="10" defaultColWidth="11.42578125" defaultRowHeight="15" x14ac:dyDescent="0.25"/>
  <cols>
    <col min="1" max="1" width="21.42578125" customWidth="1"/>
    <col min="2" max="2" width="12.85546875" customWidth="1"/>
    <col min="3" max="3" width="14" customWidth="1"/>
    <col min="4" max="5" width="11.85546875" customWidth="1"/>
    <col min="6" max="6" width="13" customWidth="1"/>
    <col min="7" max="13" width="11.85546875" customWidth="1"/>
    <col min="14" max="14" width="10.42578125" customWidth="1"/>
  </cols>
  <sheetData>
    <row r="1" spans="1:14" x14ac:dyDescent="0.25">
      <c r="B1" s="3"/>
    </row>
    <row r="2" spans="1:14" ht="18.75" x14ac:dyDescent="0.3">
      <c r="A2" s="492" t="s">
        <v>27</v>
      </c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492"/>
      <c r="M2" s="492"/>
    </row>
    <row r="3" spans="1:14" ht="10.15" customHeight="1" x14ac:dyDescent="0.25"/>
    <row r="4" spans="1:14" x14ac:dyDescent="0.25">
      <c r="A4" s="493" t="s">
        <v>28</v>
      </c>
      <c r="B4" s="493"/>
      <c r="C4" s="493"/>
      <c r="D4" s="493"/>
      <c r="E4" s="493"/>
      <c r="F4" s="493"/>
      <c r="G4" s="493"/>
      <c r="H4" s="493"/>
      <c r="I4" s="493"/>
      <c r="J4" s="493"/>
      <c r="K4" s="493"/>
      <c r="L4" s="493"/>
      <c r="M4" s="493"/>
      <c r="N4" s="66"/>
    </row>
    <row r="5" spans="1:14" ht="12" customHeight="1" x14ac:dyDescent="0.25"/>
    <row r="6" spans="1:14" ht="15" customHeight="1" thickBot="1" x14ac:dyDescent="0.3">
      <c r="A6" s="3" t="s">
        <v>152</v>
      </c>
      <c r="B6" s="32"/>
      <c r="C6" s="32"/>
    </row>
    <row r="7" spans="1:14" ht="30" customHeight="1" thickBot="1" x14ac:dyDescent="0.3">
      <c r="A7" s="147" t="s">
        <v>132</v>
      </c>
      <c r="B7" s="506" t="s">
        <v>154</v>
      </c>
      <c r="C7" s="506"/>
      <c r="D7" s="148" t="s">
        <v>32</v>
      </c>
      <c r="E7" s="148" t="s">
        <v>146</v>
      </c>
      <c r="F7" s="148" t="s">
        <v>151</v>
      </c>
      <c r="G7" s="271" t="s">
        <v>43</v>
      </c>
      <c r="H7" s="149" t="s">
        <v>147</v>
      </c>
      <c r="I7" s="148" t="s">
        <v>148</v>
      </c>
      <c r="J7" s="148" t="s">
        <v>149</v>
      </c>
      <c r="K7" s="148" t="s">
        <v>150</v>
      </c>
      <c r="L7" s="150" t="s">
        <v>156</v>
      </c>
      <c r="M7" s="151" t="s">
        <v>163</v>
      </c>
    </row>
    <row r="8" spans="1:14" ht="14.45" customHeight="1" x14ac:dyDescent="0.25">
      <c r="A8" s="132"/>
      <c r="B8" s="507"/>
      <c r="C8" s="508"/>
      <c r="D8" s="125"/>
      <c r="E8" s="136"/>
      <c r="F8" s="125"/>
      <c r="G8" s="140"/>
      <c r="H8" s="301"/>
      <c r="I8" s="136"/>
      <c r="J8" s="136"/>
      <c r="K8" s="125"/>
      <c r="L8" s="142"/>
      <c r="M8" s="156"/>
    </row>
    <row r="9" spans="1:14" ht="14.45" customHeight="1" thickBot="1" x14ac:dyDescent="0.3">
      <c r="A9" s="141"/>
      <c r="B9" s="491"/>
      <c r="C9" s="491"/>
      <c r="D9" s="102"/>
      <c r="E9" s="137"/>
      <c r="F9" s="102"/>
      <c r="G9" s="137"/>
      <c r="H9" s="116"/>
      <c r="I9" s="102"/>
      <c r="J9" s="102"/>
      <c r="K9" s="102"/>
      <c r="L9" s="157">
        <f>SUM(L8:L8)</f>
        <v>0</v>
      </c>
      <c r="M9" s="158">
        <f>SUM(M8:M8)</f>
        <v>0</v>
      </c>
    </row>
    <row r="10" spans="1:14" ht="12" customHeight="1" x14ac:dyDescent="0.25"/>
    <row r="11" spans="1:14" ht="12" customHeight="1" thickBot="1" x14ac:dyDescent="0.3">
      <c r="A11" s="3" t="s">
        <v>153</v>
      </c>
    </row>
    <row r="12" spans="1:14" ht="20.45" customHeight="1" thickBot="1" x14ac:dyDescent="0.3">
      <c r="A12" s="120" t="s">
        <v>132</v>
      </c>
      <c r="B12" s="143" t="s">
        <v>124</v>
      </c>
      <c r="C12" s="146" t="s">
        <v>125</v>
      </c>
      <c r="D12" s="145" t="s">
        <v>126</v>
      </c>
      <c r="E12" s="144" t="s">
        <v>127</v>
      </c>
      <c r="F12" s="144" t="s">
        <v>128</v>
      </c>
      <c r="G12" s="146" t="s">
        <v>129</v>
      </c>
      <c r="H12" s="127" t="s">
        <v>130</v>
      </c>
      <c r="I12" s="121" t="s">
        <v>131</v>
      </c>
      <c r="J12" s="122" t="s">
        <v>136</v>
      </c>
      <c r="K12" s="498" t="s">
        <v>157</v>
      </c>
      <c r="L12" s="499"/>
      <c r="M12" s="500"/>
    </row>
    <row r="13" spans="1:14" ht="14.45" customHeight="1" x14ac:dyDescent="0.25">
      <c r="A13" s="124"/>
      <c r="B13" s="124"/>
      <c r="C13" s="129"/>
      <c r="D13" s="128"/>
      <c r="E13" s="125"/>
      <c r="F13" s="125"/>
      <c r="G13" s="129"/>
      <c r="H13" s="128">
        <f>SUM(B13:C13)</f>
        <v>0</v>
      </c>
      <c r="I13" s="125">
        <f>SUM(E13:G13)</f>
        <v>0</v>
      </c>
      <c r="J13" s="119">
        <f>H13+I13</f>
        <v>0</v>
      </c>
      <c r="K13" s="510"/>
      <c r="L13" s="511"/>
      <c r="M13" s="512"/>
    </row>
    <row r="14" spans="1:14" s="3" customFormat="1" ht="15" customHeight="1" thickBot="1" x14ac:dyDescent="0.3">
      <c r="A14" s="123" t="s">
        <v>15</v>
      </c>
      <c r="B14" s="131"/>
      <c r="C14" s="153">
        <f>SUM(C13:C13)</f>
        <v>0</v>
      </c>
      <c r="D14" s="154">
        <f>SUM(D13:D13)</f>
        <v>0</v>
      </c>
      <c r="E14" s="155">
        <f>SUM(E13:E13)</f>
        <v>0</v>
      </c>
      <c r="F14" s="155">
        <f>SUM(F13:F13)</f>
        <v>0</v>
      </c>
      <c r="G14" s="153">
        <f>SUM(G13:G13)</f>
        <v>0</v>
      </c>
      <c r="H14" s="154">
        <f>SUM(H13:H13)</f>
        <v>0</v>
      </c>
      <c r="I14" s="155">
        <f>SUM(I13:I13)</f>
        <v>0</v>
      </c>
      <c r="J14" s="135">
        <f>SUM(J13:J13)</f>
        <v>0</v>
      </c>
      <c r="K14" s="159"/>
      <c r="L14" s="160"/>
      <c r="M14" s="161"/>
    </row>
    <row r="15" spans="1:14" ht="12" customHeight="1" thickBot="1" x14ac:dyDescent="0.3"/>
    <row r="16" spans="1:14" ht="12" customHeight="1" x14ac:dyDescent="0.25">
      <c r="A16" s="1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5"/>
    </row>
    <row r="17" spans="1:14" ht="12" customHeight="1" x14ac:dyDescent="0.25">
      <c r="A17" s="9"/>
      <c r="M17" s="17"/>
    </row>
    <row r="18" spans="1:14" ht="12" customHeight="1" thickBot="1" x14ac:dyDescent="0.3">
      <c r="A18" s="31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3"/>
    </row>
    <row r="19" spans="1:14" ht="12" customHeight="1" x14ac:dyDescent="0.25"/>
    <row r="20" spans="1:14" x14ac:dyDescent="0.25">
      <c r="A20" s="443" t="s">
        <v>29</v>
      </c>
      <c r="B20" s="443"/>
      <c r="C20" s="443"/>
      <c r="D20" s="443"/>
      <c r="E20" s="443"/>
      <c r="F20" s="443"/>
      <c r="G20" s="443"/>
      <c r="H20" s="443"/>
      <c r="I20" s="443"/>
      <c r="J20" s="443"/>
      <c r="K20" s="443"/>
      <c r="L20" s="443"/>
      <c r="M20" s="443"/>
      <c r="N20" s="48"/>
    </row>
    <row r="21" spans="1:14" ht="9" customHeight="1" thickBot="1" x14ac:dyDescent="0.3"/>
    <row r="22" spans="1:14" ht="29.65" customHeight="1" thickBot="1" x14ac:dyDescent="0.3">
      <c r="A22" s="502" t="s">
        <v>132</v>
      </c>
      <c r="B22" s="494" t="s">
        <v>162</v>
      </c>
      <c r="C22" s="494" t="s">
        <v>31</v>
      </c>
      <c r="D22" s="502" t="s">
        <v>139</v>
      </c>
      <c r="E22" s="503"/>
      <c r="F22" s="496" t="s">
        <v>32</v>
      </c>
      <c r="G22" s="494" t="s">
        <v>33</v>
      </c>
      <c r="H22" s="97" t="s">
        <v>34</v>
      </c>
      <c r="I22" s="97" t="s">
        <v>35</v>
      </c>
      <c r="J22" s="455" t="s">
        <v>36</v>
      </c>
      <c r="K22" s="456"/>
      <c r="L22" s="456"/>
      <c r="M22" s="501"/>
    </row>
    <row r="23" spans="1:14" ht="15.75" thickBot="1" x14ac:dyDescent="0.3">
      <c r="A23" s="504"/>
      <c r="B23" s="495"/>
      <c r="C23" s="495"/>
      <c r="D23" s="504"/>
      <c r="E23" s="505"/>
      <c r="F23" s="497"/>
      <c r="G23" s="495"/>
      <c r="H23" s="98"/>
      <c r="I23" s="98"/>
      <c r="J23" s="56" t="s">
        <v>37</v>
      </c>
      <c r="K23" s="57" t="s">
        <v>38</v>
      </c>
      <c r="L23" s="57" t="s">
        <v>39</v>
      </c>
      <c r="M23" s="58" t="s">
        <v>40</v>
      </c>
    </row>
    <row r="24" spans="1:14" ht="15.75" thickBot="1" x14ac:dyDescent="0.3">
      <c r="A24" s="109">
        <f>A13</f>
        <v>0</v>
      </c>
      <c r="B24" s="110"/>
      <c r="C24" s="110"/>
      <c r="D24" s="510"/>
      <c r="E24" s="512"/>
      <c r="F24" s="110"/>
      <c r="G24" s="111"/>
      <c r="H24" s="111">
        <f>G24</f>
        <v>0</v>
      </c>
      <c r="I24" s="111">
        <f>H24</f>
        <v>0</v>
      </c>
      <c r="J24" s="128"/>
      <c r="K24" s="125"/>
      <c r="L24" s="125"/>
      <c r="M24" s="95"/>
    </row>
    <row r="25" spans="1:14" ht="15.75" thickBot="1" x14ac:dyDescent="0.3">
      <c r="A25" s="439" t="s">
        <v>41</v>
      </c>
      <c r="B25" s="440"/>
      <c r="C25" s="440"/>
      <c r="D25" s="440"/>
      <c r="E25" s="440"/>
      <c r="F25" s="440"/>
      <c r="G25" s="509"/>
      <c r="H25" s="117">
        <f>SUM(H24:H24)</f>
        <v>0</v>
      </c>
      <c r="I25" s="117">
        <f>SUM(I24:I24)</f>
        <v>0</v>
      </c>
      <c r="J25" s="18"/>
      <c r="K25" s="54"/>
      <c r="L25" s="32"/>
      <c r="M25" s="33"/>
    </row>
    <row r="26" spans="1:14" ht="15.75" thickBot="1" x14ac:dyDescent="0.3">
      <c r="A26" s="133"/>
    </row>
    <row r="27" spans="1:14" ht="12" customHeight="1" x14ac:dyDescent="0.25">
      <c r="A27" s="1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5"/>
    </row>
    <row r="28" spans="1:14" ht="12" customHeight="1" x14ac:dyDescent="0.25">
      <c r="A28" s="9"/>
      <c r="M28" s="17"/>
    </row>
    <row r="29" spans="1:14" ht="12" customHeight="1" thickBot="1" x14ac:dyDescent="0.3">
      <c r="A29" s="31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3"/>
    </row>
    <row r="30" spans="1:14" x14ac:dyDescent="0.25">
      <c r="A30" s="133"/>
    </row>
    <row r="31" spans="1:14" x14ac:dyDescent="0.25">
      <c r="A31" s="443" t="s">
        <v>42</v>
      </c>
      <c r="B31" s="443"/>
      <c r="C31" s="443"/>
      <c r="D31" s="443"/>
      <c r="E31" s="443"/>
      <c r="F31" s="443"/>
      <c r="G31" s="443"/>
      <c r="H31" s="443"/>
      <c r="I31" s="443"/>
      <c r="J31" s="443"/>
      <c r="K31" s="443"/>
      <c r="L31" s="443"/>
      <c r="M31" s="443"/>
    </row>
    <row r="32" spans="1:14" ht="6" customHeight="1" thickBot="1" x14ac:dyDescent="0.3"/>
    <row r="33" spans="1:14" ht="15.6" customHeight="1" thickBot="1" x14ac:dyDescent="0.3">
      <c r="A33" s="3" t="s">
        <v>159</v>
      </c>
      <c r="B33" s="272">
        <f>A24</f>
        <v>0</v>
      </c>
      <c r="C33" s="273"/>
      <c r="D33" s="21" t="s">
        <v>558</v>
      </c>
      <c r="E33" s="290" t="e">
        <f>VLOOKUP(B33,$A$8:$G$9,7,FALSE)</f>
        <v>#N/A</v>
      </c>
      <c r="N33" s="133"/>
    </row>
    <row r="34" spans="1:14" ht="41.1" customHeight="1" thickBot="1" x14ac:dyDescent="0.3">
      <c r="A34" s="112" t="s">
        <v>6</v>
      </c>
      <c r="B34" s="113" t="s">
        <v>138</v>
      </c>
      <c r="C34" s="113" t="s">
        <v>45</v>
      </c>
      <c r="D34" s="113" t="s">
        <v>137</v>
      </c>
      <c r="E34" s="113" t="s">
        <v>46</v>
      </c>
      <c r="F34" s="113" t="s">
        <v>47</v>
      </c>
      <c r="G34" s="113" t="s">
        <v>687</v>
      </c>
      <c r="H34" s="113" t="s">
        <v>158</v>
      </c>
      <c r="I34" s="113" t="s">
        <v>688</v>
      </c>
      <c r="J34" s="113" t="s">
        <v>119</v>
      </c>
      <c r="K34" s="113" t="s">
        <v>120</v>
      </c>
      <c r="L34" s="115" t="s">
        <v>118</v>
      </c>
      <c r="M34" s="152" t="s">
        <v>160</v>
      </c>
    </row>
    <row r="35" spans="1:14" x14ac:dyDescent="0.25">
      <c r="A35" s="298" t="str" cm="1">
        <f t="array" ref="A35">IFERROR(INDEX(_xlfn.UNIQUE(_xlfn._xlws.FILTER(Plantaciones!$A$7:$A$8,TRIM(Plantaciones!$G$7:$G$8)=TRIM($B$33))),ROWS($A$35:A35)),"")</f>
        <v/>
      </c>
      <c r="B35" s="299" t="str">
        <f>IF(A35="","",SUMIFS(Plantaciones!$E$7:$E$7,Plantaciones!$A$7:$A$7,Recursos!A35,Plantaciones!$G$7:$G$7,Recursos!$B$33))</f>
        <v/>
      </c>
      <c r="C35" s="125"/>
      <c r="D35" s="300">
        <f>IFERROR(VLOOKUP(C35,Opciones!$A$16:$B$20,2,FALSE),)</f>
        <v>0</v>
      </c>
      <c r="E35" s="296" t="str">
        <f>IFERROR(INDEX(ETo!$I$6:$I$290,MATCH(E33,ETo!$C$6:$C$290,0)),"Comuna no encontrada")</f>
        <v>Comuna no encontrada</v>
      </c>
      <c r="F35" s="142" t="str">
        <f>IF(A35="","",IFERROR(INDEX(ETo!$C$301:$C$355,MATCH(A35,ETo!$B$301:$B$355,0)),"Especie no encontrada"))</f>
        <v/>
      </c>
      <c r="G35" s="125">
        <f>IFERROR(ROUND(E35*F35*10/D35/86.4,2),0)</f>
        <v>0</v>
      </c>
      <c r="H35" s="20" t="e">
        <f>ROUND(G35*B35,2)</f>
        <v>#VALUE!</v>
      </c>
      <c r="I35" s="423" t="e">
        <f>SUM(H35:H35)</f>
        <v>#VALUE!</v>
      </c>
      <c r="J35" s="426"/>
      <c r="K35" s="425">
        <f>TRUNC(J35*0.8/(86.4*90),2)</f>
        <v>0</v>
      </c>
      <c r="L35" s="424">
        <f>SUMIF($A$24:$A$24,B33,$I$24:$I$24)+K35</f>
        <v>0</v>
      </c>
      <c r="M35" s="422" t="e">
        <f>IF(I35=0,IF(L35=0,0,"Sin demanda"),(L35-I35)/I35)</f>
        <v>#VALUE!</v>
      </c>
    </row>
    <row r="36" spans="1:14" ht="15.75" thickBot="1" x14ac:dyDescent="0.3">
      <c r="A36" s="159" t="s">
        <v>161</v>
      </c>
      <c r="B36" s="297">
        <f>SUM(B35:B35)</f>
        <v>0</v>
      </c>
      <c r="G36" s="3"/>
      <c r="H36" s="3"/>
    </row>
    <row r="37" spans="1:14" ht="16.149999999999999" customHeight="1" x14ac:dyDescent="0.25">
      <c r="A37" s="3"/>
      <c r="C37" s="3"/>
      <c r="H37" s="3"/>
      <c r="I37" s="3"/>
    </row>
    <row r="38" spans="1:14" x14ac:dyDescent="0.25">
      <c r="A38" s="443" t="s">
        <v>48</v>
      </c>
      <c r="B38" s="443"/>
      <c r="C38" s="443"/>
      <c r="D38" s="443"/>
      <c r="E38" s="443"/>
      <c r="F38" s="443"/>
      <c r="G38" s="443"/>
      <c r="H38" s="443"/>
      <c r="I38" s="443"/>
      <c r="J38" s="443"/>
      <c r="K38" s="443"/>
      <c r="L38" s="443"/>
      <c r="M38" s="443"/>
    </row>
    <row r="39" spans="1:14" ht="4.5" customHeight="1" thickBo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</row>
    <row r="40" spans="1:14" x14ac:dyDescent="0.25">
      <c r="A40" s="482"/>
      <c r="B40" s="483"/>
      <c r="C40" s="483"/>
      <c r="D40" s="483"/>
      <c r="E40" s="483"/>
      <c r="F40" s="483"/>
      <c r="G40" s="483"/>
      <c r="H40" s="483"/>
      <c r="I40" s="483"/>
      <c r="J40" s="483"/>
      <c r="K40" s="483"/>
      <c r="L40" s="483"/>
      <c r="M40" s="484"/>
    </row>
    <row r="41" spans="1:14" x14ac:dyDescent="0.25">
      <c r="A41" s="485"/>
      <c r="B41" s="486"/>
      <c r="C41" s="486"/>
      <c r="D41" s="486"/>
      <c r="E41" s="486"/>
      <c r="F41" s="486"/>
      <c r="G41" s="486"/>
      <c r="H41" s="486"/>
      <c r="I41" s="486"/>
      <c r="J41" s="486"/>
      <c r="K41" s="486"/>
      <c r="L41" s="486"/>
      <c r="M41" s="487"/>
    </row>
    <row r="42" spans="1:14" x14ac:dyDescent="0.25">
      <c r="A42" s="485"/>
      <c r="B42" s="486"/>
      <c r="C42" s="486"/>
      <c r="D42" s="486"/>
      <c r="E42" s="486"/>
      <c r="F42" s="486"/>
      <c r="G42" s="486"/>
      <c r="H42" s="486"/>
      <c r="I42" s="486"/>
      <c r="J42" s="486"/>
      <c r="K42" s="486"/>
      <c r="L42" s="486"/>
      <c r="M42" s="487"/>
    </row>
    <row r="43" spans="1:14" x14ac:dyDescent="0.25">
      <c r="A43" s="485"/>
      <c r="B43" s="486"/>
      <c r="C43" s="486"/>
      <c r="D43" s="486"/>
      <c r="E43" s="486"/>
      <c r="F43" s="486"/>
      <c r="G43" s="486"/>
      <c r="H43" s="486"/>
      <c r="I43" s="486"/>
      <c r="J43" s="486"/>
      <c r="K43" s="486"/>
      <c r="L43" s="486"/>
      <c r="M43" s="487"/>
    </row>
    <row r="44" spans="1:14" x14ac:dyDescent="0.25">
      <c r="A44" s="485"/>
      <c r="B44" s="486"/>
      <c r="C44" s="486"/>
      <c r="D44" s="486"/>
      <c r="E44" s="486"/>
      <c r="F44" s="486"/>
      <c r="G44" s="486"/>
      <c r="H44" s="486"/>
      <c r="I44" s="486"/>
      <c r="J44" s="486"/>
      <c r="K44" s="486"/>
      <c r="L44" s="486"/>
      <c r="M44" s="487"/>
    </row>
    <row r="45" spans="1:14" x14ac:dyDescent="0.25">
      <c r="A45" s="485"/>
      <c r="B45" s="486"/>
      <c r="C45" s="486"/>
      <c r="D45" s="486"/>
      <c r="E45" s="486"/>
      <c r="F45" s="486"/>
      <c r="G45" s="486"/>
      <c r="H45" s="486"/>
      <c r="I45" s="486"/>
      <c r="J45" s="486"/>
      <c r="K45" s="486"/>
      <c r="L45" s="486"/>
      <c r="M45" s="487"/>
    </row>
    <row r="46" spans="1:14" x14ac:dyDescent="0.25">
      <c r="A46" s="485"/>
      <c r="B46" s="486"/>
      <c r="C46" s="486"/>
      <c r="D46" s="486"/>
      <c r="E46" s="486"/>
      <c r="F46" s="486"/>
      <c r="G46" s="486"/>
      <c r="H46" s="486"/>
      <c r="I46" s="486"/>
      <c r="J46" s="486"/>
      <c r="K46" s="486"/>
      <c r="L46" s="486"/>
      <c r="M46" s="487"/>
    </row>
    <row r="47" spans="1:14" x14ac:dyDescent="0.25">
      <c r="A47" s="485"/>
      <c r="B47" s="486"/>
      <c r="C47" s="486"/>
      <c r="D47" s="486"/>
      <c r="E47" s="486"/>
      <c r="F47" s="486"/>
      <c r="G47" s="486"/>
      <c r="H47" s="486"/>
      <c r="I47" s="486"/>
      <c r="J47" s="486"/>
      <c r="K47" s="486"/>
      <c r="L47" s="486"/>
      <c r="M47" s="487"/>
    </row>
    <row r="48" spans="1:14" x14ac:dyDescent="0.25">
      <c r="A48" s="485"/>
      <c r="B48" s="486"/>
      <c r="C48" s="486"/>
      <c r="D48" s="486"/>
      <c r="E48" s="486"/>
      <c r="F48" s="486"/>
      <c r="G48" s="486"/>
      <c r="H48" s="486"/>
      <c r="I48" s="486"/>
      <c r="J48" s="486"/>
      <c r="K48" s="486"/>
      <c r="L48" s="486"/>
      <c r="M48" s="487"/>
    </row>
    <row r="49" spans="1:13" ht="15.75" thickBot="1" x14ac:dyDescent="0.3">
      <c r="A49" s="488"/>
      <c r="B49" s="489"/>
      <c r="C49" s="489"/>
      <c r="D49" s="489"/>
      <c r="E49" s="489"/>
      <c r="F49" s="489"/>
      <c r="G49" s="489"/>
      <c r="H49" s="489"/>
      <c r="I49" s="489"/>
      <c r="J49" s="489"/>
      <c r="K49" s="489"/>
      <c r="L49" s="489"/>
      <c r="M49" s="490"/>
    </row>
  </sheetData>
  <mergeCells count="20">
    <mergeCell ref="A31:M31"/>
    <mergeCell ref="A25:G25"/>
    <mergeCell ref="A22:A23"/>
    <mergeCell ref="K13:M13"/>
    <mergeCell ref="D24:E24"/>
    <mergeCell ref="A2:M2"/>
    <mergeCell ref="A4:M4"/>
    <mergeCell ref="A20:M20"/>
    <mergeCell ref="B22:B23"/>
    <mergeCell ref="F22:F23"/>
    <mergeCell ref="G22:G23"/>
    <mergeCell ref="C22:C23"/>
    <mergeCell ref="K12:M12"/>
    <mergeCell ref="J22:M22"/>
    <mergeCell ref="D22:E23"/>
    <mergeCell ref="B7:C7"/>
    <mergeCell ref="B8:C8"/>
    <mergeCell ref="B9:C9"/>
    <mergeCell ref="A40:M49"/>
    <mergeCell ref="A38:M38"/>
  </mergeCells>
  <phoneticPr fontId="14" type="noConversion"/>
  <conditionalFormatting sqref="M8:M9">
    <cfRule type="cellIs" dxfId="1" priority="1" operator="notEqual">
      <formula>L8</formula>
    </cfRule>
  </conditionalFormatting>
  <conditionalFormatting sqref="M35">
    <cfRule type="cellIs" dxfId="0" priority="2" operator="lessThan">
      <formula>0</formula>
    </cfRule>
  </conditionalFormatting>
  <dataValidations count="3">
    <dataValidation type="list" allowBlank="1" showInputMessage="1" showErrorMessage="1" sqref="B24" xr:uid="{77751D5F-0D93-4472-B8B1-845B4F597FAC}">
      <formula1>"Subterránea, Canal, Río, Estero, Vertiente, Embalse, Tranque, Otro"</formula1>
    </dataValidation>
    <dataValidation type="list" allowBlank="1" showInputMessage="1" showErrorMessage="1" errorTitle="Región no válida" error="Seleccione una región de la lista." sqref="F8" xr:uid="{EC12C3C4-FBAB-4306-A8DB-F7EF8AB7C985}">
      <formula1>ListaRegiones</formula1>
    </dataValidation>
    <dataValidation type="list" allowBlank="1" showInputMessage="1" showErrorMessage="1" errorTitle="Comuna no válida" error="Seleccione una comuna correspondiente a la región de esta fila." sqref="G8" xr:uid="{83E67390-14AE-4A72-8617-3C275F3229AB}">
      <formula1>INDIRECT("Comunas_"&amp;F8)</formula1>
    </dataValidation>
  </dataValidations>
  <pageMargins left="0.70866141732283461" right="0.70866141732283461" top="0.55118110236220474" bottom="0.55118110236220474" header="0.31496062992125984" footer="0.31496062992125984"/>
  <pageSetup scale="4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1A5B49-BBBB-4CE5-BD6D-795E161401DA}">
          <x14:formula1>
            <xm:f>Opciones!$A$3:$A$7</xm:f>
          </x14:formula1>
          <xm:sqref>D8 F24</xm:sqref>
        </x14:dataValidation>
        <x14:dataValidation type="list" allowBlank="1" showInputMessage="1" showErrorMessage="1" xr:uid="{996C3697-FB98-4DC5-9CD5-864F52C5DB07}">
          <x14:formula1>
            <xm:f>Opciones!$A$10:$A$13</xm:f>
          </x14:formula1>
          <xm:sqref>D24:E24</xm:sqref>
        </x14:dataValidation>
        <x14:dataValidation type="list" allowBlank="1" showInputMessage="1" showErrorMessage="1" xr:uid="{7B445A1C-0A3F-42BF-A714-BD01C0E51588}">
          <x14:formula1>
            <xm:f>Opciones!$A$16:$A$20</xm:f>
          </x14:formula1>
          <xm:sqref>C35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72C44-F7E2-4A0C-A8B1-E97913A8139A}">
  <sheetPr codeName="Hoja3"/>
  <dimension ref="A2:M26"/>
  <sheetViews>
    <sheetView showGridLines="0" view="pageBreakPreview" zoomScaleNormal="89" zoomScaleSheetLayoutView="100" workbookViewId="0">
      <selection activeCell="N20" sqref="N20"/>
    </sheetView>
  </sheetViews>
  <sheetFormatPr baseColWidth="10" defaultColWidth="11.42578125" defaultRowHeight="15" x14ac:dyDescent="0.25"/>
  <cols>
    <col min="3" max="3" width="14.28515625" customWidth="1"/>
    <col min="4" max="4" width="20.42578125" customWidth="1"/>
    <col min="6" max="6" width="9.5703125" customWidth="1"/>
    <col min="8" max="8" width="12.85546875" customWidth="1"/>
    <col min="10" max="10" width="15.28515625" customWidth="1"/>
  </cols>
  <sheetData>
    <row r="2" spans="1:11" ht="18.75" x14ac:dyDescent="0.3">
      <c r="A2" s="492" t="s">
        <v>49</v>
      </c>
      <c r="B2" s="492"/>
      <c r="C2" s="492"/>
      <c r="D2" s="492"/>
      <c r="E2" s="492"/>
      <c r="F2" s="492"/>
      <c r="G2" s="492"/>
      <c r="H2" s="492"/>
      <c r="I2" s="492"/>
      <c r="J2" s="492"/>
      <c r="K2" s="48"/>
    </row>
    <row r="3" spans="1:11" ht="7.5" customHeight="1" thickBot="1" x14ac:dyDescent="0.3"/>
    <row r="4" spans="1:11" ht="63" customHeight="1" thickBot="1" x14ac:dyDescent="0.3">
      <c r="A4" s="83" t="s">
        <v>50</v>
      </c>
      <c r="B4" s="84" t="s">
        <v>39</v>
      </c>
      <c r="C4" s="395" t="s">
        <v>44</v>
      </c>
      <c r="D4" s="399" t="s">
        <v>51</v>
      </c>
      <c r="E4" s="396" t="s">
        <v>52</v>
      </c>
      <c r="F4" s="42" t="s">
        <v>53</v>
      </c>
      <c r="G4" s="42" t="s">
        <v>54</v>
      </c>
      <c r="H4" s="42" t="s">
        <v>55</v>
      </c>
      <c r="I4" s="42" t="s">
        <v>56</v>
      </c>
      <c r="J4" s="43" t="s">
        <v>57</v>
      </c>
    </row>
    <row r="5" spans="1:11" ht="14.65" customHeight="1" x14ac:dyDescent="0.25">
      <c r="A5" s="513"/>
      <c r="B5" s="516"/>
      <c r="C5" s="519"/>
      <c r="D5" s="400"/>
      <c r="E5" s="397"/>
      <c r="F5" s="361"/>
      <c r="G5" s="361"/>
      <c r="H5" s="361"/>
      <c r="I5" s="361"/>
      <c r="J5" s="363"/>
    </row>
    <row r="6" spans="1:11" x14ac:dyDescent="0.25">
      <c r="A6" s="514"/>
      <c r="B6" s="517"/>
      <c r="C6" s="520"/>
      <c r="D6" s="401"/>
      <c r="E6" s="398"/>
      <c r="F6" s="362"/>
      <c r="G6" s="362"/>
      <c r="H6" s="362"/>
      <c r="I6" s="362"/>
      <c r="J6" s="393"/>
    </row>
    <row r="7" spans="1:11" x14ac:dyDescent="0.25">
      <c r="A7" s="514"/>
      <c r="B7" s="517"/>
      <c r="C7" s="520"/>
      <c r="D7" s="401"/>
      <c r="E7" s="398"/>
      <c r="F7" s="362"/>
      <c r="G7" s="362"/>
      <c r="H7" s="362"/>
      <c r="I7" s="362"/>
      <c r="J7" s="393"/>
    </row>
    <row r="8" spans="1:11" x14ac:dyDescent="0.25">
      <c r="A8" s="514"/>
      <c r="B8" s="517"/>
      <c r="C8" s="521"/>
      <c r="D8" s="401"/>
      <c r="E8" s="398"/>
      <c r="F8" s="1"/>
      <c r="G8" s="1"/>
      <c r="H8" s="1"/>
      <c r="I8" s="1"/>
      <c r="J8" s="39"/>
    </row>
    <row r="9" spans="1:11" ht="15.75" thickBot="1" x14ac:dyDescent="0.3">
      <c r="A9" s="515"/>
      <c r="B9" s="518"/>
      <c r="C9" s="522"/>
      <c r="D9" s="402"/>
      <c r="E9" s="81"/>
      <c r="F9" s="36"/>
      <c r="G9" s="36"/>
      <c r="H9" s="36"/>
      <c r="I9" s="36"/>
      <c r="J9" s="394"/>
    </row>
    <row r="10" spans="1:11" x14ac:dyDescent="0.25">
      <c r="A10" s="513"/>
      <c r="B10" s="531"/>
      <c r="C10" s="519"/>
      <c r="D10" s="400"/>
      <c r="E10" s="397"/>
      <c r="F10" s="361"/>
      <c r="G10" s="361"/>
      <c r="H10" s="361"/>
      <c r="I10" s="361"/>
      <c r="J10" s="363"/>
    </row>
    <row r="11" spans="1:11" x14ac:dyDescent="0.25">
      <c r="A11" s="514"/>
      <c r="B11" s="532"/>
      <c r="C11" s="521"/>
      <c r="D11" s="401"/>
      <c r="E11" s="398"/>
      <c r="F11" s="1"/>
      <c r="G11" s="1"/>
      <c r="H11" s="1"/>
      <c r="I11" s="1"/>
      <c r="J11" s="39"/>
    </row>
    <row r="12" spans="1:11" x14ac:dyDescent="0.25">
      <c r="A12" s="514"/>
      <c r="B12" s="532"/>
      <c r="C12" s="521"/>
      <c r="D12" s="401"/>
      <c r="E12" s="398"/>
      <c r="F12" s="1"/>
      <c r="G12" s="1"/>
      <c r="H12" s="1"/>
      <c r="I12" s="1"/>
      <c r="J12" s="39"/>
    </row>
    <row r="13" spans="1:11" x14ac:dyDescent="0.25">
      <c r="A13" s="514"/>
      <c r="B13" s="532"/>
      <c r="C13" s="521"/>
      <c r="D13" s="401"/>
      <c r="E13" s="398"/>
      <c r="F13" s="1"/>
      <c r="G13" s="1"/>
      <c r="H13" s="1"/>
      <c r="I13" s="1"/>
      <c r="J13" s="39"/>
    </row>
    <row r="14" spans="1:11" ht="15.75" thickBot="1" x14ac:dyDescent="0.3">
      <c r="A14" s="515"/>
      <c r="B14" s="533"/>
      <c r="C14" s="522"/>
      <c r="D14" s="402"/>
      <c r="E14" s="81"/>
      <c r="F14" s="36"/>
      <c r="G14" s="36"/>
      <c r="H14" s="36"/>
      <c r="I14" s="36"/>
      <c r="J14" s="394"/>
    </row>
    <row r="15" spans="1:11" s="3" customFormat="1" x14ac:dyDescent="0.25">
      <c r="A15" s="3" t="s">
        <v>58</v>
      </c>
      <c r="C15" s="3">
        <f>SUM(C5:C14)</f>
        <v>0</v>
      </c>
      <c r="G15" s="3">
        <f>SUM(G5:G14)</f>
        <v>0</v>
      </c>
      <c r="H15" s="3">
        <f>SUM(H5:H14)</f>
        <v>0</v>
      </c>
      <c r="I15" s="3">
        <f>SUM(I5:I14)</f>
        <v>0</v>
      </c>
    </row>
    <row r="17" spans="1:13" x14ac:dyDescent="0.25">
      <c r="A17" s="443" t="s">
        <v>59</v>
      </c>
      <c r="B17" s="443"/>
      <c r="C17" s="443"/>
      <c r="D17" s="443"/>
      <c r="E17" s="443"/>
      <c r="F17" s="443"/>
      <c r="G17" s="443"/>
      <c r="H17" s="443"/>
      <c r="I17" s="443"/>
      <c r="J17" s="443"/>
      <c r="K17" s="3"/>
      <c r="L17" s="3"/>
      <c r="M17" s="3"/>
    </row>
    <row r="18" spans="1:13" ht="6.6" customHeight="1" thickBot="1" x14ac:dyDescent="0.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</row>
    <row r="19" spans="1:13" x14ac:dyDescent="0.25">
      <c r="A19" s="482"/>
      <c r="B19" s="523"/>
      <c r="C19" s="523"/>
      <c r="D19" s="523"/>
      <c r="E19" s="523"/>
      <c r="F19" s="523"/>
      <c r="G19" s="523"/>
      <c r="H19" s="523"/>
      <c r="I19" s="523"/>
      <c r="J19" s="524"/>
    </row>
    <row r="20" spans="1:13" x14ac:dyDescent="0.25">
      <c r="A20" s="525"/>
      <c r="B20" s="526"/>
      <c r="C20" s="526"/>
      <c r="D20" s="526"/>
      <c r="E20" s="526"/>
      <c r="F20" s="526"/>
      <c r="G20" s="526"/>
      <c r="H20" s="526"/>
      <c r="I20" s="526"/>
      <c r="J20" s="527"/>
    </row>
    <row r="21" spans="1:13" x14ac:dyDescent="0.25">
      <c r="A21" s="525"/>
      <c r="B21" s="526"/>
      <c r="C21" s="526"/>
      <c r="D21" s="526"/>
      <c r="E21" s="526"/>
      <c r="F21" s="526"/>
      <c r="G21" s="526"/>
      <c r="H21" s="526"/>
      <c r="I21" s="526"/>
      <c r="J21" s="527"/>
    </row>
    <row r="22" spans="1:13" x14ac:dyDescent="0.25">
      <c r="A22" s="525"/>
      <c r="B22" s="526"/>
      <c r="C22" s="526"/>
      <c r="D22" s="526"/>
      <c r="E22" s="526"/>
      <c r="F22" s="526"/>
      <c r="G22" s="526"/>
      <c r="H22" s="526"/>
      <c r="I22" s="526"/>
      <c r="J22" s="527"/>
    </row>
    <row r="23" spans="1:13" x14ac:dyDescent="0.25">
      <c r="A23" s="525"/>
      <c r="B23" s="526"/>
      <c r="C23" s="526"/>
      <c r="D23" s="526"/>
      <c r="E23" s="526"/>
      <c r="F23" s="526"/>
      <c r="G23" s="526"/>
      <c r="H23" s="526"/>
      <c r="I23" s="526"/>
      <c r="J23" s="527"/>
    </row>
    <row r="24" spans="1:13" ht="15.75" thickBot="1" x14ac:dyDescent="0.3">
      <c r="A24" s="528"/>
      <c r="B24" s="529"/>
      <c r="C24" s="529"/>
      <c r="D24" s="529"/>
      <c r="E24" s="529"/>
      <c r="F24" s="529"/>
      <c r="G24" s="529"/>
      <c r="H24" s="529"/>
      <c r="I24" s="529"/>
      <c r="J24" s="530"/>
    </row>
    <row r="26" spans="1:13" x14ac:dyDescent="0.25">
      <c r="I26" s="85"/>
    </row>
  </sheetData>
  <mergeCells count="9">
    <mergeCell ref="A2:J2"/>
    <mergeCell ref="A5:A9"/>
    <mergeCell ref="B5:B9"/>
    <mergeCell ref="C5:C9"/>
    <mergeCell ref="A19:J24"/>
    <mergeCell ref="A10:A14"/>
    <mergeCell ref="B10:B14"/>
    <mergeCell ref="C10:C14"/>
    <mergeCell ref="A17:J17"/>
  </mergeCells>
  <pageMargins left="0.7" right="0.7" top="0.75" bottom="0.75" header="0.3" footer="0.3"/>
  <pageSetup scale="6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F519-838D-457C-92E2-C3824BBBB04F}">
  <sheetPr codeName="Hoja4"/>
  <dimension ref="A2:K40"/>
  <sheetViews>
    <sheetView showGridLines="0" view="pageBreakPreview" topLeftCell="A48" zoomScaleNormal="95" zoomScaleSheetLayoutView="100" workbookViewId="0">
      <selection activeCell="E83" sqref="E83"/>
    </sheetView>
  </sheetViews>
  <sheetFormatPr baseColWidth="10" defaultColWidth="11.42578125" defaultRowHeight="15" x14ac:dyDescent="0.25"/>
  <cols>
    <col min="1" max="1" width="22.7109375" customWidth="1"/>
    <col min="2" max="2" width="17.140625" customWidth="1"/>
    <col min="3" max="3" width="15.140625" customWidth="1"/>
    <col min="4" max="4" width="14.28515625" customWidth="1"/>
    <col min="5" max="5" width="16.28515625" customWidth="1"/>
    <col min="6" max="6" width="14.42578125" customWidth="1"/>
    <col min="7" max="7" width="14.7109375" customWidth="1"/>
    <col min="8" max="8" width="15.5703125" customWidth="1"/>
    <col min="9" max="10" width="15" customWidth="1"/>
    <col min="11" max="11" width="16.28515625" customWidth="1"/>
    <col min="12" max="12" width="13.42578125" customWidth="1"/>
    <col min="13" max="13" width="13.28515625" customWidth="1"/>
  </cols>
  <sheetData>
    <row r="2" spans="1:11" ht="18.75" x14ac:dyDescent="0.25">
      <c r="A2" s="442" t="s">
        <v>60</v>
      </c>
      <c r="B2" s="442"/>
      <c r="C2" s="442"/>
      <c r="D2" s="442"/>
      <c r="E2" s="442"/>
      <c r="F2" s="442"/>
      <c r="G2" s="442"/>
      <c r="H2" s="442"/>
      <c r="I2" s="442"/>
      <c r="J2" s="442"/>
      <c r="K2" s="442"/>
    </row>
    <row r="4" spans="1:11" x14ac:dyDescent="0.25">
      <c r="A4" s="443" t="str">
        <f>"PLANTACIONES AL "&amp;IF(ISNUMBER(Portada!$H$12),YEAR(Portada!$H$12),"")</f>
        <v xml:space="preserve">PLANTACIONES AL </v>
      </c>
      <c r="B4" s="443"/>
      <c r="C4" s="443"/>
      <c r="D4" s="443"/>
      <c r="E4" s="443"/>
      <c r="F4" s="443"/>
      <c r="G4" s="443"/>
      <c r="H4" s="443"/>
      <c r="I4" s="443"/>
      <c r="J4" s="443"/>
      <c r="K4" s="443"/>
    </row>
    <row r="5" spans="1:11" ht="7.15" customHeight="1" thickBot="1" x14ac:dyDescent="0.3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</row>
    <row r="6" spans="1:11" ht="45.6" customHeight="1" thickBot="1" x14ac:dyDescent="0.3">
      <c r="A6" s="169" t="s">
        <v>61</v>
      </c>
      <c r="B6" s="169" t="s">
        <v>62</v>
      </c>
      <c r="C6" s="170" t="s">
        <v>63</v>
      </c>
      <c r="D6" s="170" t="s">
        <v>170</v>
      </c>
      <c r="E6" s="170" t="s">
        <v>44</v>
      </c>
      <c r="F6" s="170" t="s">
        <v>64</v>
      </c>
      <c r="G6" s="170" t="s">
        <v>30</v>
      </c>
      <c r="H6" s="169" t="s">
        <v>123</v>
      </c>
      <c r="I6" s="170" t="s">
        <v>166</v>
      </c>
      <c r="J6" s="170" t="s">
        <v>686</v>
      </c>
      <c r="K6" s="170" t="s">
        <v>32</v>
      </c>
    </row>
    <row r="7" spans="1:11" x14ac:dyDescent="0.25">
      <c r="A7" s="168"/>
      <c r="B7" s="110"/>
      <c r="C7" s="110"/>
      <c r="D7" s="110"/>
      <c r="E7" s="166"/>
      <c r="F7" s="110"/>
      <c r="G7" s="110"/>
      <c r="H7" s="110"/>
      <c r="I7" s="167"/>
      <c r="J7" s="110"/>
      <c r="K7" s="110"/>
    </row>
    <row r="8" spans="1:11" x14ac:dyDescent="0.25">
      <c r="A8" s="164"/>
      <c r="B8" s="55"/>
      <c r="C8" s="55"/>
      <c r="D8" s="55"/>
      <c r="E8" s="164"/>
      <c r="F8" s="55"/>
      <c r="G8" s="163"/>
      <c r="H8" s="55"/>
      <c r="I8" s="55"/>
      <c r="J8" s="55"/>
      <c r="K8" s="55"/>
    </row>
    <row r="9" spans="1:11" ht="15.75" thickBot="1" x14ac:dyDescent="0.3">
      <c r="A9" s="165"/>
      <c r="B9" s="37"/>
      <c r="C9" s="37"/>
      <c r="D9" s="37"/>
      <c r="E9" s="165"/>
      <c r="F9" s="37"/>
      <c r="G9" s="38"/>
      <c r="H9" s="37"/>
      <c r="I9" s="37"/>
      <c r="J9" s="37"/>
      <c r="K9" s="37"/>
    </row>
    <row r="10" spans="1:11" ht="15.75" thickBot="1" x14ac:dyDescent="0.3">
      <c r="A10" s="541" t="s">
        <v>112</v>
      </c>
      <c r="B10" s="542"/>
      <c r="C10" s="542"/>
      <c r="D10" s="543"/>
      <c r="E10" s="162">
        <f>SUM(E7:E9)</f>
        <v>0</v>
      </c>
    </row>
    <row r="11" spans="1:11" x14ac:dyDescent="0.25">
      <c r="B11" s="21"/>
      <c r="C11" s="21"/>
      <c r="D11" s="21"/>
      <c r="E11" s="3"/>
    </row>
    <row r="12" spans="1:11" x14ac:dyDescent="0.25">
      <c r="A12" s="443" t="s">
        <v>65</v>
      </c>
      <c r="B12" s="443"/>
      <c r="C12" s="443"/>
      <c r="D12" s="443"/>
      <c r="E12" s="443"/>
      <c r="F12" s="443"/>
      <c r="G12" s="443"/>
      <c r="H12" s="443"/>
      <c r="I12" s="443"/>
      <c r="J12" s="443"/>
      <c r="K12" s="443"/>
    </row>
    <row r="13" spans="1:11" ht="6.4" customHeight="1" thickBot="1" x14ac:dyDescent="0.3">
      <c r="B13" s="3"/>
    </row>
    <row r="14" spans="1:11" ht="42.6" customHeight="1" thickBot="1" x14ac:dyDescent="0.3">
      <c r="A14" s="187" t="s">
        <v>171</v>
      </c>
      <c r="B14" s="187" t="s">
        <v>116</v>
      </c>
      <c r="C14" s="190" t="s">
        <v>122</v>
      </c>
      <c r="D14" s="191" t="s">
        <v>15</v>
      </c>
      <c r="E14" s="192" t="s">
        <v>66</v>
      </c>
      <c r="F14" s="193" t="s">
        <v>167</v>
      </c>
      <c r="G14" s="190" t="s">
        <v>168</v>
      </c>
      <c r="H14" s="190" t="s">
        <v>169</v>
      </c>
      <c r="I14" s="190" t="s">
        <v>172</v>
      </c>
      <c r="J14" s="192" t="s">
        <v>15</v>
      </c>
      <c r="K14" s="192" t="s">
        <v>173</v>
      </c>
    </row>
    <row r="15" spans="1:11" ht="15.75" thickBot="1" x14ac:dyDescent="0.3">
      <c r="A15" s="195" t="str" cm="1">
        <f t="array" ref="A15">IFERROR(INDEX(_xlfn.UNIQUE(_xlfn._xlws.FILTER($A$7:$A$9,$A$7:$A$9&lt;&gt;"")),ROWS($A$15:A15)),"")</f>
        <v/>
      </c>
      <c r="B15" s="172">
        <f>SUMIFS($E$7:$E$7,$A$7:$A$7,A15,$K$7:$K$7,$B$14)</f>
        <v>0</v>
      </c>
      <c r="C15" s="174">
        <f>SUMIFS($E$7:$E$7,$A$7:$A$7,A15,$K$7:$K$7,$C$14)</f>
        <v>0</v>
      </c>
      <c r="D15" s="176">
        <f>SUM(B15:C15)</f>
        <v>0</v>
      </c>
      <c r="E15" s="173" t="e">
        <f>D15/$D$16</f>
        <v>#DIV/0!</v>
      </c>
      <c r="F15" s="179">
        <f>SUMIFS($E$7:$E$7,$A$7:$A$7,A15,$I$7:$I$7,$F$14)</f>
        <v>0</v>
      </c>
      <c r="G15" s="142">
        <f>SUMIFS($E$7:$E$7,$A$7:$A$7,A15,$I$7:$I$7,$G$14)</f>
        <v>0</v>
      </c>
      <c r="H15" s="142">
        <f>SUMIFS($E$7:$E$7,$A$7:$A$7,A15,$I$7:$I$7,$H$14)</f>
        <v>0</v>
      </c>
      <c r="I15" s="142"/>
      <c r="J15" s="181">
        <f>SUM(F15:I15)</f>
        <v>0</v>
      </c>
      <c r="K15" s="173" t="e">
        <f>J15/$D$16</f>
        <v>#DIV/0!</v>
      </c>
    </row>
    <row r="16" spans="1:11" ht="15.75" thickBot="1" x14ac:dyDescent="0.3">
      <c r="A16" s="188" t="s">
        <v>67</v>
      </c>
      <c r="B16" s="171">
        <f>SUM(B15:B15)</f>
        <v>0</v>
      </c>
      <c r="C16" s="41">
        <f>SUM(C15:C15)</f>
        <v>0</v>
      </c>
      <c r="D16" s="177">
        <f>SUM(D15:D15)</f>
        <v>0</v>
      </c>
      <c r="E16" s="175" t="e">
        <f>SUM(E15:E15)</f>
        <v>#DIV/0!</v>
      </c>
      <c r="F16" s="180">
        <f>SUM(F15:F15)</f>
        <v>0</v>
      </c>
      <c r="G16" s="182">
        <f>SUM(G15:G15)</f>
        <v>0</v>
      </c>
      <c r="H16" s="182">
        <f>SUM(H15:H15)</f>
        <v>0</v>
      </c>
      <c r="I16" s="182">
        <f>SUM(I15:I15)</f>
        <v>0</v>
      </c>
      <c r="J16" s="183">
        <f>SUM(J15:J15)</f>
        <v>0</v>
      </c>
      <c r="K16" s="178" t="e">
        <f>SUM(K15:K15)</f>
        <v>#DIV/0!</v>
      </c>
    </row>
    <row r="17" spans="1:11" ht="15.75" thickBot="1" x14ac:dyDescent="0.3">
      <c r="A17" s="189" t="s">
        <v>68</v>
      </c>
      <c r="B17" s="73">
        <f>IFERROR(B16/$D$16,0)</f>
        <v>0</v>
      </c>
      <c r="C17" s="74">
        <f>IFERROR(C16/$D$16,0)</f>
        <v>0</v>
      </c>
      <c r="D17" s="74"/>
      <c r="E17" s="75"/>
      <c r="F17" s="184" t="e">
        <f>F16/$J$16</f>
        <v>#DIV/0!</v>
      </c>
      <c r="G17" s="185" t="e">
        <f t="shared" ref="G17:J17" si="0">G16/$J$16</f>
        <v>#DIV/0!</v>
      </c>
      <c r="H17" s="185" t="e">
        <f t="shared" si="0"/>
        <v>#DIV/0!</v>
      </c>
      <c r="I17" s="185" t="e">
        <f t="shared" si="0"/>
        <v>#DIV/0!</v>
      </c>
      <c r="J17" s="186" t="e">
        <f t="shared" si="0"/>
        <v>#DIV/0!</v>
      </c>
      <c r="K17" s="75"/>
    </row>
    <row r="18" spans="1:11" ht="15.75" thickBot="1" x14ac:dyDescent="0.3"/>
    <row r="19" spans="1:11" x14ac:dyDescent="0.25">
      <c r="A19" s="28" t="s">
        <v>113</v>
      </c>
      <c r="B19" s="29"/>
      <c r="C19" s="29"/>
      <c r="D19" s="29"/>
      <c r="E19" s="29"/>
      <c r="F19" s="29"/>
      <c r="G19" s="29"/>
      <c r="H19" s="29"/>
      <c r="I19" s="29"/>
      <c r="J19" s="29"/>
      <c r="K19" s="30"/>
    </row>
    <row r="20" spans="1:11" x14ac:dyDescent="0.25">
      <c r="A20" s="544"/>
      <c r="B20" s="486"/>
      <c r="C20" s="486"/>
      <c r="D20" s="486"/>
      <c r="E20" s="486"/>
      <c r="F20" s="486"/>
      <c r="G20" s="486"/>
      <c r="H20" s="486"/>
      <c r="I20" s="486"/>
      <c r="J20" s="486"/>
      <c r="K20" s="487"/>
    </row>
    <row r="21" spans="1:11" x14ac:dyDescent="0.25">
      <c r="A21" s="485"/>
      <c r="B21" s="486"/>
      <c r="C21" s="486"/>
      <c r="D21" s="486"/>
      <c r="E21" s="486"/>
      <c r="F21" s="486"/>
      <c r="G21" s="486"/>
      <c r="H21" s="486"/>
      <c r="I21" s="486"/>
      <c r="J21" s="486"/>
      <c r="K21" s="487"/>
    </row>
    <row r="22" spans="1:11" x14ac:dyDescent="0.25">
      <c r="A22" s="485"/>
      <c r="B22" s="486"/>
      <c r="C22" s="486"/>
      <c r="D22" s="486"/>
      <c r="E22" s="486"/>
      <c r="F22" s="486"/>
      <c r="G22" s="486"/>
      <c r="H22" s="486"/>
      <c r="I22" s="486"/>
      <c r="J22" s="486"/>
      <c r="K22" s="487"/>
    </row>
    <row r="23" spans="1:11" x14ac:dyDescent="0.25">
      <c r="A23" s="485"/>
      <c r="B23" s="486"/>
      <c r="C23" s="486"/>
      <c r="D23" s="486"/>
      <c r="E23" s="486"/>
      <c r="F23" s="486"/>
      <c r="G23" s="486"/>
      <c r="H23" s="486"/>
      <c r="I23" s="486"/>
      <c r="J23" s="486"/>
      <c r="K23" s="487"/>
    </row>
    <row r="24" spans="1:11" x14ac:dyDescent="0.25">
      <c r="A24" s="485"/>
      <c r="B24" s="486"/>
      <c r="C24" s="486"/>
      <c r="D24" s="486"/>
      <c r="E24" s="486"/>
      <c r="F24" s="486"/>
      <c r="G24" s="486"/>
      <c r="H24" s="486"/>
      <c r="I24" s="486"/>
      <c r="J24" s="486"/>
      <c r="K24" s="487"/>
    </row>
    <row r="25" spans="1:11" x14ac:dyDescent="0.25">
      <c r="A25" s="485"/>
      <c r="B25" s="486"/>
      <c r="C25" s="486"/>
      <c r="D25" s="486"/>
      <c r="E25" s="486"/>
      <c r="F25" s="486"/>
      <c r="G25" s="486"/>
      <c r="H25" s="486"/>
      <c r="I25" s="486"/>
      <c r="J25" s="486"/>
      <c r="K25" s="487"/>
    </row>
    <row r="26" spans="1:11" x14ac:dyDescent="0.25">
      <c r="A26" s="485"/>
      <c r="B26" s="486"/>
      <c r="C26" s="486"/>
      <c r="D26" s="486"/>
      <c r="E26" s="486"/>
      <c r="F26" s="486"/>
      <c r="G26" s="486"/>
      <c r="H26" s="486"/>
      <c r="I26" s="486"/>
      <c r="J26" s="486"/>
      <c r="K26" s="487"/>
    </row>
    <row r="27" spans="1:11" x14ac:dyDescent="0.25">
      <c r="A27" s="485"/>
      <c r="B27" s="486"/>
      <c r="C27" s="486"/>
      <c r="D27" s="486"/>
      <c r="E27" s="486"/>
      <c r="F27" s="486"/>
      <c r="G27" s="486"/>
      <c r="H27" s="486"/>
      <c r="I27" s="486"/>
      <c r="J27" s="486"/>
      <c r="K27" s="487"/>
    </row>
    <row r="28" spans="1:11" ht="15.75" thickBot="1" x14ac:dyDescent="0.3">
      <c r="A28" s="488"/>
      <c r="B28" s="489"/>
      <c r="C28" s="489"/>
      <c r="D28" s="489"/>
      <c r="E28" s="489"/>
      <c r="F28" s="489"/>
      <c r="G28" s="489"/>
      <c r="H28" s="489"/>
      <c r="I28" s="489"/>
      <c r="J28" s="489"/>
      <c r="K28" s="490"/>
    </row>
    <row r="30" spans="1:11" x14ac:dyDescent="0.25">
      <c r="A30" s="443" t="s">
        <v>175</v>
      </c>
      <c r="B30" s="443"/>
      <c r="C30" s="443"/>
      <c r="D30" s="443"/>
      <c r="E30" s="443"/>
      <c r="F30" s="443"/>
      <c r="G30" s="443"/>
      <c r="H30" s="443"/>
      <c r="I30" s="443"/>
      <c r="J30" s="443"/>
      <c r="K30" s="443"/>
    </row>
    <row r="31" spans="1:11" ht="9.4" customHeight="1" thickBot="1" x14ac:dyDescent="0.3">
      <c r="B31" s="3"/>
    </row>
    <row r="32" spans="1:11" ht="45.75" thickBot="1" x14ac:dyDescent="0.3">
      <c r="A32" s="169" t="s">
        <v>61</v>
      </c>
      <c r="B32" s="193" t="s">
        <v>69</v>
      </c>
      <c r="C32" s="190" t="s">
        <v>70</v>
      </c>
      <c r="D32" s="190" t="s">
        <v>71</v>
      </c>
      <c r="E32" s="190" t="s">
        <v>180</v>
      </c>
      <c r="F32" s="190" t="s">
        <v>72</v>
      </c>
      <c r="G32" s="190" t="s">
        <v>181</v>
      </c>
      <c r="H32" s="190" t="s">
        <v>73</v>
      </c>
      <c r="I32" s="190" t="s">
        <v>74</v>
      </c>
      <c r="J32" s="194" t="s">
        <v>174</v>
      </c>
      <c r="K32" s="192" t="s">
        <v>75</v>
      </c>
    </row>
    <row r="33" spans="1:11" x14ac:dyDescent="0.25">
      <c r="A33" s="196" t="str">
        <f>A15</f>
        <v/>
      </c>
      <c r="B33" s="124"/>
      <c r="C33" s="125"/>
      <c r="D33" s="125"/>
      <c r="E33" s="198" t="e">
        <f>SUMIFS($E$7:$E$7,$A$7:$A$7,A33,$D$7:$D$7,"Sí")/$D$15</f>
        <v>#DIV/0!</v>
      </c>
      <c r="F33" s="125"/>
      <c r="G33" s="125"/>
      <c r="H33" s="125"/>
      <c r="I33" s="125"/>
      <c r="J33" s="126"/>
      <c r="K33" s="129"/>
    </row>
    <row r="34" spans="1:11" ht="15.75" thickBot="1" x14ac:dyDescent="0.3">
      <c r="A34" s="37"/>
      <c r="B34" s="19"/>
      <c r="C34" s="36"/>
      <c r="D34" s="36"/>
      <c r="E34" s="36"/>
      <c r="F34" s="36"/>
      <c r="G34" s="36"/>
      <c r="H34" s="36"/>
      <c r="I34" s="36"/>
      <c r="J34" s="40"/>
      <c r="K34" s="394"/>
    </row>
    <row r="36" spans="1:11" x14ac:dyDescent="0.25">
      <c r="A36" s="443" t="s">
        <v>76</v>
      </c>
      <c r="B36" s="443"/>
      <c r="C36" s="443"/>
      <c r="D36" s="443"/>
      <c r="E36" s="443"/>
      <c r="F36" s="443"/>
      <c r="G36" s="443"/>
      <c r="H36" s="443"/>
      <c r="I36" s="443"/>
      <c r="J36" s="443"/>
      <c r="K36" s="443"/>
    </row>
    <row r="37" spans="1:11" ht="10.15" customHeight="1" thickBot="1" x14ac:dyDescent="0.3">
      <c r="B37" s="3"/>
    </row>
    <row r="38" spans="1:11" ht="29.65" customHeight="1" thickBot="1" x14ac:dyDescent="0.3">
      <c r="A38" s="169" t="s">
        <v>61</v>
      </c>
      <c r="B38" s="193" t="s">
        <v>176</v>
      </c>
      <c r="C38" s="534" t="s">
        <v>177</v>
      </c>
      <c r="D38" s="540"/>
      <c r="E38" s="190" t="s">
        <v>184</v>
      </c>
      <c r="F38" s="534" t="s">
        <v>185</v>
      </c>
      <c r="G38" s="535"/>
      <c r="H38" s="190" t="s">
        <v>182</v>
      </c>
      <c r="I38" s="190" t="s">
        <v>183</v>
      </c>
      <c r="J38" s="190" t="s">
        <v>179</v>
      </c>
      <c r="K38" s="192" t="s">
        <v>178</v>
      </c>
    </row>
    <row r="39" spans="1:11" x14ac:dyDescent="0.25">
      <c r="A39" s="197" t="str">
        <f>A33</f>
        <v/>
      </c>
      <c r="B39" s="139"/>
      <c r="C39" s="536"/>
      <c r="D39" s="537"/>
      <c r="E39" s="103"/>
      <c r="F39" s="536"/>
      <c r="G39" s="537"/>
      <c r="H39" s="103"/>
      <c r="I39" s="103"/>
      <c r="J39" s="94"/>
      <c r="K39" s="138"/>
    </row>
    <row r="40" spans="1:11" ht="15.75" thickBot="1" x14ac:dyDescent="0.3">
      <c r="A40" s="37"/>
      <c r="B40" s="81"/>
      <c r="C40" s="538"/>
      <c r="D40" s="539"/>
      <c r="E40" s="36"/>
      <c r="F40" s="538"/>
      <c r="G40" s="539"/>
      <c r="H40" s="36"/>
      <c r="I40" s="102"/>
      <c r="J40" s="96"/>
      <c r="K40" s="130"/>
    </row>
  </sheetData>
  <mergeCells count="13">
    <mergeCell ref="A36:K36"/>
    <mergeCell ref="A10:D10"/>
    <mergeCell ref="A2:K2"/>
    <mergeCell ref="A4:K4"/>
    <mergeCell ref="A12:K12"/>
    <mergeCell ref="A30:K30"/>
    <mergeCell ref="A20:K28"/>
    <mergeCell ref="C40:D40"/>
    <mergeCell ref="C38:D38"/>
    <mergeCell ref="C39:D39"/>
    <mergeCell ref="F38:G38"/>
    <mergeCell ref="F39:G39"/>
    <mergeCell ref="F40:G40"/>
  </mergeCells>
  <dataValidations count="11">
    <dataValidation type="list" allowBlank="1" showInputMessage="1" showErrorMessage="1" sqref="D7" xr:uid="{35CAC93C-7341-42D2-9C9E-A1792C1775B7}">
      <formula1>"Sí, No"</formula1>
    </dataValidation>
    <dataValidation type="list" allowBlank="1" showInputMessage="1" showErrorMessage="1" sqref="I7" xr:uid="{988C5769-7835-44FE-A0E3-DE134698588C}">
      <mc:AlternateContent xmlns:x12ac="http://schemas.microsoft.com/office/spreadsheetml/2011/1/ac" xmlns:mc="http://schemas.openxmlformats.org/markup-compatibility/2006">
        <mc:Choice Requires="x12ac">
          <x12ac:list>"Plena, Creciente, Formación"</x12ac:list>
        </mc:Choice>
        <mc:Fallback>
          <formula1>"Plena, Creciente, Formación"</formula1>
        </mc:Fallback>
      </mc:AlternateContent>
    </dataValidation>
    <dataValidation type="list" allowBlank="1" showInputMessage="1" showErrorMessage="1" sqref="B39" xr:uid="{8CF60745-B511-476E-816E-03F825C31C20}">
      <formula1>"Exportación, Mercado Interno, Industria"</formula1>
    </dataValidation>
    <dataValidation type="list" allowBlank="1" showInputMessage="1" showErrorMessage="1" sqref="E39" xr:uid="{A44EE4CA-AA59-4FEA-88C3-587C0D8ACE05}">
      <formula1>"Consignación, Venta firme, Contrato, Spot"</formula1>
    </dataValidation>
    <dataValidation type="list" allowBlank="1" showInputMessage="1" showErrorMessage="1" sqref="G33 F33:F34" xr:uid="{937C4DC1-0F23-4A67-A451-61EEB7143228}">
      <formula1>"100%, Parcialmente, No"</formula1>
    </dataValidation>
    <dataValidation type="list" allowBlank="1" showInputMessage="1" showErrorMessage="1" sqref="H33:I33 K33" xr:uid="{144FC2C1-1BAF-4812-9F1B-294AD09B1BBB}">
      <formula1>"Alto, Medio, Bajo"</formula1>
    </dataValidation>
    <dataValidation type="list" allowBlank="1" showInputMessage="1" showErrorMessage="1" sqref="H39:H40" xr:uid="{65A775CB-80A6-4B82-9679-720A1F5BAD59}">
      <formula1>"Propio, Tercerizado, Relacionado, no aplica"</formula1>
    </dataValidation>
    <dataValidation type="list" allowBlank="1" showInputMessage="1" showErrorMessage="1" sqref="I39:I40" xr:uid="{90AB94A7-431E-4911-A0EB-336A131299AF}">
      <formula1>"Directa, Tercerizada, Relacionada, No aplica"</formula1>
    </dataValidation>
    <dataValidation type="list" allowBlank="1" showInputMessage="1" showErrorMessage="1" sqref="C33:C34" xr:uid="{782E7453-F569-4B12-902B-778B0D6A4485}">
      <formula1>"Alta, Media, Baja"</formula1>
    </dataValidation>
    <dataValidation type="list" allowBlank="1" showInputMessage="1" showErrorMessage="1" sqref="D33:D34" xr:uid="{3A7766B1-F829-4A5A-8E36-8E9332590A1E}">
      <formula1>"Presurizado, Gravitacional, Sin riego"</formula1>
    </dataValidation>
    <dataValidation type="list" allowBlank="1" showInputMessage="1" showErrorMessage="1" sqref="J33:J34" xr:uid="{6672A58A-710F-40FA-9897-009F500E04B3}">
      <formula1>"Bueno, Regular, Malo"</formula1>
    </dataValidation>
  </dataValidations>
  <pageMargins left="0.7" right="0.7" top="0.75" bottom="0.75" header="0.3" footer="0.3"/>
  <pageSetup scale="5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F89FC-B33F-4AFD-932A-8B5C2311636A}">
  <sheetPr codeName="Hoja5">
    <pageSetUpPr fitToPage="1"/>
  </sheetPr>
  <dimension ref="A2:M91"/>
  <sheetViews>
    <sheetView showGridLines="0" view="pageBreakPreview" topLeftCell="A355" zoomScaleNormal="85" zoomScaleSheetLayoutView="100" workbookViewId="0">
      <selection activeCell="D313" sqref="A313:XFD313"/>
    </sheetView>
  </sheetViews>
  <sheetFormatPr baseColWidth="10" defaultColWidth="11.42578125" defaultRowHeight="15" x14ac:dyDescent="0.25"/>
  <cols>
    <col min="1" max="1" width="11.85546875" customWidth="1"/>
    <col min="2" max="2" width="14" customWidth="1"/>
    <col min="3" max="3" width="10.28515625" customWidth="1"/>
  </cols>
  <sheetData>
    <row r="2" spans="1:13" ht="15.75" thickBot="1" x14ac:dyDescent="0.3">
      <c r="A2" s="567" t="s">
        <v>77</v>
      </c>
      <c r="B2" s="567"/>
      <c r="C2" s="567"/>
      <c r="D2" s="567"/>
      <c r="E2" s="567"/>
      <c r="F2" s="567"/>
      <c r="G2" s="567"/>
      <c r="H2" s="567"/>
      <c r="I2" s="567"/>
      <c r="J2" s="567"/>
      <c r="K2" s="567"/>
      <c r="L2" s="567"/>
      <c r="M2" s="567"/>
    </row>
    <row r="3" spans="1:13" x14ac:dyDescent="0.25">
      <c r="A3" s="3" t="s">
        <v>78</v>
      </c>
      <c r="B3" s="3"/>
      <c r="C3" s="3" t="s">
        <v>79</v>
      </c>
      <c r="D3" s="118" t="str">
        <f>D7</f>
        <v/>
      </c>
      <c r="E3" s="114" t="str">
        <f>IF($E$7="","",$E$7)</f>
        <v/>
      </c>
      <c r="F3" s="114" t="s">
        <v>106</v>
      </c>
    </row>
    <row r="4" spans="1:13" ht="15.75" thickBot="1" x14ac:dyDescent="0.3">
      <c r="D4" s="256"/>
      <c r="E4" s="257">
        <f>'Anexo 1 Resultado'!F3</f>
        <v>0</v>
      </c>
      <c r="F4" s="257"/>
    </row>
    <row r="5" spans="1:13" ht="15.75" thickBot="1" x14ac:dyDescent="0.3"/>
    <row r="6" spans="1:13" ht="18" customHeight="1" thickBot="1" x14ac:dyDescent="0.3">
      <c r="B6" s="4"/>
      <c r="C6" s="4"/>
      <c r="D6" s="552" t="s">
        <v>689</v>
      </c>
      <c r="E6" s="553"/>
      <c r="F6" s="552" t="s">
        <v>106</v>
      </c>
      <c r="G6" s="554"/>
      <c r="H6" s="554"/>
      <c r="I6" s="554"/>
      <c r="J6" s="554"/>
      <c r="K6" s="554"/>
      <c r="L6" s="554"/>
      <c r="M6" s="553"/>
    </row>
    <row r="7" spans="1:13" ht="18.600000000000001" customHeight="1" thickBot="1" x14ac:dyDescent="0.3">
      <c r="A7" s="104" t="s">
        <v>186</v>
      </c>
      <c r="B7" s="105" t="s">
        <v>62</v>
      </c>
      <c r="C7" s="105" t="s">
        <v>117</v>
      </c>
      <c r="D7" s="11" t="str">
        <f>IF($E$7="","",(LEFT($E$7,4)-1)&amp;"/"&amp;RIGHT(LEFT($E$7,4),2))</f>
        <v/>
      </c>
      <c r="E7" s="12"/>
      <c r="F7" s="210" t="str">
        <f>IF($E$7="","",(LEFT($E$7,4)+1)&amp;"/"&amp;RIGHT(LEFT($E$7,4)+2,2))</f>
        <v/>
      </c>
      <c r="G7" s="13" t="str">
        <f>IF($E$7="","",(LEFT($E$7,4)+2)&amp;"/"&amp;RIGHT(LEFT($E$7,4)+3,2))</f>
        <v/>
      </c>
      <c r="H7" s="13" t="str">
        <f>IF($E$7="","",(LEFT($E$7,4)+3)&amp;"/"&amp;RIGHT(LEFT($E$7,4)+4,2))</f>
        <v/>
      </c>
      <c r="I7" s="13" t="str">
        <f>IF($E$7="","",(LEFT($E$7,4)+4)&amp;"/"&amp;RIGHT(LEFT($E$7,4)+5,2))</f>
        <v/>
      </c>
      <c r="J7" s="13" t="str">
        <f>IF($E$7="","",(LEFT($E$7,4)+5)&amp;"/"&amp;RIGHT(LEFT($E$7,4)+6,2))</f>
        <v/>
      </c>
      <c r="K7" s="13" t="str">
        <f>IF($E$7="","",(LEFT($E$7,4)+6)&amp;"/"&amp;RIGHT(LEFT($E$7,4)+7,2))</f>
        <v/>
      </c>
      <c r="L7" s="13" t="str">
        <f>IF($E$7="","",(LEFT($E$7,4)+7)&amp;"/"&amp;RIGHT(LEFT($E$7,4)+8,2))</f>
        <v/>
      </c>
      <c r="M7" s="12" t="str">
        <f>IF($E$7="","",(LEFT($E$7,4)+8)&amp;"/"&amp;RIGHT(LEFT($E$7,4)+9,2))</f>
        <v/>
      </c>
    </row>
    <row r="8" spans="1:13" x14ac:dyDescent="0.25">
      <c r="A8" s="218">
        <f>Plantaciones!A7</f>
        <v>0</v>
      </c>
      <c r="B8" s="219">
        <f>Plantaciones!B7</f>
        <v>0</v>
      </c>
      <c r="C8" s="93">
        <f>Plantaciones!C7</f>
        <v>0</v>
      </c>
      <c r="D8" s="14"/>
      <c r="E8" s="7"/>
      <c r="F8" s="220"/>
      <c r="G8" s="221"/>
      <c r="H8" s="221"/>
      <c r="I8" s="221"/>
      <c r="J8" s="221"/>
      <c r="K8" s="221"/>
      <c r="L8" s="221"/>
      <c r="M8" s="222"/>
    </row>
    <row r="9" spans="1:13" x14ac:dyDescent="0.25">
      <c r="A9" s="64" t="s">
        <v>44</v>
      </c>
      <c r="B9" s="65"/>
      <c r="C9" s="215"/>
      <c r="D9" s="15"/>
      <c r="E9" s="8"/>
      <c r="F9" s="199">
        <f>Plantaciones!E7</f>
        <v>0</v>
      </c>
      <c r="G9" s="200">
        <f>F9</f>
        <v>0</v>
      </c>
      <c r="H9" s="6">
        <f t="shared" ref="H9:M9" si="0">G9</f>
        <v>0</v>
      </c>
      <c r="I9" s="6">
        <f t="shared" si="0"/>
        <v>0</v>
      </c>
      <c r="J9" s="6">
        <f t="shared" si="0"/>
        <v>0</v>
      </c>
      <c r="K9" s="6">
        <f t="shared" si="0"/>
        <v>0</v>
      </c>
      <c r="L9" s="6">
        <f t="shared" si="0"/>
        <v>0</v>
      </c>
      <c r="M9" s="8">
        <f t="shared" si="0"/>
        <v>0</v>
      </c>
    </row>
    <row r="10" spans="1:13" x14ac:dyDescent="0.25">
      <c r="A10" s="16" t="s">
        <v>80</v>
      </c>
      <c r="C10" s="17"/>
      <c r="D10" s="2"/>
      <c r="E10" s="10"/>
      <c r="F10" s="354">
        <f>Supuestos!$F$24*(1+Supuestos!$B$5)</f>
        <v>0</v>
      </c>
      <c r="G10" s="227">
        <f>Supuestos!$G$24*(1+Supuestos!$B$5)</f>
        <v>0</v>
      </c>
      <c r="H10" s="227">
        <f>Supuestos!$G$24*(1+Supuestos!$B$5)</f>
        <v>0</v>
      </c>
      <c r="I10" s="227">
        <f>Supuestos!$G$24*(1+Supuestos!$B$5)</f>
        <v>0</v>
      </c>
      <c r="J10" s="227">
        <f>Supuestos!$G$24*(1+Supuestos!$B$5)</f>
        <v>0</v>
      </c>
      <c r="K10" s="227">
        <f>Supuestos!$G$24*(1+Supuestos!$B$5)</f>
        <v>0</v>
      </c>
      <c r="L10" s="227">
        <f>Supuestos!$G$24*(1+Supuestos!$B$5)</f>
        <v>0</v>
      </c>
      <c r="M10" s="228">
        <f>Supuestos!$G$24*(1+Supuestos!$B$5)</f>
        <v>0</v>
      </c>
    </row>
    <row r="11" spans="1:13" x14ac:dyDescent="0.25">
      <c r="A11" s="16" t="s">
        <v>81</v>
      </c>
      <c r="C11" s="17"/>
      <c r="D11" s="2"/>
      <c r="E11" s="10"/>
      <c r="F11" s="354">
        <f>Supuestos!$H$24*(1+Supuestos!$B$6)</f>
        <v>0</v>
      </c>
      <c r="G11" s="227">
        <f>Supuestos!$H$24*(1+Supuestos!$B$6)</f>
        <v>0</v>
      </c>
      <c r="H11" s="227">
        <f>Supuestos!$H$24*(1+Supuestos!$B$6)</f>
        <v>0</v>
      </c>
      <c r="I11" s="227">
        <f>Supuestos!$H$24*(1+Supuestos!$B$6)</f>
        <v>0</v>
      </c>
      <c r="J11" s="227">
        <f>Supuestos!$H$24*(1+Supuestos!$B$6)</f>
        <v>0</v>
      </c>
      <c r="K11" s="227">
        <f>Supuestos!$H$24*(1+Supuestos!$B$6)</f>
        <v>0</v>
      </c>
      <c r="L11" s="227">
        <f>Supuestos!$H$24*(1+Supuestos!$B$6)</f>
        <v>0</v>
      </c>
      <c r="M11" s="228">
        <f>Supuestos!$H$24*(1+Supuestos!$B$6)</f>
        <v>0</v>
      </c>
    </row>
    <row r="12" spans="1:13" x14ac:dyDescent="0.25">
      <c r="A12" s="16" t="s">
        <v>82</v>
      </c>
      <c r="C12" s="17"/>
      <c r="D12" s="2"/>
      <c r="E12" s="10"/>
      <c r="F12" s="355">
        <f>Supuestos!K24*(1+Supuestos!$B$7)</f>
        <v>0</v>
      </c>
      <c r="G12" s="356">
        <f>Supuestos!L24*(1+Supuestos!$B$7)</f>
        <v>0</v>
      </c>
      <c r="H12" s="356">
        <f>Supuestos!M24*(1+Supuestos!$B$7)</f>
        <v>0</v>
      </c>
      <c r="I12" s="356">
        <f>Supuestos!N24*(1+Supuestos!$B$7)</f>
        <v>0</v>
      </c>
      <c r="J12" s="356">
        <f>Supuestos!O24*(1+Supuestos!$B$7)</f>
        <v>0</v>
      </c>
      <c r="K12" s="356">
        <f>Supuestos!P24*(1+Supuestos!$B$7)</f>
        <v>0</v>
      </c>
      <c r="L12" s="356">
        <f>Supuestos!Q24*(1+Supuestos!$B$7)</f>
        <v>0</v>
      </c>
      <c r="M12" s="357">
        <f>Supuestos!R24*(1+Supuestos!$B$7)</f>
        <v>0</v>
      </c>
    </row>
    <row r="13" spans="1:13" x14ac:dyDescent="0.25">
      <c r="A13" s="16" t="s">
        <v>83</v>
      </c>
      <c r="C13" s="17"/>
      <c r="D13" s="2"/>
      <c r="E13" s="10"/>
      <c r="F13" s="351">
        <f>Supuestos!$E$24</f>
        <v>0</v>
      </c>
      <c r="G13" s="352">
        <f>Supuestos!$E$24</f>
        <v>0</v>
      </c>
      <c r="H13" s="352">
        <f>Supuestos!$E$24</f>
        <v>0</v>
      </c>
      <c r="I13" s="352">
        <f>Supuestos!$E$24</f>
        <v>0</v>
      </c>
      <c r="J13" s="352">
        <f>Supuestos!$E$24</f>
        <v>0</v>
      </c>
      <c r="K13" s="352">
        <f>Supuestos!$E$24</f>
        <v>0</v>
      </c>
      <c r="L13" s="352">
        <f>Supuestos!$E$24</f>
        <v>0</v>
      </c>
      <c r="M13" s="353">
        <f>Supuestos!$E$24</f>
        <v>0</v>
      </c>
    </row>
    <row r="14" spans="1:13" x14ac:dyDescent="0.25">
      <c r="A14" s="16" t="s">
        <v>84</v>
      </c>
      <c r="C14" s="17"/>
      <c r="D14" s="2"/>
      <c r="E14" s="10"/>
      <c r="F14" s="355">
        <f>IF(ISNUMBER(Supuestos!$S$24),Supuestos!$S$24,(Supuestos!$I$24+Supuestos!$J$24*F12))*(1+Supuestos!$B$8)</f>
        <v>0</v>
      </c>
      <c r="G14" s="356">
        <f>IF(ISNUMBER(Supuestos!$T$24),Supuestos!$T$24,(Supuestos!$I$24+Supuestos!$J$24*G12))*(1+Supuestos!$B$8)</f>
        <v>0</v>
      </c>
      <c r="H14" s="356">
        <f>IF(ISNUMBER(Supuestos!$U$24),Supuestos!$U$24+N(Supuestos!$V$24)*H12,(Supuestos!$I$24+Supuestos!$J$24*H12))*(1+Supuestos!$B$8)</f>
        <v>0</v>
      </c>
      <c r="I14" s="356">
        <f>(Supuestos!$I$24+Supuestos!$J$24*I12)*(1+Supuestos!$B$8)</f>
        <v>0</v>
      </c>
      <c r="J14" s="356">
        <f>(Supuestos!$I$24+Supuestos!$J$24*J12)*(1+Supuestos!$B$8)</f>
        <v>0</v>
      </c>
      <c r="K14" s="356">
        <f>(Supuestos!$I$24+Supuestos!$J$24*K12)*(1+Supuestos!$B$8)</f>
        <v>0</v>
      </c>
      <c r="L14" s="356">
        <f>(Supuestos!$I$24+Supuestos!$J$24*L12)*(1+Supuestos!$B$8)</f>
        <v>0</v>
      </c>
      <c r="M14" s="357">
        <f>(Supuestos!$I$24+Supuestos!$J$24*M12)*(1+Supuestos!$B$8)</f>
        <v>0</v>
      </c>
    </row>
    <row r="15" spans="1:13" x14ac:dyDescent="0.25">
      <c r="A15" s="16" t="s">
        <v>85</v>
      </c>
      <c r="C15" s="17"/>
      <c r="D15" s="201">
        <f t="shared" ref="D15:E15" si="1">D9*D12</f>
        <v>0</v>
      </c>
      <c r="E15" s="212">
        <f t="shared" si="1"/>
        <v>0</v>
      </c>
      <c r="F15" s="201">
        <f t="shared" ref="F15:M15" si="2">F9*F12</f>
        <v>0</v>
      </c>
      <c r="G15" s="202">
        <f t="shared" si="2"/>
        <v>0</v>
      </c>
      <c r="H15" s="202">
        <f t="shared" si="2"/>
        <v>0</v>
      </c>
      <c r="I15" s="202">
        <f t="shared" si="2"/>
        <v>0</v>
      </c>
      <c r="J15" s="202">
        <f t="shared" si="2"/>
        <v>0</v>
      </c>
      <c r="K15" s="202">
        <f t="shared" si="2"/>
        <v>0</v>
      </c>
      <c r="L15" s="202">
        <f t="shared" si="2"/>
        <v>0</v>
      </c>
      <c r="M15" s="203">
        <f t="shared" si="2"/>
        <v>0</v>
      </c>
    </row>
    <row r="16" spans="1:13" x14ac:dyDescent="0.25">
      <c r="A16" s="62" t="s">
        <v>86</v>
      </c>
      <c r="B16" s="63"/>
      <c r="C16" s="216"/>
      <c r="D16" s="204">
        <f t="shared" ref="D16:E16" si="3">D15*D13*D10</f>
        <v>0</v>
      </c>
      <c r="E16" s="213">
        <f t="shared" si="3"/>
        <v>0</v>
      </c>
      <c r="F16" s="204">
        <f t="shared" ref="F16:M16" si="4">F15*F13*F10</f>
        <v>0</v>
      </c>
      <c r="G16" s="205">
        <f t="shared" si="4"/>
        <v>0</v>
      </c>
      <c r="H16" s="205">
        <f t="shared" si="4"/>
        <v>0</v>
      </c>
      <c r="I16" s="205">
        <f t="shared" si="4"/>
        <v>0</v>
      </c>
      <c r="J16" s="205">
        <f t="shared" si="4"/>
        <v>0</v>
      </c>
      <c r="K16" s="205">
        <f t="shared" si="4"/>
        <v>0</v>
      </c>
      <c r="L16" s="205">
        <f t="shared" si="4"/>
        <v>0</v>
      </c>
      <c r="M16" s="206">
        <f t="shared" si="4"/>
        <v>0</v>
      </c>
    </row>
    <row r="17" spans="1:13" ht="15.75" thickBot="1" x14ac:dyDescent="0.3">
      <c r="A17" s="60" t="s">
        <v>87</v>
      </c>
      <c r="B17" s="61"/>
      <c r="C17" s="217"/>
      <c r="D17" s="207">
        <f t="shared" ref="D17:E17" si="5">D15*(1-D13)*D11</f>
        <v>0</v>
      </c>
      <c r="E17" s="214">
        <f t="shared" si="5"/>
        <v>0</v>
      </c>
      <c r="F17" s="207">
        <f t="shared" ref="F17:M17" si="6">F15*(1-F13)*F11</f>
        <v>0</v>
      </c>
      <c r="G17" s="208">
        <f t="shared" si="6"/>
        <v>0</v>
      </c>
      <c r="H17" s="208">
        <f t="shared" si="6"/>
        <v>0</v>
      </c>
      <c r="I17" s="208">
        <f t="shared" si="6"/>
        <v>0</v>
      </c>
      <c r="J17" s="208">
        <f t="shared" si="6"/>
        <v>0</v>
      </c>
      <c r="K17" s="208">
        <f t="shared" si="6"/>
        <v>0</v>
      </c>
      <c r="L17" s="208">
        <f t="shared" si="6"/>
        <v>0</v>
      </c>
      <c r="M17" s="209">
        <f t="shared" si="6"/>
        <v>0</v>
      </c>
    </row>
    <row r="18" spans="1:13" x14ac:dyDescent="0.25">
      <c r="A18" s="65"/>
      <c r="B18" s="65"/>
      <c r="C18" s="65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65"/>
      <c r="B19" s="65"/>
      <c r="C19" s="65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25">
      <c r="A20" s="65"/>
      <c r="B20" s="65"/>
      <c r="C20" s="65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5.75" thickBot="1" x14ac:dyDescent="0.3"/>
    <row r="22" spans="1:13" ht="15.75" thickBot="1" x14ac:dyDescent="0.3">
      <c r="A22" s="571" t="s">
        <v>88</v>
      </c>
      <c r="B22" s="572"/>
      <c r="C22" s="573"/>
      <c r="D22" s="552" t="s">
        <v>689</v>
      </c>
      <c r="E22" s="553"/>
      <c r="F22" s="552" t="s">
        <v>106</v>
      </c>
      <c r="G22" s="554"/>
      <c r="H22" s="554"/>
      <c r="I22" s="554"/>
      <c r="J22" s="554"/>
      <c r="K22" s="554"/>
      <c r="L22" s="554"/>
      <c r="M22" s="553"/>
    </row>
    <row r="23" spans="1:13" ht="15.75" thickBot="1" x14ac:dyDescent="0.3">
      <c r="A23" s="574"/>
      <c r="B23" s="575"/>
      <c r="C23" s="576"/>
      <c r="D23" s="11" t="str">
        <f>D$7</f>
        <v/>
      </c>
      <c r="E23" s="12" t="str">
        <f>IF($E$7="","",$E$7)</f>
        <v/>
      </c>
      <c r="F23" s="11" t="str">
        <f>F$7</f>
        <v/>
      </c>
      <c r="G23" s="13" t="str">
        <f>G$7</f>
        <v/>
      </c>
      <c r="H23" s="13" t="str">
        <f>H$7</f>
        <v/>
      </c>
      <c r="I23" s="13" t="str">
        <f>I$7</f>
        <v/>
      </c>
      <c r="J23" s="13" t="str">
        <f>J$7</f>
        <v/>
      </c>
      <c r="K23" s="13" t="str">
        <f>K$7</f>
        <v/>
      </c>
      <c r="L23" s="13" t="str">
        <f>L$7</f>
        <v/>
      </c>
      <c r="M23" s="12" t="str">
        <f>M$7</f>
        <v/>
      </c>
    </row>
    <row r="24" spans="1:13" x14ac:dyDescent="0.25">
      <c r="A24" s="568" t="s">
        <v>44</v>
      </c>
      <c r="B24" s="569"/>
      <c r="C24" s="570"/>
      <c r="D24" s="238">
        <f>SUM(D25:D25)</f>
        <v>0</v>
      </c>
      <c r="E24" s="335">
        <f>SUM(E25:E25)</f>
        <v>0</v>
      </c>
      <c r="F24" s="223">
        <f>SUM(F25:F25)</f>
        <v>0</v>
      </c>
      <c r="G24" s="224">
        <f>SUM(G25:G25)</f>
        <v>0</v>
      </c>
      <c r="H24" s="224">
        <f>SUM(H25:H25)</f>
        <v>0</v>
      </c>
      <c r="I24" s="224">
        <f>SUM(I25:I25)</f>
        <v>0</v>
      </c>
      <c r="J24" s="224">
        <f>SUM(J25:J25)</f>
        <v>0</v>
      </c>
      <c r="K24" s="224">
        <f>SUM(K25:K25)</f>
        <v>0</v>
      </c>
      <c r="L24" s="224">
        <f>SUM(L25:L25)</f>
        <v>0</v>
      </c>
      <c r="M24" s="225">
        <f>SUM(M25:M25)</f>
        <v>0</v>
      </c>
    </row>
    <row r="25" spans="1:13" x14ac:dyDescent="0.25">
      <c r="A25" s="9"/>
      <c r="B25" s="5"/>
      <c r="C25" s="22"/>
      <c r="D25" s="211">
        <f>D9</f>
        <v>0</v>
      </c>
      <c r="E25" s="334">
        <f>F25</f>
        <v>0</v>
      </c>
      <c r="F25" s="226">
        <f>F9</f>
        <v>0</v>
      </c>
      <c r="G25" s="227">
        <f>G9</f>
        <v>0</v>
      </c>
      <c r="H25" s="227">
        <f>H9</f>
        <v>0</v>
      </c>
      <c r="I25" s="227">
        <f>I9</f>
        <v>0</v>
      </c>
      <c r="J25" s="227">
        <f>J9</f>
        <v>0</v>
      </c>
      <c r="K25" s="227">
        <f>K9</f>
        <v>0</v>
      </c>
      <c r="L25" s="227">
        <f>L9</f>
        <v>0</v>
      </c>
      <c r="M25" s="228">
        <f>M9</f>
        <v>0</v>
      </c>
    </row>
    <row r="26" spans="1:13" x14ac:dyDescent="0.25">
      <c r="A26" s="549" t="s">
        <v>85</v>
      </c>
      <c r="B26" s="550"/>
      <c r="C26" s="551"/>
      <c r="D26" s="242">
        <f>SUM(D27:D27)</f>
        <v>0</v>
      </c>
      <c r="E26" s="250">
        <f>SUM(E27:E27)</f>
        <v>0</v>
      </c>
      <c r="F26" s="242">
        <f>SUM(F27:F27)</f>
        <v>0</v>
      </c>
      <c r="G26" s="243">
        <f>SUM(G27:G27)</f>
        <v>0</v>
      </c>
      <c r="H26" s="243">
        <f>SUM(H27:H27)</f>
        <v>0</v>
      </c>
      <c r="I26" s="243">
        <f>SUM(I27:I27)</f>
        <v>0</v>
      </c>
      <c r="J26" s="243">
        <f>SUM(J27:J27)</f>
        <v>0</v>
      </c>
      <c r="K26" s="243">
        <f>SUM(K27:K27)</f>
        <v>0</v>
      </c>
      <c r="L26" s="243">
        <f>SUM(L27:L27)</f>
        <v>0</v>
      </c>
      <c r="M26" s="244">
        <f>SUM(M27:M27)</f>
        <v>0</v>
      </c>
    </row>
    <row r="27" spans="1:13" x14ac:dyDescent="0.25">
      <c r="A27" s="9">
        <f>A25</f>
        <v>0</v>
      </c>
      <c r="B27" s="5"/>
      <c r="C27" s="22"/>
      <c r="D27" s="211">
        <f>D15</f>
        <v>0</v>
      </c>
      <c r="E27" s="201">
        <f>'Anexo 1 Resultado'!B5</f>
        <v>0</v>
      </c>
      <c r="F27" s="231">
        <f>F15</f>
        <v>0</v>
      </c>
      <c r="G27" s="233">
        <f>G15</f>
        <v>0</v>
      </c>
      <c r="H27" s="233">
        <f>H15</f>
        <v>0</v>
      </c>
      <c r="I27" s="233">
        <f>I15</f>
        <v>0</v>
      </c>
      <c r="J27" s="233">
        <f>J15</f>
        <v>0</v>
      </c>
      <c r="K27" s="233">
        <f>K15</f>
        <v>0</v>
      </c>
      <c r="L27" s="233">
        <f>L15</f>
        <v>0</v>
      </c>
      <c r="M27" s="232">
        <f>M15</f>
        <v>0</v>
      </c>
    </row>
    <row r="28" spans="1:13" x14ac:dyDescent="0.25">
      <c r="A28" s="549" t="s">
        <v>188</v>
      </c>
      <c r="B28" s="550"/>
      <c r="C28" s="551"/>
      <c r="D28" s="242"/>
      <c r="E28" s="251"/>
      <c r="F28" s="25"/>
      <c r="G28" s="27"/>
      <c r="H28" s="27"/>
      <c r="I28" s="27"/>
      <c r="J28" s="27"/>
      <c r="K28" s="27"/>
      <c r="L28" s="27"/>
      <c r="M28" s="26"/>
    </row>
    <row r="29" spans="1:13" x14ac:dyDescent="0.25">
      <c r="A29" s="9">
        <f>A27</f>
        <v>0</v>
      </c>
      <c r="B29" s="23"/>
      <c r="C29" s="24"/>
      <c r="D29" s="211">
        <f>IFERROR(D27/D25,0)</f>
        <v>0</v>
      </c>
      <c r="E29" s="201">
        <f>IFERROR(E27/E25,0)</f>
        <v>0</v>
      </c>
      <c r="F29" s="231">
        <f>IFERROR(F27/F25,0)</f>
        <v>0</v>
      </c>
      <c r="G29" s="233">
        <f>IFERROR(G27/G25,0)</f>
        <v>0</v>
      </c>
      <c r="H29" s="233">
        <f>IFERROR(H27/H25,0)</f>
        <v>0</v>
      </c>
      <c r="I29" s="233">
        <f>IFERROR(I27/I25,0)</f>
        <v>0</v>
      </c>
      <c r="J29" s="233">
        <f>IFERROR(J27/J25,0)</f>
        <v>0</v>
      </c>
      <c r="K29" s="233">
        <f>IFERROR(K27/K25,0)</f>
        <v>0</v>
      </c>
      <c r="L29" s="233">
        <f>IFERROR(L27/L25,0)</f>
        <v>0</v>
      </c>
      <c r="M29" s="232">
        <f>IFERROR(M27/M25,0)</f>
        <v>0</v>
      </c>
    </row>
    <row r="30" spans="1:13" x14ac:dyDescent="0.25">
      <c r="A30" s="549" t="s">
        <v>189</v>
      </c>
      <c r="B30" s="550"/>
      <c r="C30" s="551"/>
      <c r="D30" s="242"/>
      <c r="E30" s="250"/>
      <c r="F30" s="25"/>
      <c r="G30" s="27"/>
      <c r="H30" s="27"/>
      <c r="I30" s="27"/>
      <c r="J30" s="27"/>
      <c r="K30" s="27"/>
      <c r="L30" s="27"/>
      <c r="M30" s="26"/>
    </row>
    <row r="31" spans="1:13" x14ac:dyDescent="0.25">
      <c r="A31" s="9">
        <f>A29</f>
        <v>0</v>
      </c>
      <c r="B31" s="23"/>
      <c r="C31" s="24"/>
      <c r="D31" s="211">
        <f>IFERROR(D42/D27,0)</f>
        <v>0</v>
      </c>
      <c r="E31" s="333">
        <f>IFERROR(E42/E27,0)</f>
        <v>0</v>
      </c>
      <c r="F31" s="364">
        <f>IFERROR(F42/F27,0)</f>
        <v>0</v>
      </c>
      <c r="G31" s="365">
        <f>IFERROR(G42/G27,0)</f>
        <v>0</v>
      </c>
      <c r="H31" s="365">
        <f>IFERROR(H42/H27,0)</f>
        <v>0</v>
      </c>
      <c r="I31" s="365">
        <f>IFERROR(I42/I27,0)</f>
        <v>0</v>
      </c>
      <c r="J31" s="365">
        <f>IFERROR(J42/J27,0)</f>
        <v>0</v>
      </c>
      <c r="K31" s="365">
        <f>IFERROR(K42/K27,0)</f>
        <v>0</v>
      </c>
      <c r="L31" s="365">
        <f>IFERROR(L42/L27,0)</f>
        <v>0</v>
      </c>
      <c r="M31" s="366">
        <f>IFERROR(M42/M27,0)</f>
        <v>0</v>
      </c>
    </row>
    <row r="32" spans="1:13" x14ac:dyDescent="0.25">
      <c r="A32" s="549" t="s">
        <v>89</v>
      </c>
      <c r="B32" s="550"/>
      <c r="C32" s="551"/>
      <c r="D32" s="242"/>
      <c r="E32" s="250"/>
      <c r="F32" s="25"/>
      <c r="G32" s="27"/>
      <c r="H32" s="27"/>
      <c r="I32" s="27"/>
      <c r="J32" s="27"/>
      <c r="K32" s="27"/>
      <c r="L32" s="27"/>
      <c r="M32" s="26"/>
    </row>
    <row r="33" spans="1:13" x14ac:dyDescent="0.25">
      <c r="A33" s="9">
        <f>A31</f>
        <v>0</v>
      </c>
      <c r="B33" s="23"/>
      <c r="C33" s="24"/>
      <c r="D33" s="211">
        <f>IFERROR(D44/D25,0)</f>
        <v>0</v>
      </c>
      <c r="E33" s="201">
        <f>IFERROR(E44/E25,0)</f>
        <v>0</v>
      </c>
      <c r="F33" s="211">
        <f>IFERROR(F44/F25,0)</f>
        <v>0</v>
      </c>
      <c r="G33" s="202">
        <f>IFERROR(G44/G25,0)</f>
        <v>0</v>
      </c>
      <c r="H33" s="202">
        <f>IFERROR(H44/H25,0)</f>
        <v>0</v>
      </c>
      <c r="I33" s="202">
        <f>IFERROR(I44/I25,0)</f>
        <v>0</v>
      </c>
      <c r="J33" s="202">
        <f>IFERROR(J44/J25,0)</f>
        <v>0</v>
      </c>
      <c r="K33" s="202">
        <f>IFERROR(K44/K25,0)</f>
        <v>0</v>
      </c>
      <c r="L33" s="202">
        <f>IFERROR(L44/L25,0)</f>
        <v>0</v>
      </c>
      <c r="M33" s="203">
        <f>IFERROR(M44/M25,0)</f>
        <v>0</v>
      </c>
    </row>
    <row r="34" spans="1:13" x14ac:dyDescent="0.25">
      <c r="A34" s="549" t="s">
        <v>90</v>
      </c>
      <c r="B34" s="550"/>
      <c r="C34" s="551"/>
      <c r="D34" s="242"/>
      <c r="E34" s="250"/>
      <c r="F34" s="25"/>
      <c r="G34" s="27"/>
      <c r="H34" s="27"/>
      <c r="I34" s="27"/>
      <c r="J34" s="27"/>
      <c r="K34" s="27"/>
      <c r="L34" s="27"/>
      <c r="M34" s="26"/>
    </row>
    <row r="35" spans="1:13" x14ac:dyDescent="0.25">
      <c r="A35" s="9">
        <f>A33</f>
        <v>0</v>
      </c>
      <c r="B35" s="23"/>
      <c r="C35" s="24"/>
      <c r="D35" s="211">
        <f>IFERROR(D44/D27,0)</f>
        <v>0</v>
      </c>
      <c r="E35" s="333">
        <f>IFERROR(E44/E27,0)</f>
        <v>0</v>
      </c>
      <c r="F35" s="364">
        <f>IFERROR(F44/F27,0)</f>
        <v>0</v>
      </c>
      <c r="G35" s="365">
        <f>IFERROR(G44/G27,0)</f>
        <v>0</v>
      </c>
      <c r="H35" s="365">
        <f>IFERROR(H44/H27,0)</f>
        <v>0</v>
      </c>
      <c r="I35" s="365">
        <f>IFERROR(I44/I27,0)</f>
        <v>0</v>
      </c>
      <c r="J35" s="365">
        <f>IFERROR(J44/J27,0)</f>
        <v>0</v>
      </c>
      <c r="K35" s="365">
        <f>IFERROR(K44/K27,0)</f>
        <v>0</v>
      </c>
      <c r="L35" s="365">
        <f>IFERROR(L44/L27,0)</f>
        <v>0</v>
      </c>
      <c r="M35" s="367">
        <f>IFERROR(M44/M27,0)</f>
        <v>0</v>
      </c>
    </row>
    <row r="36" spans="1:13" x14ac:dyDescent="0.25">
      <c r="A36" s="549" t="s">
        <v>647</v>
      </c>
      <c r="B36" s="550"/>
      <c r="C36" s="551"/>
      <c r="D36" s="242"/>
      <c r="E36" s="250"/>
      <c r="F36" s="25"/>
      <c r="G36" s="27"/>
      <c r="H36" s="27"/>
      <c r="I36" s="27"/>
      <c r="J36" s="27"/>
      <c r="K36" s="27"/>
      <c r="L36" s="27"/>
      <c r="M36" s="26"/>
    </row>
    <row r="37" spans="1:13" x14ac:dyDescent="0.25">
      <c r="A37" s="9">
        <f>A35</f>
        <v>0</v>
      </c>
      <c r="B37" s="23"/>
      <c r="C37" s="24"/>
      <c r="D37" s="373">
        <f>IFERROR((D42-D44)/D25,0)</f>
        <v>0</v>
      </c>
      <c r="E37" s="374">
        <f>IFERROR((E42-E44)/E25,0)</f>
        <v>0</v>
      </c>
      <c r="F37" s="373">
        <f>IFERROR((F42-F44)/F25,0)</f>
        <v>0</v>
      </c>
      <c r="G37" s="375">
        <f>IFERROR((G42-G44)/G25,0)</f>
        <v>0</v>
      </c>
      <c r="H37" s="375">
        <f>IFERROR((H42-H44)/H25,0)</f>
        <v>0</v>
      </c>
      <c r="I37" s="375">
        <f>IFERROR((I42-I44)/I25,0)</f>
        <v>0</v>
      </c>
      <c r="J37" s="375">
        <f>IFERROR((J42-J44)/J25,0)</f>
        <v>0</v>
      </c>
      <c r="K37" s="375">
        <f>IFERROR((K42-K44)/K25,0)</f>
        <v>0</v>
      </c>
      <c r="L37" s="375">
        <f>IFERROR((L42-L44)/L25,0)</f>
        <v>0</v>
      </c>
      <c r="M37" s="376">
        <f>IFERROR((M42-M44)/M25,0)</f>
        <v>0</v>
      </c>
    </row>
    <row r="38" spans="1:13" ht="15.75" thickBot="1" x14ac:dyDescent="0.3"/>
    <row r="39" spans="1:13" ht="15.75" thickBot="1" x14ac:dyDescent="0.3">
      <c r="A39" s="561" t="s">
        <v>91</v>
      </c>
      <c r="B39" s="562"/>
      <c r="C39" s="563"/>
      <c r="D39" s="552" t="s">
        <v>689</v>
      </c>
      <c r="E39" s="553"/>
      <c r="F39" s="552" t="s">
        <v>106</v>
      </c>
      <c r="G39" s="554"/>
      <c r="H39" s="554"/>
      <c r="I39" s="554"/>
      <c r="J39" s="554"/>
      <c r="K39" s="554"/>
      <c r="L39" s="554"/>
      <c r="M39" s="553"/>
    </row>
    <row r="40" spans="1:13" ht="15.75" thickBot="1" x14ac:dyDescent="0.3">
      <c r="A40" s="564"/>
      <c r="B40" s="565"/>
      <c r="C40" s="566"/>
      <c r="D40" s="11" t="str">
        <f>D$7</f>
        <v/>
      </c>
      <c r="E40" s="12" t="str">
        <f>IF($E$7="","",$E$7)</f>
        <v/>
      </c>
      <c r="F40" s="11" t="str">
        <f>F$7</f>
        <v/>
      </c>
      <c r="G40" s="13" t="str">
        <f>G$7</f>
        <v/>
      </c>
      <c r="H40" s="13" t="str">
        <f>H$7</f>
        <v/>
      </c>
      <c r="I40" s="13" t="str">
        <f>I$7</f>
        <v/>
      </c>
      <c r="J40" s="13" t="str">
        <f>J$7</f>
        <v/>
      </c>
      <c r="K40" s="13" t="str">
        <f>K$7</f>
        <v/>
      </c>
      <c r="L40" s="13" t="str">
        <f>L$7</f>
        <v/>
      </c>
      <c r="M40" s="12" t="str">
        <f>M$7</f>
        <v/>
      </c>
    </row>
    <row r="41" spans="1:13" x14ac:dyDescent="0.25">
      <c r="A41" s="28" t="s">
        <v>690</v>
      </c>
      <c r="B41" s="29"/>
      <c r="C41" s="30"/>
      <c r="D41" s="238">
        <f>SUM(D42:D42)</f>
        <v>0</v>
      </c>
      <c r="E41" s="241" t="e">
        <f>SUM(E42:E42)</f>
        <v>#DIV/0!</v>
      </c>
      <c r="F41" s="238">
        <f>SUM(F42:F42)</f>
        <v>0</v>
      </c>
      <c r="G41" s="239">
        <f>SUM(G42:G42)</f>
        <v>0</v>
      </c>
      <c r="H41" s="239">
        <f>SUM(H42:H42)</f>
        <v>0</v>
      </c>
      <c r="I41" s="239">
        <f>SUM(I42:I42)</f>
        <v>0</v>
      </c>
      <c r="J41" s="239">
        <f>SUM(J42:J42)</f>
        <v>0</v>
      </c>
      <c r="K41" s="239">
        <f>SUM(K42:K42)</f>
        <v>0</v>
      </c>
      <c r="L41" s="239">
        <f>SUM(L42:L42)</f>
        <v>0</v>
      </c>
      <c r="M41" s="240">
        <f>SUM(M42:M42)</f>
        <v>0</v>
      </c>
    </row>
    <row r="42" spans="1:13" ht="15.75" thickBot="1" x14ac:dyDescent="0.3">
      <c r="A42" s="16">
        <f>A35</f>
        <v>0</v>
      </c>
      <c r="C42" s="17"/>
      <c r="D42" s="211">
        <f>D16+D17</f>
        <v>0</v>
      </c>
      <c r="E42" s="201" t="e">
        <f>'Anexo 1 Resultado'!G5/'Anexo 1 Resultado'!$F$3</f>
        <v>#DIV/0!</v>
      </c>
      <c r="F42" s="211">
        <f>F16+F17</f>
        <v>0</v>
      </c>
      <c r="G42" s="202">
        <f>G16+G17</f>
        <v>0</v>
      </c>
      <c r="H42" s="202">
        <f>H16+H17</f>
        <v>0</v>
      </c>
      <c r="I42" s="202">
        <f>I16+I17</f>
        <v>0</v>
      </c>
      <c r="J42" s="202">
        <f>J16+J17</f>
        <v>0</v>
      </c>
      <c r="K42" s="202">
        <f>K16+K17</f>
        <v>0</v>
      </c>
      <c r="L42" s="202">
        <f>L16+L17</f>
        <v>0</v>
      </c>
      <c r="M42" s="212">
        <f>M16+M17</f>
        <v>0</v>
      </c>
    </row>
    <row r="43" spans="1:13" x14ac:dyDescent="0.25">
      <c r="A43" s="28" t="s">
        <v>201</v>
      </c>
      <c r="B43" s="29"/>
      <c r="C43" s="30"/>
      <c r="D43" s="238">
        <f>SUM(D44:D44)</f>
        <v>0</v>
      </c>
      <c r="E43" s="241" t="e">
        <f>SUM(E44:E44)</f>
        <v>#DIV/0!</v>
      </c>
      <c r="F43" s="238">
        <f>SUM(F44:F44)</f>
        <v>0</v>
      </c>
      <c r="G43" s="241">
        <f>SUM(G44:G44)</f>
        <v>0</v>
      </c>
      <c r="H43" s="239">
        <f>SUM(H44:H44)</f>
        <v>0</v>
      </c>
      <c r="I43" s="239">
        <f>SUM(I44:I44)</f>
        <v>0</v>
      </c>
      <c r="J43" s="239">
        <f>SUM(J44:J44)</f>
        <v>0</v>
      </c>
      <c r="K43" s="239">
        <f>SUM(K44:K44)</f>
        <v>0</v>
      </c>
      <c r="L43" s="239">
        <f>SUM(L44:L44)</f>
        <v>0</v>
      </c>
      <c r="M43" s="240">
        <f>SUM(M44:M44)</f>
        <v>0</v>
      </c>
    </row>
    <row r="44" spans="1:13" x14ac:dyDescent="0.25">
      <c r="A44" s="16">
        <f>A42</f>
        <v>0</v>
      </c>
      <c r="C44" s="17"/>
      <c r="D44" s="211"/>
      <c r="E44" s="201" t="e">
        <f>'Anexo 1 Resultado'!H5/'Anexo 1 Resultado'!$F$3</f>
        <v>#DIV/0!</v>
      </c>
      <c r="F44" s="211">
        <f>F9*F14</f>
        <v>0</v>
      </c>
      <c r="G44" s="201">
        <f>G9*G14</f>
        <v>0</v>
      </c>
      <c r="H44" s="202">
        <f>H9*H14</f>
        <v>0</v>
      </c>
      <c r="I44" s="202">
        <f>I9*I14</f>
        <v>0</v>
      </c>
      <c r="J44" s="202">
        <f>J9*J14</f>
        <v>0</v>
      </c>
      <c r="K44" s="202">
        <f>K9*K14</f>
        <v>0</v>
      </c>
      <c r="L44" s="202">
        <f>L9*L14</f>
        <v>0</v>
      </c>
      <c r="M44" s="212">
        <f>M9*M14</f>
        <v>0</v>
      </c>
    </row>
    <row r="45" spans="1:13" ht="15.75" thickBot="1" x14ac:dyDescent="0.3">
      <c r="D45" s="249"/>
      <c r="E45" s="249"/>
    </row>
    <row r="46" spans="1:13" x14ac:dyDescent="0.25">
      <c r="A46" s="28" t="s">
        <v>202</v>
      </c>
      <c r="B46" s="29"/>
      <c r="C46" s="29"/>
      <c r="D46" s="238">
        <f>SUM(D47:D48)</f>
        <v>0</v>
      </c>
      <c r="E46" s="241" t="e">
        <f>SUM(E47:E48)</f>
        <v>#DIV/0!</v>
      </c>
      <c r="F46" s="238">
        <f t="shared" ref="F46:M46" si="7">SUM(F47:F48)</f>
        <v>0</v>
      </c>
      <c r="G46" s="239">
        <f t="shared" si="7"/>
        <v>0</v>
      </c>
      <c r="H46" s="239">
        <f t="shared" si="7"/>
        <v>0</v>
      </c>
      <c r="I46" s="239">
        <f t="shared" si="7"/>
        <v>0</v>
      </c>
      <c r="J46" s="239">
        <f t="shared" si="7"/>
        <v>0</v>
      </c>
      <c r="K46" s="239">
        <f t="shared" si="7"/>
        <v>0</v>
      </c>
      <c r="L46" s="239">
        <f t="shared" si="7"/>
        <v>0</v>
      </c>
      <c r="M46" s="240">
        <f t="shared" si="7"/>
        <v>0</v>
      </c>
    </row>
    <row r="47" spans="1:13" x14ac:dyDescent="0.25">
      <c r="A47" s="545" t="s">
        <v>92</v>
      </c>
      <c r="B47" s="546"/>
      <c r="C47" s="546"/>
      <c r="D47" s="211"/>
      <c r="E47" s="212" t="e">
        <f>'Anexo 1 Resultado'!I7/'Anexo 1 Resultado'!$F$3</f>
        <v>#DIV/0!</v>
      </c>
      <c r="F47" s="211">
        <f>Supuestos!$B$10</f>
        <v>0</v>
      </c>
      <c r="G47" s="202">
        <f>Supuestos!$B$10</f>
        <v>0</v>
      </c>
      <c r="H47" s="202">
        <f>Supuestos!$B$10</f>
        <v>0</v>
      </c>
      <c r="I47" s="202">
        <f>Supuestos!$B$10</f>
        <v>0</v>
      </c>
      <c r="J47" s="202">
        <f>Supuestos!$B$10</f>
        <v>0</v>
      </c>
      <c r="K47" s="202">
        <f>Supuestos!$B$10</f>
        <v>0</v>
      </c>
      <c r="L47" s="202">
        <f>Supuestos!$B$10</f>
        <v>0</v>
      </c>
      <c r="M47" s="212">
        <f>Supuestos!$B$10</f>
        <v>0</v>
      </c>
    </row>
    <row r="48" spans="1:13" ht="15.75" thickBot="1" x14ac:dyDescent="0.3">
      <c r="A48" s="547" t="s">
        <v>107</v>
      </c>
      <c r="B48" s="548"/>
      <c r="C48" s="548"/>
      <c r="D48" s="234"/>
      <c r="E48" s="237" t="e">
        <f>'Anexo 1 Resultado'!I8/'Anexo 1 Resultado'!$F$3</f>
        <v>#DIV/0!</v>
      </c>
      <c r="F48" s="234"/>
      <c r="G48" s="235"/>
      <c r="H48" s="235"/>
      <c r="I48" s="235"/>
      <c r="J48" s="235"/>
      <c r="K48" s="235"/>
      <c r="L48" s="235"/>
      <c r="M48" s="237"/>
    </row>
    <row r="49" spans="1:13" ht="15.75" thickBot="1" x14ac:dyDescent="0.3"/>
    <row r="50" spans="1:13" ht="15.75" thickBot="1" x14ac:dyDescent="0.3">
      <c r="A50" s="561" t="s">
        <v>199</v>
      </c>
      <c r="B50" s="562"/>
      <c r="C50" s="563"/>
      <c r="D50" s="552" t="s">
        <v>689</v>
      </c>
      <c r="E50" s="553"/>
      <c r="F50" s="552" t="s">
        <v>106</v>
      </c>
      <c r="G50" s="554"/>
      <c r="H50" s="554"/>
      <c r="I50" s="554"/>
      <c r="J50" s="554"/>
      <c r="K50" s="554"/>
      <c r="L50" s="554"/>
      <c r="M50" s="553"/>
    </row>
    <row r="51" spans="1:13" ht="15.75" thickBot="1" x14ac:dyDescent="0.3">
      <c r="A51" s="564"/>
      <c r="B51" s="565"/>
      <c r="C51" s="566"/>
      <c r="D51" s="11" t="str">
        <f>D$7</f>
        <v/>
      </c>
      <c r="E51" s="12" t="str">
        <f>IF($E$7="","",$E$7)</f>
        <v/>
      </c>
      <c r="F51" s="11" t="str">
        <f>F$7</f>
        <v/>
      </c>
      <c r="G51" s="13" t="str">
        <f>G$7</f>
        <v/>
      </c>
      <c r="H51" s="13" t="str">
        <f>H$7</f>
        <v/>
      </c>
      <c r="I51" s="13" t="str">
        <f>I$7</f>
        <v/>
      </c>
      <c r="J51" s="13" t="str">
        <f>J$7</f>
        <v/>
      </c>
      <c r="K51" s="13" t="str">
        <f>K$7</f>
        <v/>
      </c>
      <c r="L51" s="13" t="str">
        <f>L$7</f>
        <v/>
      </c>
      <c r="M51" s="12" t="str">
        <f>M$7</f>
        <v/>
      </c>
    </row>
    <row r="52" spans="1:13" x14ac:dyDescent="0.25">
      <c r="A52" s="16" t="s">
        <v>93</v>
      </c>
      <c r="C52" s="17"/>
      <c r="D52" s="245">
        <f>D41</f>
        <v>0</v>
      </c>
      <c r="E52" s="246" t="e">
        <f>E41</f>
        <v>#DIV/0!</v>
      </c>
      <c r="F52" s="245">
        <f>F41</f>
        <v>0</v>
      </c>
      <c r="G52" s="247">
        <f>G41</f>
        <v>0</v>
      </c>
      <c r="H52" s="247">
        <f>H41</f>
        <v>0</v>
      </c>
      <c r="I52" s="247">
        <f>I41</f>
        <v>0</v>
      </c>
      <c r="J52" s="247">
        <f>J41</f>
        <v>0</v>
      </c>
      <c r="K52" s="247">
        <f>K41</f>
        <v>0</v>
      </c>
      <c r="L52" s="247">
        <f>L41</f>
        <v>0</v>
      </c>
      <c r="M52" s="248">
        <f>M41</f>
        <v>0</v>
      </c>
    </row>
    <row r="53" spans="1:13" x14ac:dyDescent="0.25">
      <c r="A53" s="16" t="s">
        <v>22</v>
      </c>
      <c r="C53" s="17"/>
      <c r="D53" s="211">
        <f>D43</f>
        <v>0</v>
      </c>
      <c r="E53" s="201" t="e">
        <f>E43</f>
        <v>#DIV/0!</v>
      </c>
      <c r="F53" s="211">
        <f>F43</f>
        <v>0</v>
      </c>
      <c r="G53" s="202">
        <f>G43</f>
        <v>0</v>
      </c>
      <c r="H53" s="202">
        <f>H43</f>
        <v>0</v>
      </c>
      <c r="I53" s="202">
        <f>I43</f>
        <v>0</v>
      </c>
      <c r="J53" s="202">
        <f>J43</f>
        <v>0</v>
      </c>
      <c r="K53" s="202">
        <f>K43</f>
        <v>0</v>
      </c>
      <c r="L53" s="202">
        <f>L43</f>
        <v>0</v>
      </c>
      <c r="M53" s="212">
        <f>M43</f>
        <v>0</v>
      </c>
    </row>
    <row r="54" spans="1:13" ht="15.75" thickBot="1" x14ac:dyDescent="0.3">
      <c r="A54" s="31" t="s">
        <v>24</v>
      </c>
      <c r="B54" s="32"/>
      <c r="C54" s="33"/>
      <c r="D54" s="234">
        <f>D46</f>
        <v>0</v>
      </c>
      <c r="E54" s="236" t="e">
        <f t="shared" ref="E54:M54" si="8">E46</f>
        <v>#DIV/0!</v>
      </c>
      <c r="F54" s="234">
        <f t="shared" si="8"/>
        <v>0</v>
      </c>
      <c r="G54" s="235">
        <f t="shared" si="8"/>
        <v>0</v>
      </c>
      <c r="H54" s="235">
        <f t="shared" si="8"/>
        <v>0</v>
      </c>
      <c r="I54" s="235">
        <f t="shared" si="8"/>
        <v>0</v>
      </c>
      <c r="J54" s="235">
        <f t="shared" si="8"/>
        <v>0</v>
      </c>
      <c r="K54" s="235">
        <f t="shared" si="8"/>
        <v>0</v>
      </c>
      <c r="L54" s="235">
        <f t="shared" si="8"/>
        <v>0</v>
      </c>
      <c r="M54" s="237">
        <f t="shared" si="8"/>
        <v>0</v>
      </c>
    </row>
    <row r="55" spans="1:13" ht="15.75" thickBot="1" x14ac:dyDescent="0.3"/>
    <row r="56" spans="1:13" ht="15.75" thickBot="1" x14ac:dyDescent="0.3">
      <c r="D56" s="552" t="s">
        <v>689</v>
      </c>
      <c r="E56" s="553"/>
      <c r="F56" s="552" t="s">
        <v>106</v>
      </c>
      <c r="G56" s="554"/>
      <c r="H56" s="554"/>
      <c r="I56" s="554"/>
      <c r="J56" s="554"/>
      <c r="K56" s="554"/>
      <c r="L56" s="554"/>
      <c r="M56" s="553"/>
    </row>
    <row r="57" spans="1:13" ht="15.75" thickBot="1" x14ac:dyDescent="0.3">
      <c r="D57" s="11" t="str">
        <f>D$7</f>
        <v/>
      </c>
      <c r="E57" s="12" t="str">
        <f>IF($E$7="","",$E$7)</f>
        <v/>
      </c>
      <c r="F57" s="11" t="str">
        <f>F$7</f>
        <v/>
      </c>
      <c r="G57" s="13" t="str">
        <f>G$7</f>
        <v/>
      </c>
      <c r="H57" s="13" t="str">
        <f>H$7</f>
        <v/>
      </c>
      <c r="I57" s="13" t="str">
        <f>I$7</f>
        <v/>
      </c>
      <c r="J57" s="13" t="str">
        <f>J$7</f>
        <v/>
      </c>
      <c r="K57" s="13" t="str">
        <f>K$7</f>
        <v/>
      </c>
      <c r="L57" s="13" t="str">
        <f>L$7</f>
        <v/>
      </c>
      <c r="M57" s="12" t="str">
        <f>M$7</f>
        <v/>
      </c>
    </row>
    <row r="58" spans="1:13" x14ac:dyDescent="0.25">
      <c r="A58" s="580" t="s">
        <v>190</v>
      </c>
      <c r="B58" s="581"/>
      <c r="C58" s="582"/>
      <c r="D58" s="258">
        <f t="shared" ref="D58:M58" si="9">D52-D53-D54</f>
        <v>0</v>
      </c>
      <c r="E58" s="259" t="e">
        <f t="shared" si="9"/>
        <v>#DIV/0!</v>
      </c>
      <c r="F58" s="258">
        <f t="shared" si="9"/>
        <v>0</v>
      </c>
      <c r="G58" s="260">
        <f t="shared" si="9"/>
        <v>0</v>
      </c>
      <c r="H58" s="260">
        <f t="shared" si="9"/>
        <v>0</v>
      </c>
      <c r="I58" s="260">
        <f t="shared" si="9"/>
        <v>0</v>
      </c>
      <c r="J58" s="260">
        <f t="shared" si="9"/>
        <v>0</v>
      </c>
      <c r="K58" s="260">
        <f t="shared" si="9"/>
        <v>0</v>
      </c>
      <c r="L58" s="260">
        <f t="shared" si="9"/>
        <v>0</v>
      </c>
      <c r="M58" s="261">
        <f t="shared" si="9"/>
        <v>0</v>
      </c>
    </row>
    <row r="59" spans="1:13" x14ac:dyDescent="0.25">
      <c r="A59" s="583" t="s">
        <v>191</v>
      </c>
      <c r="B59" s="584"/>
      <c r="C59" s="585"/>
      <c r="D59" s="262">
        <f>IFERROR(D58/D24,0)</f>
        <v>0</v>
      </c>
      <c r="E59" s="263">
        <f>IFERROR(E58/E24,0)</f>
        <v>0</v>
      </c>
      <c r="F59" s="262">
        <f>IFERROR(F58/F24,0)</f>
        <v>0</v>
      </c>
      <c r="G59" s="264">
        <f>IFERROR(G58/G24,0)</f>
        <v>0</v>
      </c>
      <c r="H59" s="264">
        <f>IFERROR(H58/H24,0)</f>
        <v>0</v>
      </c>
      <c r="I59" s="264">
        <f>IFERROR(I58/I24,0)</f>
        <v>0</v>
      </c>
      <c r="J59" s="264">
        <f>IFERROR(J58/J24,0)</f>
        <v>0</v>
      </c>
      <c r="K59" s="264">
        <f>IFERROR(K58/K24,0)</f>
        <v>0</v>
      </c>
      <c r="L59" s="264">
        <f>IFERROR(L58/L24,0)</f>
        <v>0</v>
      </c>
      <c r="M59" s="265">
        <f>IFERROR(M58/M24,0)</f>
        <v>0</v>
      </c>
    </row>
    <row r="60" spans="1:13" ht="15.75" thickBot="1" x14ac:dyDescent="0.3">
      <c r="A60" s="577" t="s">
        <v>94</v>
      </c>
      <c r="B60" s="578"/>
      <c r="C60" s="579"/>
      <c r="D60" s="252">
        <f>IFERROR((D58/D52),0)</f>
        <v>0</v>
      </c>
      <c r="E60" s="253">
        <f t="shared" ref="E60:M60" si="10">IFERROR((E58/E52),0)</f>
        <v>0</v>
      </c>
      <c r="F60" s="252">
        <f t="shared" si="10"/>
        <v>0</v>
      </c>
      <c r="G60" s="254">
        <f t="shared" si="10"/>
        <v>0</v>
      </c>
      <c r="H60" s="254">
        <f t="shared" si="10"/>
        <v>0</v>
      </c>
      <c r="I60" s="254">
        <f t="shared" si="10"/>
        <v>0</v>
      </c>
      <c r="J60" s="254">
        <f t="shared" si="10"/>
        <v>0</v>
      </c>
      <c r="K60" s="254">
        <f t="shared" si="10"/>
        <v>0</v>
      </c>
      <c r="L60" s="254">
        <f t="shared" si="10"/>
        <v>0</v>
      </c>
      <c r="M60" s="255">
        <f t="shared" si="10"/>
        <v>0</v>
      </c>
    </row>
    <row r="62" spans="1:13" ht="15.75" thickBot="1" x14ac:dyDescent="0.3"/>
    <row r="63" spans="1:13" ht="15.75" thickBot="1" x14ac:dyDescent="0.3">
      <c r="A63" s="561" t="s">
        <v>200</v>
      </c>
      <c r="B63" s="562"/>
      <c r="C63" s="563"/>
      <c r="D63" s="552" t="s">
        <v>689</v>
      </c>
      <c r="E63" s="553"/>
      <c r="F63" s="552" t="s">
        <v>106</v>
      </c>
      <c r="G63" s="554"/>
      <c r="H63" s="554"/>
      <c r="I63" s="554"/>
      <c r="J63" s="554"/>
      <c r="K63" s="554"/>
      <c r="L63" s="554"/>
      <c r="M63" s="553"/>
    </row>
    <row r="64" spans="1:13" ht="15.75" thickBot="1" x14ac:dyDescent="0.3">
      <c r="A64" s="564"/>
      <c r="B64" s="565"/>
      <c r="C64" s="566"/>
      <c r="D64" s="11" t="str">
        <f>D$7</f>
        <v/>
      </c>
      <c r="E64" s="12" t="str">
        <f>IF($E$7="","",$E$7)</f>
        <v/>
      </c>
      <c r="F64" s="11" t="str">
        <f>F$7</f>
        <v/>
      </c>
      <c r="G64" s="13" t="str">
        <f>G$7</f>
        <v/>
      </c>
      <c r="H64" s="13" t="str">
        <f>H$7</f>
        <v/>
      </c>
      <c r="I64" s="13" t="str">
        <f>I$7</f>
        <v/>
      </c>
      <c r="J64" s="13" t="str">
        <f>J$7</f>
        <v/>
      </c>
      <c r="K64" s="13" t="str">
        <f>K$7</f>
        <v/>
      </c>
      <c r="L64" s="13" t="str">
        <f>L$7</f>
        <v/>
      </c>
      <c r="M64" s="12" t="str">
        <f>M$7</f>
        <v/>
      </c>
    </row>
    <row r="65" spans="1:13" x14ac:dyDescent="0.25">
      <c r="A65" s="16" t="s">
        <v>93</v>
      </c>
      <c r="C65" s="17"/>
      <c r="D65" s="245">
        <f>D52*$D$4/1000</f>
        <v>0</v>
      </c>
      <c r="E65" s="246" t="e">
        <f>E52*$E$4/1000</f>
        <v>#DIV/0!</v>
      </c>
      <c r="F65" s="245">
        <f>F52*$F$4/1000</f>
        <v>0</v>
      </c>
      <c r="G65" s="247">
        <f t="shared" ref="G65:M65" si="11">G52*$F$4/1000</f>
        <v>0</v>
      </c>
      <c r="H65" s="247">
        <f t="shared" si="11"/>
        <v>0</v>
      </c>
      <c r="I65" s="247">
        <f t="shared" si="11"/>
        <v>0</v>
      </c>
      <c r="J65" s="247">
        <f t="shared" si="11"/>
        <v>0</v>
      </c>
      <c r="K65" s="247">
        <f t="shared" si="11"/>
        <v>0</v>
      </c>
      <c r="L65" s="247">
        <f t="shared" si="11"/>
        <v>0</v>
      </c>
      <c r="M65" s="248">
        <f t="shared" si="11"/>
        <v>0</v>
      </c>
    </row>
    <row r="66" spans="1:13" x14ac:dyDescent="0.25">
      <c r="A66" s="16" t="s">
        <v>22</v>
      </c>
      <c r="C66" s="17"/>
      <c r="D66" s="211">
        <f t="shared" ref="D66:D67" si="12">D53*$D$4/1000</f>
        <v>0</v>
      </c>
      <c r="E66" s="201" t="e">
        <f t="shared" ref="E66:E67" si="13">E53*$E$4/1000</f>
        <v>#DIV/0!</v>
      </c>
      <c r="F66" s="211">
        <f t="shared" ref="F66:M66" si="14">F53*$F$4/1000</f>
        <v>0</v>
      </c>
      <c r="G66" s="202">
        <f t="shared" si="14"/>
        <v>0</v>
      </c>
      <c r="H66" s="202">
        <f t="shared" si="14"/>
        <v>0</v>
      </c>
      <c r="I66" s="202">
        <f t="shared" si="14"/>
        <v>0</v>
      </c>
      <c r="J66" s="202">
        <f t="shared" si="14"/>
        <v>0</v>
      </c>
      <c r="K66" s="202">
        <f t="shared" si="14"/>
        <v>0</v>
      </c>
      <c r="L66" s="202">
        <f t="shared" si="14"/>
        <v>0</v>
      </c>
      <c r="M66" s="212">
        <f t="shared" si="14"/>
        <v>0</v>
      </c>
    </row>
    <row r="67" spans="1:13" ht="15.75" thickBot="1" x14ac:dyDescent="0.3">
      <c r="A67" s="31" t="s">
        <v>24</v>
      </c>
      <c r="B67" s="32"/>
      <c r="C67" s="33"/>
      <c r="D67" s="234">
        <f t="shared" si="12"/>
        <v>0</v>
      </c>
      <c r="E67" s="236" t="e">
        <f t="shared" si="13"/>
        <v>#DIV/0!</v>
      </c>
      <c r="F67" s="234">
        <f t="shared" ref="F67:M67" si="15">F54*$F$4/1000</f>
        <v>0</v>
      </c>
      <c r="G67" s="235">
        <f t="shared" si="15"/>
        <v>0</v>
      </c>
      <c r="H67" s="235">
        <f t="shared" si="15"/>
        <v>0</v>
      </c>
      <c r="I67" s="235">
        <f t="shared" si="15"/>
        <v>0</v>
      </c>
      <c r="J67" s="235">
        <f t="shared" si="15"/>
        <v>0</v>
      </c>
      <c r="K67" s="235">
        <f t="shared" si="15"/>
        <v>0</v>
      </c>
      <c r="L67" s="235">
        <f t="shared" si="15"/>
        <v>0</v>
      </c>
      <c r="M67" s="237">
        <f t="shared" si="15"/>
        <v>0</v>
      </c>
    </row>
    <row r="68" spans="1:13" ht="15.75" thickBot="1" x14ac:dyDescent="0.3"/>
    <row r="69" spans="1:13" ht="15.75" thickBot="1" x14ac:dyDescent="0.3">
      <c r="D69" s="552" t="s">
        <v>689</v>
      </c>
      <c r="E69" s="553"/>
      <c r="F69" s="552" t="s">
        <v>106</v>
      </c>
      <c r="G69" s="554"/>
      <c r="H69" s="554"/>
      <c r="I69" s="554"/>
      <c r="J69" s="554"/>
      <c r="K69" s="554"/>
      <c r="L69" s="554"/>
      <c r="M69" s="553"/>
    </row>
    <row r="70" spans="1:13" ht="15.75" thickBot="1" x14ac:dyDescent="0.3">
      <c r="D70" s="11" t="str">
        <f>D$7</f>
        <v/>
      </c>
      <c r="E70" s="12" t="str">
        <f>IF($E$7="","",$E$7)</f>
        <v/>
      </c>
      <c r="F70" s="11" t="str">
        <f>F$7</f>
        <v/>
      </c>
      <c r="G70" s="13" t="str">
        <f>G$7</f>
        <v/>
      </c>
      <c r="H70" s="13" t="str">
        <f>H$7</f>
        <v/>
      </c>
      <c r="I70" s="13" t="str">
        <f>I$7</f>
        <v/>
      </c>
      <c r="J70" s="13" t="str">
        <f>J$7</f>
        <v/>
      </c>
      <c r="K70" s="13" t="str">
        <f>K$7</f>
        <v/>
      </c>
      <c r="L70" s="13" t="str">
        <f>L$7</f>
        <v/>
      </c>
      <c r="M70" s="622" t="str">
        <f>M$7</f>
        <v/>
      </c>
    </row>
    <row r="71" spans="1:13" x14ac:dyDescent="0.25">
      <c r="A71" s="580" t="s">
        <v>192</v>
      </c>
      <c r="B71" s="581"/>
      <c r="C71" s="582"/>
      <c r="D71" s="258">
        <f>D65-D66-D67</f>
        <v>0</v>
      </c>
      <c r="E71" s="259" t="e">
        <f>E65-E66-E67</f>
        <v>#DIV/0!</v>
      </c>
      <c r="F71" s="258">
        <f>F65-F66-F67</f>
        <v>0</v>
      </c>
      <c r="G71" s="260">
        <f t="shared" ref="G71:M71" si="16">G65-G66-G67</f>
        <v>0</v>
      </c>
      <c r="H71" s="260">
        <f t="shared" si="16"/>
        <v>0</v>
      </c>
      <c r="I71" s="260">
        <f t="shared" si="16"/>
        <v>0</v>
      </c>
      <c r="J71" s="260">
        <f t="shared" si="16"/>
        <v>0</v>
      </c>
      <c r="K71" s="260">
        <f t="shared" si="16"/>
        <v>0</v>
      </c>
      <c r="L71" s="260">
        <f t="shared" si="16"/>
        <v>0</v>
      </c>
      <c r="M71" s="261">
        <f t="shared" si="16"/>
        <v>0</v>
      </c>
    </row>
    <row r="72" spans="1:13" x14ac:dyDescent="0.25">
      <c r="A72" s="583" t="s">
        <v>193</v>
      </c>
      <c r="B72" s="584"/>
      <c r="C72" s="585"/>
      <c r="D72" s="262"/>
      <c r="E72" s="263" t="e">
        <f>E71/E24</f>
        <v>#DIV/0!</v>
      </c>
      <c r="F72" s="262" t="e">
        <f>F71/F24</f>
        <v>#DIV/0!</v>
      </c>
      <c r="G72" s="264" t="e">
        <f>G71/G24</f>
        <v>#DIV/0!</v>
      </c>
      <c r="H72" s="264" t="e">
        <f>H71/H24</f>
        <v>#DIV/0!</v>
      </c>
      <c r="I72" s="264" t="e">
        <f>I71/I24</f>
        <v>#DIV/0!</v>
      </c>
      <c r="J72" s="264" t="e">
        <f>J71/J24</f>
        <v>#DIV/0!</v>
      </c>
      <c r="K72" s="264" t="e">
        <f>K71/K24</f>
        <v>#DIV/0!</v>
      </c>
      <c r="L72" s="264" t="e">
        <f>L71/L24</f>
        <v>#DIV/0!</v>
      </c>
      <c r="M72" s="265" t="e">
        <f>M71/M24</f>
        <v>#DIV/0!</v>
      </c>
    </row>
    <row r="73" spans="1:13" ht="15.75" thickBot="1" x14ac:dyDescent="0.3">
      <c r="A73" s="577" t="s">
        <v>94</v>
      </c>
      <c r="B73" s="578"/>
      <c r="C73" s="579"/>
      <c r="D73" s="252">
        <f>IFERROR((D71/D65),0)</f>
        <v>0</v>
      </c>
      <c r="E73" s="253">
        <f t="shared" ref="E73:M73" si="17">IFERROR((E71/E65),0)</f>
        <v>0</v>
      </c>
      <c r="F73" s="252">
        <f t="shared" si="17"/>
        <v>0</v>
      </c>
      <c r="G73" s="254">
        <f t="shared" si="17"/>
        <v>0</v>
      </c>
      <c r="H73" s="254">
        <f t="shared" si="17"/>
        <v>0</v>
      </c>
      <c r="I73" s="254">
        <f t="shared" si="17"/>
        <v>0</v>
      </c>
      <c r="J73" s="254">
        <f t="shared" si="17"/>
        <v>0</v>
      </c>
      <c r="K73" s="254">
        <f t="shared" si="17"/>
        <v>0</v>
      </c>
      <c r="L73" s="254">
        <f t="shared" si="17"/>
        <v>0</v>
      </c>
      <c r="M73" s="255">
        <f t="shared" si="17"/>
        <v>0</v>
      </c>
    </row>
    <row r="77" spans="1:13" ht="15.75" thickBot="1" x14ac:dyDescent="0.3"/>
    <row r="78" spans="1:13" x14ac:dyDescent="0.25">
      <c r="A78" s="555" t="s">
        <v>95</v>
      </c>
      <c r="B78" s="556"/>
      <c r="C78" s="556"/>
      <c r="D78" s="229" t="str">
        <f>D$7</f>
        <v/>
      </c>
      <c r="E78" s="93" t="str">
        <f>IF($E$7="","",$E$7)</f>
        <v/>
      </c>
    </row>
    <row r="79" spans="1:13" x14ac:dyDescent="0.25">
      <c r="A79" s="557" t="s">
        <v>96</v>
      </c>
      <c r="B79" s="558"/>
      <c r="C79" s="558"/>
      <c r="D79" s="230"/>
      <c r="E79" s="389" t="e">
        <f>'Anexo 2 Ventas F29'!C17</f>
        <v>#DIV/0!</v>
      </c>
    </row>
    <row r="80" spans="1:13" ht="15.75" thickBot="1" x14ac:dyDescent="0.3">
      <c r="A80" s="559" t="s">
        <v>97</v>
      </c>
      <c r="B80" s="560"/>
      <c r="C80" s="560"/>
      <c r="D80" s="165"/>
      <c r="E80" s="390" t="e">
        <f>E79/E52</f>
        <v>#DIV/0!</v>
      </c>
    </row>
    <row r="81" spans="1:13" ht="15.75" thickBot="1" x14ac:dyDescent="0.3"/>
    <row r="82" spans="1:13" x14ac:dyDescent="0.25">
      <c r="A82" s="28" t="s">
        <v>98</v>
      </c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30"/>
    </row>
    <row r="83" spans="1:13" ht="34.15" customHeight="1" x14ac:dyDescent="0.25">
      <c r="A83" s="544"/>
      <c r="B83" s="526"/>
      <c r="C83" s="526"/>
      <c r="D83" s="526"/>
      <c r="E83" s="526"/>
      <c r="F83" s="526"/>
      <c r="G83" s="526"/>
      <c r="H83" s="526"/>
      <c r="I83" s="526"/>
      <c r="J83" s="526"/>
      <c r="K83" s="526"/>
      <c r="L83" s="526"/>
      <c r="M83" s="527"/>
    </row>
    <row r="84" spans="1:13" ht="34.15" customHeight="1" x14ac:dyDescent="0.25">
      <c r="A84" s="525"/>
      <c r="B84" s="526"/>
      <c r="C84" s="526"/>
      <c r="D84" s="526"/>
      <c r="E84" s="526"/>
      <c r="F84" s="526"/>
      <c r="G84" s="526"/>
      <c r="H84" s="526"/>
      <c r="I84" s="526"/>
      <c r="J84" s="526"/>
      <c r="K84" s="526"/>
      <c r="L84" s="526"/>
      <c r="M84" s="527"/>
    </row>
    <row r="85" spans="1:13" ht="34.15" customHeight="1" x14ac:dyDescent="0.25">
      <c r="A85" s="525"/>
      <c r="B85" s="526"/>
      <c r="C85" s="526"/>
      <c r="D85" s="526"/>
      <c r="E85" s="526"/>
      <c r="F85" s="526"/>
      <c r="G85" s="526"/>
      <c r="H85" s="526"/>
      <c r="I85" s="526"/>
      <c r="J85" s="526"/>
      <c r="K85" s="526"/>
      <c r="L85" s="526"/>
      <c r="M85" s="527"/>
    </row>
    <row r="86" spans="1:13" ht="34.15" customHeight="1" x14ac:dyDescent="0.25">
      <c r="A86" s="525"/>
      <c r="B86" s="526"/>
      <c r="C86" s="526"/>
      <c r="D86" s="526"/>
      <c r="E86" s="526"/>
      <c r="F86" s="526"/>
      <c r="G86" s="526"/>
      <c r="H86" s="526"/>
      <c r="I86" s="526"/>
      <c r="J86" s="526"/>
      <c r="K86" s="526"/>
      <c r="L86" s="526"/>
      <c r="M86" s="527"/>
    </row>
    <row r="87" spans="1:13" x14ac:dyDescent="0.25">
      <c r="A87" s="525"/>
      <c r="B87" s="526"/>
      <c r="C87" s="526"/>
      <c r="D87" s="526"/>
      <c r="E87" s="526"/>
      <c r="F87" s="526"/>
      <c r="G87" s="526"/>
      <c r="H87" s="526"/>
      <c r="I87" s="526"/>
      <c r="J87" s="526"/>
      <c r="K87" s="526"/>
      <c r="L87" s="526"/>
      <c r="M87" s="527"/>
    </row>
    <row r="88" spans="1:13" x14ac:dyDescent="0.25">
      <c r="A88" s="525"/>
      <c r="B88" s="526"/>
      <c r="C88" s="526"/>
      <c r="D88" s="526"/>
      <c r="E88" s="526"/>
      <c r="F88" s="526"/>
      <c r="G88" s="526"/>
      <c r="H88" s="526"/>
      <c r="I88" s="526"/>
      <c r="J88" s="526"/>
      <c r="K88" s="526"/>
      <c r="L88" s="526"/>
      <c r="M88" s="527"/>
    </row>
    <row r="89" spans="1:13" x14ac:dyDescent="0.25">
      <c r="A89" s="525"/>
      <c r="B89" s="526"/>
      <c r="C89" s="526"/>
      <c r="D89" s="526"/>
      <c r="E89" s="526"/>
      <c r="F89" s="526"/>
      <c r="G89" s="526"/>
      <c r="H89" s="526"/>
      <c r="I89" s="526"/>
      <c r="J89" s="526"/>
      <c r="K89" s="526"/>
      <c r="L89" s="526"/>
      <c r="M89" s="527"/>
    </row>
    <row r="90" spans="1:13" x14ac:dyDescent="0.25">
      <c r="A90" s="525"/>
      <c r="B90" s="526"/>
      <c r="C90" s="526"/>
      <c r="D90" s="526"/>
      <c r="E90" s="526"/>
      <c r="F90" s="526"/>
      <c r="G90" s="526"/>
      <c r="H90" s="526"/>
      <c r="I90" s="526"/>
      <c r="J90" s="526"/>
      <c r="K90" s="526"/>
      <c r="L90" s="526"/>
      <c r="M90" s="527"/>
    </row>
    <row r="91" spans="1:13" ht="15.75" thickBot="1" x14ac:dyDescent="0.3">
      <c r="A91" s="528"/>
      <c r="B91" s="529"/>
      <c r="C91" s="529"/>
      <c r="D91" s="529"/>
      <c r="E91" s="529"/>
      <c r="F91" s="529"/>
      <c r="G91" s="529"/>
      <c r="H91" s="529"/>
      <c r="I91" s="529"/>
      <c r="J91" s="529"/>
      <c r="K91" s="529"/>
      <c r="L91" s="529"/>
      <c r="M91" s="530"/>
    </row>
  </sheetData>
  <mergeCells count="38">
    <mergeCell ref="A73:C73"/>
    <mergeCell ref="A63:C64"/>
    <mergeCell ref="A58:C58"/>
    <mergeCell ref="A59:C59"/>
    <mergeCell ref="A60:C60"/>
    <mergeCell ref="A71:C71"/>
    <mergeCell ref="A72:C72"/>
    <mergeCell ref="A2:M2"/>
    <mergeCell ref="A39:C40"/>
    <mergeCell ref="A24:C24"/>
    <mergeCell ref="A26:C26"/>
    <mergeCell ref="A28:C28"/>
    <mergeCell ref="A30:C30"/>
    <mergeCell ref="D6:E6"/>
    <mergeCell ref="F6:M6"/>
    <mergeCell ref="D22:E22"/>
    <mergeCell ref="F22:M22"/>
    <mergeCell ref="D39:E39"/>
    <mergeCell ref="F39:M39"/>
    <mergeCell ref="A22:C23"/>
    <mergeCell ref="A32:C32"/>
    <mergeCell ref="A34:C34"/>
    <mergeCell ref="A47:C47"/>
    <mergeCell ref="A48:C48"/>
    <mergeCell ref="A36:C36"/>
    <mergeCell ref="A83:M91"/>
    <mergeCell ref="D50:E50"/>
    <mergeCell ref="F50:M50"/>
    <mergeCell ref="D56:E56"/>
    <mergeCell ref="F56:M56"/>
    <mergeCell ref="D69:E69"/>
    <mergeCell ref="F69:M69"/>
    <mergeCell ref="D63:E63"/>
    <mergeCell ref="F63:M63"/>
    <mergeCell ref="A78:C78"/>
    <mergeCell ref="A79:C79"/>
    <mergeCell ref="A80:C80"/>
    <mergeCell ref="A50:C51"/>
  </mergeCells>
  <phoneticPr fontId="14" type="noConversion"/>
  <pageMargins left="0.7" right="0.7" top="0.75" bottom="0.75" header="0.3" footer="0.3"/>
  <pageSetup scale="60" fitToHeight="0" orientation="portrait" r:id="rId1"/>
  <rowBreaks count="1" manualBreakCount="1">
    <brk id="19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187AB-9D63-48D3-8447-E202B522AF89}">
  <sheetPr>
    <pageSetUpPr fitToPage="1"/>
  </sheetPr>
  <dimension ref="A1:V26"/>
  <sheetViews>
    <sheetView showGridLines="0" view="pageBreakPreview" zoomScaleNormal="100" zoomScaleSheetLayoutView="100" workbookViewId="0">
      <selection activeCell="G61" sqref="G61"/>
    </sheetView>
  </sheetViews>
  <sheetFormatPr baseColWidth="10" defaultRowHeight="15" x14ac:dyDescent="0.25"/>
  <cols>
    <col min="1" max="1" width="30.140625" customWidth="1"/>
    <col min="2" max="2" width="15" customWidth="1"/>
    <col min="3" max="4" width="8.5703125" customWidth="1"/>
    <col min="5" max="18" width="10" customWidth="1"/>
    <col min="19" max="22" width="13" hidden="1" customWidth="1"/>
  </cols>
  <sheetData>
    <row r="1" spans="1:13" ht="18.75" x14ac:dyDescent="0.3">
      <c r="A1" s="338" t="s">
        <v>638</v>
      </c>
    </row>
    <row r="2" spans="1:13" x14ac:dyDescent="0.25">
      <c r="A2" s="339" t="s">
        <v>639</v>
      </c>
    </row>
    <row r="4" spans="1:13" x14ac:dyDescent="0.25">
      <c r="A4" s="415" t="s">
        <v>685</v>
      </c>
      <c r="B4" s="418"/>
    </row>
    <row r="5" spans="1:13" x14ac:dyDescent="0.25">
      <c r="A5" s="416" t="s">
        <v>628</v>
      </c>
      <c r="B5" s="419">
        <v>0</v>
      </c>
    </row>
    <row r="6" spans="1:13" x14ac:dyDescent="0.25">
      <c r="A6" s="416" t="s">
        <v>640</v>
      </c>
      <c r="B6" s="419">
        <v>0</v>
      </c>
    </row>
    <row r="7" spans="1:13" x14ac:dyDescent="0.25">
      <c r="A7" s="416" t="s">
        <v>629</v>
      </c>
      <c r="B7" s="419">
        <v>0</v>
      </c>
    </row>
    <row r="8" spans="1:13" x14ac:dyDescent="0.25">
      <c r="A8" s="417" t="s">
        <v>630</v>
      </c>
      <c r="B8" s="420">
        <v>0</v>
      </c>
    </row>
    <row r="10" spans="1:13" x14ac:dyDescent="0.25">
      <c r="A10" s="1" t="s">
        <v>631</v>
      </c>
      <c r="B10" s="421"/>
    </row>
    <row r="12" spans="1:13" x14ac:dyDescent="0.25">
      <c r="D12" s="407" t="s">
        <v>682</v>
      </c>
      <c r="E12" s="407"/>
      <c r="F12" s="407" t="s">
        <v>106</v>
      </c>
    </row>
    <row r="13" spans="1:13" x14ac:dyDescent="0.25">
      <c r="A13" s="404" t="s">
        <v>676</v>
      </c>
      <c r="B13" s="404"/>
      <c r="C13" s="404"/>
      <c r="D13" s="341" t="str">
        <f>'Flujo proyectado '!D57</f>
        <v/>
      </c>
      <c r="E13" s="341" t="str">
        <f>'Flujo proyectado '!E57</f>
        <v/>
      </c>
      <c r="F13" s="341" t="str">
        <f>'Flujo proyectado '!F57</f>
        <v/>
      </c>
      <c r="G13" s="341" t="str">
        <f>'Flujo proyectado '!G57</f>
        <v/>
      </c>
      <c r="H13" s="341" t="str">
        <f>'Flujo proyectado '!H57</f>
        <v/>
      </c>
      <c r="I13" s="341" t="str">
        <f>'Flujo proyectado '!I57</f>
        <v/>
      </c>
      <c r="J13" s="341" t="str">
        <f>'Flujo proyectado '!J57</f>
        <v/>
      </c>
      <c r="K13" s="341" t="str">
        <f>'Flujo proyectado '!K57</f>
        <v/>
      </c>
      <c r="L13" s="341" t="str">
        <f>'Flujo proyectado '!L57</f>
        <v/>
      </c>
      <c r="M13" s="341" t="str">
        <f>'Flujo proyectado '!M57</f>
        <v/>
      </c>
    </row>
    <row r="14" spans="1:13" x14ac:dyDescent="0.25">
      <c r="A14" s="5" t="s">
        <v>93</v>
      </c>
      <c r="B14" s="5"/>
      <c r="C14" s="5"/>
      <c r="D14" s="359">
        <f>'Flujo proyectado '!D52</f>
        <v>0</v>
      </c>
      <c r="E14" s="359" t="e">
        <f>'Flujo proyectado '!E52</f>
        <v>#DIV/0!</v>
      </c>
      <c r="F14" s="359">
        <f>'Flujo proyectado '!F52</f>
        <v>0</v>
      </c>
      <c r="G14" s="359">
        <f>'Flujo proyectado '!G52</f>
        <v>0</v>
      </c>
      <c r="H14" s="359">
        <f>'Flujo proyectado '!H52</f>
        <v>0</v>
      </c>
      <c r="I14" s="359">
        <f>'Flujo proyectado '!I52</f>
        <v>0</v>
      </c>
      <c r="J14" s="359">
        <f>'Flujo proyectado '!J52</f>
        <v>0</v>
      </c>
      <c r="K14" s="359">
        <f>'Flujo proyectado '!K52</f>
        <v>0</v>
      </c>
      <c r="L14" s="359">
        <f>'Flujo proyectado '!L52</f>
        <v>0</v>
      </c>
      <c r="M14" s="359">
        <f>'Flujo proyectado '!M52</f>
        <v>0</v>
      </c>
    </row>
    <row r="15" spans="1:13" x14ac:dyDescent="0.25">
      <c r="A15" s="5" t="s">
        <v>677</v>
      </c>
      <c r="B15" s="5"/>
      <c r="C15" s="5"/>
      <c r="D15" s="359">
        <f>'Flujo proyectado '!D53</f>
        <v>0</v>
      </c>
      <c r="E15" s="359" t="e">
        <f>'Flujo proyectado '!E53</f>
        <v>#DIV/0!</v>
      </c>
      <c r="F15" s="359">
        <f>'Flujo proyectado '!F53</f>
        <v>0</v>
      </c>
      <c r="G15" s="359">
        <f>'Flujo proyectado '!G53</f>
        <v>0</v>
      </c>
      <c r="H15" s="359">
        <f>'Flujo proyectado '!H53</f>
        <v>0</v>
      </c>
      <c r="I15" s="359">
        <f>'Flujo proyectado '!I53</f>
        <v>0</v>
      </c>
      <c r="J15" s="359">
        <f>'Flujo proyectado '!J53</f>
        <v>0</v>
      </c>
      <c r="K15" s="359">
        <f>'Flujo proyectado '!K53</f>
        <v>0</v>
      </c>
      <c r="L15" s="359">
        <f>'Flujo proyectado '!L53</f>
        <v>0</v>
      </c>
      <c r="M15" s="359">
        <f>'Flujo proyectado '!M53</f>
        <v>0</v>
      </c>
    </row>
    <row r="16" spans="1:13" x14ac:dyDescent="0.25">
      <c r="A16" s="5" t="s">
        <v>678</v>
      </c>
      <c r="B16" s="5"/>
      <c r="C16" s="5"/>
      <c r="D16" s="359">
        <f>'Flujo proyectado '!D54</f>
        <v>0</v>
      </c>
      <c r="E16" s="359" t="e">
        <f>'Flujo proyectado '!E54</f>
        <v>#DIV/0!</v>
      </c>
      <c r="F16" s="359">
        <f>'Flujo proyectado '!F54</f>
        <v>0</v>
      </c>
      <c r="G16" s="359">
        <f>'Flujo proyectado '!G54</f>
        <v>0</v>
      </c>
      <c r="H16" s="359">
        <f>'Flujo proyectado '!H54</f>
        <v>0</v>
      </c>
      <c r="I16" s="359">
        <f>'Flujo proyectado '!I54</f>
        <v>0</v>
      </c>
      <c r="J16" s="359">
        <f>'Flujo proyectado '!J54</f>
        <v>0</v>
      </c>
      <c r="K16" s="359">
        <f>'Flujo proyectado '!K54</f>
        <v>0</v>
      </c>
      <c r="L16" s="359">
        <f>'Flujo proyectado '!L54</f>
        <v>0</v>
      </c>
      <c r="M16" s="359">
        <f>'Flujo proyectado '!M54</f>
        <v>0</v>
      </c>
    </row>
    <row r="17" spans="1:22" x14ac:dyDescent="0.25">
      <c r="A17" s="405" t="s">
        <v>679</v>
      </c>
      <c r="B17" s="405"/>
      <c r="C17" s="405"/>
      <c r="D17" s="403">
        <f>'Flujo proyectado '!D58</f>
        <v>0</v>
      </c>
      <c r="E17" s="403" t="e">
        <f>'Flujo proyectado '!E58</f>
        <v>#DIV/0!</v>
      </c>
      <c r="F17" s="403">
        <f>'Flujo proyectado '!F58</f>
        <v>0</v>
      </c>
      <c r="G17" s="403">
        <f>'Flujo proyectado '!G58</f>
        <v>0</v>
      </c>
      <c r="H17" s="403">
        <f>'Flujo proyectado '!H58</f>
        <v>0</v>
      </c>
      <c r="I17" s="403">
        <f>'Flujo proyectado '!I58</f>
        <v>0</v>
      </c>
      <c r="J17" s="403">
        <f>'Flujo proyectado '!J58</f>
        <v>0</v>
      </c>
      <c r="K17" s="403">
        <f>'Flujo proyectado '!K58</f>
        <v>0</v>
      </c>
      <c r="L17" s="403">
        <f>'Flujo proyectado '!L58</f>
        <v>0</v>
      </c>
      <c r="M17" s="403">
        <f>'Flujo proyectado '!M58</f>
        <v>0</v>
      </c>
    </row>
    <row r="18" spans="1:22" x14ac:dyDescent="0.25">
      <c r="A18" s="5" t="s">
        <v>680</v>
      </c>
      <c r="B18" s="5"/>
      <c r="C18" s="5"/>
      <c r="D18" s="359">
        <f>'Flujo proyectado '!D59</f>
        <v>0</v>
      </c>
      <c r="E18" s="359">
        <f>'Flujo proyectado '!E59</f>
        <v>0</v>
      </c>
      <c r="F18" s="359">
        <f>'Flujo proyectado '!F59</f>
        <v>0</v>
      </c>
      <c r="G18" s="359">
        <f>'Flujo proyectado '!G59</f>
        <v>0</v>
      </c>
      <c r="H18" s="359">
        <f>'Flujo proyectado '!H59</f>
        <v>0</v>
      </c>
      <c r="I18" s="359">
        <f>'Flujo proyectado '!I59</f>
        <v>0</v>
      </c>
      <c r="J18" s="359">
        <f>'Flujo proyectado '!J59</f>
        <v>0</v>
      </c>
      <c r="K18" s="359">
        <f>'Flujo proyectado '!K59</f>
        <v>0</v>
      </c>
      <c r="L18" s="359">
        <f>'Flujo proyectado '!L59</f>
        <v>0</v>
      </c>
      <c r="M18" s="359">
        <f>'Flujo proyectado '!M59</f>
        <v>0</v>
      </c>
    </row>
    <row r="19" spans="1:22" x14ac:dyDescent="0.25">
      <c r="A19" s="406" t="s">
        <v>681</v>
      </c>
      <c r="B19" s="406"/>
      <c r="C19" s="406"/>
      <c r="D19" s="408">
        <f>'Flujo proyectado '!D60</f>
        <v>0</v>
      </c>
      <c r="E19" s="408">
        <f>'Flujo proyectado '!E60</f>
        <v>0</v>
      </c>
      <c r="F19" s="408">
        <f>'Flujo proyectado '!F60</f>
        <v>0</v>
      </c>
      <c r="G19" s="408">
        <f>'Flujo proyectado '!G60</f>
        <v>0</v>
      </c>
      <c r="H19" s="408">
        <f>'Flujo proyectado '!H60</f>
        <v>0</v>
      </c>
      <c r="I19" s="408">
        <f>'Flujo proyectado '!I60</f>
        <v>0</v>
      </c>
      <c r="J19" s="408">
        <f>'Flujo proyectado '!J60</f>
        <v>0</v>
      </c>
      <c r="K19" s="408">
        <f>'Flujo proyectado '!K60</f>
        <v>0</v>
      </c>
      <c r="L19" s="408">
        <f>'Flujo proyectado '!L60</f>
        <v>0</v>
      </c>
      <c r="M19" s="408">
        <f>'Flujo proyectado '!M60</f>
        <v>0</v>
      </c>
    </row>
    <row r="22" spans="1:22" x14ac:dyDescent="0.25">
      <c r="A22" s="3"/>
      <c r="K22" s="3" t="s">
        <v>632</v>
      </c>
    </row>
    <row r="23" spans="1:22" ht="70.150000000000006" customHeight="1" x14ac:dyDescent="0.25">
      <c r="A23" s="342" t="s">
        <v>6</v>
      </c>
      <c r="B23" s="342" t="s">
        <v>62</v>
      </c>
      <c r="C23" s="342" t="s">
        <v>683</v>
      </c>
      <c r="D23" s="342" t="s">
        <v>633</v>
      </c>
      <c r="E23" s="342" t="s">
        <v>684</v>
      </c>
      <c r="F23" s="342" t="str">
        <f>"Precio exp. "&amp;'Flujo proyectado '!$F$7&amp;" (USD/kg)"</f>
        <v>Precio exp.  (USD/kg)</v>
      </c>
      <c r="G23" s="342" t="str">
        <f>"Precio exp. "&amp;'Flujo proyectado '!$G$7&amp;"+ (USD/kg)"</f>
        <v>Precio exp. + (USD/kg)</v>
      </c>
      <c r="H23" s="342" t="s">
        <v>636</v>
      </c>
      <c r="I23" s="342" t="s">
        <v>634</v>
      </c>
      <c r="J23" s="342" t="s">
        <v>641</v>
      </c>
      <c r="K23" s="623" t="str">
        <f>'Flujo proyectado '!F$7</f>
        <v/>
      </c>
      <c r="L23" s="623" t="str">
        <f>'Flujo proyectado '!G$7</f>
        <v/>
      </c>
      <c r="M23" s="623" t="str">
        <f>'Flujo proyectado '!H$7</f>
        <v/>
      </c>
      <c r="N23" s="623" t="str">
        <f>'Flujo proyectado '!I$7</f>
        <v/>
      </c>
      <c r="O23" s="623" t="str">
        <f>'Flujo proyectado '!J$7</f>
        <v/>
      </c>
      <c r="P23" s="623" t="str">
        <f>'Flujo proyectado '!K$7</f>
        <v/>
      </c>
      <c r="Q23" s="623" t="str">
        <f>'Flujo proyectado '!L$7</f>
        <v/>
      </c>
      <c r="R23" s="623" t="str">
        <f>'Flujo proyectado '!M$7</f>
        <v/>
      </c>
      <c r="S23" s="342" t="s">
        <v>642</v>
      </c>
      <c r="T23" s="342" t="s">
        <v>643</v>
      </c>
      <c r="U23" s="342" t="s">
        <v>644</v>
      </c>
      <c r="V23" s="342" t="s">
        <v>645</v>
      </c>
    </row>
    <row r="24" spans="1:22" x14ac:dyDescent="0.25">
      <c r="A24" s="343">
        <f>Plantaciones!A7</f>
        <v>0</v>
      </c>
      <c r="B24" s="343">
        <f>Plantaciones!B7</f>
        <v>0</v>
      </c>
      <c r="C24" s="343">
        <f>Plantaciones!C7</f>
        <v>0</v>
      </c>
      <c r="D24" s="344">
        <f>Plantaciones!E7</f>
        <v>0</v>
      </c>
      <c r="E24" s="346"/>
      <c r="F24" s="347"/>
      <c r="G24" s="347"/>
      <c r="H24" s="347"/>
      <c r="I24" s="337"/>
      <c r="J24" s="347"/>
      <c r="K24" s="348"/>
      <c r="L24" s="348"/>
      <c r="M24" s="348"/>
      <c r="N24" s="348"/>
      <c r="O24" s="348"/>
      <c r="P24" s="348"/>
      <c r="Q24" s="348"/>
      <c r="R24" s="348"/>
      <c r="S24" s="337"/>
      <c r="T24" s="337"/>
      <c r="U24" s="337"/>
      <c r="V24" s="347"/>
    </row>
    <row r="25" spans="1:22" x14ac:dyDescent="0.25">
      <c r="A25" s="349" t="str">
        <f>"Total "&amp;LOWER($A$22)</f>
        <v xml:space="preserve">Total </v>
      </c>
      <c r="B25" s="349"/>
      <c r="C25" s="349"/>
      <c r="D25" s="350">
        <f>SUM(D24:D24)</f>
        <v>0</v>
      </c>
      <c r="E25" s="349"/>
      <c r="F25" s="349"/>
      <c r="G25" s="349"/>
      <c r="H25" s="349"/>
      <c r="I25" s="349"/>
      <c r="J25" s="349"/>
      <c r="K25" s="349"/>
      <c r="L25" s="349"/>
      <c r="M25" s="349"/>
      <c r="N25" s="349"/>
      <c r="O25" s="349"/>
      <c r="P25" s="349"/>
      <c r="Q25" s="349"/>
      <c r="R25" s="349"/>
    </row>
    <row r="26" spans="1:22" ht="30" customHeight="1" x14ac:dyDescent="0.25">
      <c r="A26" s="586"/>
      <c r="B26" s="586"/>
      <c r="C26" s="586"/>
      <c r="D26" s="586"/>
      <c r="E26" s="586"/>
      <c r="F26" s="586"/>
      <c r="G26" s="586"/>
      <c r="H26" s="586"/>
      <c r="I26" s="586"/>
      <c r="J26" s="586"/>
      <c r="K26" s="586"/>
      <c r="L26" s="586"/>
      <c r="M26" s="586"/>
      <c r="N26" s="586"/>
      <c r="O26" s="586"/>
      <c r="P26" s="586"/>
      <c r="Q26" s="586"/>
      <c r="R26" s="586"/>
    </row>
  </sheetData>
  <mergeCells count="1">
    <mergeCell ref="A26:R26"/>
  </mergeCells>
  <printOptions horizontalCentered="1"/>
  <pageMargins left="0.4" right="0.4" top="0.5" bottom="0.5" header="0.3" footer="0.3"/>
  <pageSetup scale="4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DC804-5A68-49C9-B012-320AD4D48B1B}">
  <sheetPr codeName="Hoja6"/>
  <dimension ref="A2:H41"/>
  <sheetViews>
    <sheetView showGridLines="0" view="pageBreakPreview" topLeftCell="A9" zoomScaleNormal="100" zoomScaleSheetLayoutView="100" workbookViewId="0">
      <selection activeCell="J16" sqref="J16"/>
    </sheetView>
  </sheetViews>
  <sheetFormatPr baseColWidth="10" defaultColWidth="11.42578125" defaultRowHeight="15" x14ac:dyDescent="0.25"/>
  <cols>
    <col min="1" max="1" width="10.7109375" customWidth="1"/>
    <col min="4" max="4" width="24.28515625" customWidth="1"/>
    <col min="5" max="5" width="15.42578125" customWidth="1"/>
    <col min="6" max="6" width="16.140625" customWidth="1"/>
    <col min="7" max="7" width="11.28515625" customWidth="1"/>
    <col min="8" max="8" width="11.7109375" customWidth="1"/>
  </cols>
  <sheetData>
    <row r="2" spans="1:8" x14ac:dyDescent="0.25">
      <c r="A2" s="567" t="s">
        <v>99</v>
      </c>
      <c r="B2" s="567"/>
      <c r="C2" s="567"/>
      <c r="D2" s="567"/>
      <c r="E2" s="567"/>
      <c r="F2" s="567"/>
      <c r="G2" s="567"/>
      <c r="H2" s="567"/>
    </row>
    <row r="3" spans="1:8" ht="8.1" customHeight="1" thickBot="1" x14ac:dyDescent="0.3"/>
    <row r="4" spans="1:8" ht="15.75" thickBot="1" x14ac:dyDescent="0.3">
      <c r="A4" s="599" t="s">
        <v>100</v>
      </c>
      <c r="B4" s="600"/>
      <c r="C4" s="600"/>
      <c r="D4" s="601"/>
      <c r="E4" s="596" t="s">
        <v>101</v>
      </c>
      <c r="F4" s="440"/>
      <c r="G4" s="597"/>
      <c r="H4" s="392"/>
    </row>
    <row r="5" spans="1:8" ht="21" customHeight="1" x14ac:dyDescent="0.25">
      <c r="A5" s="587"/>
      <c r="B5" s="483"/>
      <c r="C5" s="483"/>
      <c r="D5" s="483"/>
      <c r="E5" s="483"/>
      <c r="F5" s="483"/>
      <c r="G5" s="483"/>
      <c r="H5" s="484"/>
    </row>
    <row r="6" spans="1:8" ht="21" customHeight="1" x14ac:dyDescent="0.25">
      <c r="A6" s="485"/>
      <c r="B6" s="486"/>
      <c r="C6" s="486"/>
      <c r="D6" s="486"/>
      <c r="E6" s="486"/>
      <c r="F6" s="486"/>
      <c r="G6" s="486"/>
      <c r="H6" s="487"/>
    </row>
    <row r="7" spans="1:8" ht="21" customHeight="1" x14ac:dyDescent="0.25">
      <c r="A7" s="485"/>
      <c r="B7" s="486"/>
      <c r="C7" s="486"/>
      <c r="D7" s="486"/>
      <c r="E7" s="486"/>
      <c r="F7" s="486"/>
      <c r="G7" s="486"/>
      <c r="H7" s="487"/>
    </row>
    <row r="8" spans="1:8" ht="21" customHeight="1" x14ac:dyDescent="0.25">
      <c r="A8" s="485"/>
      <c r="B8" s="486"/>
      <c r="C8" s="486"/>
      <c r="D8" s="486"/>
      <c r="E8" s="486"/>
      <c r="F8" s="486"/>
      <c r="G8" s="486"/>
      <c r="H8" s="487"/>
    </row>
    <row r="9" spans="1:8" ht="21" customHeight="1" x14ac:dyDescent="0.25">
      <c r="A9" s="485"/>
      <c r="B9" s="486"/>
      <c r="C9" s="486"/>
      <c r="D9" s="486"/>
      <c r="E9" s="486"/>
      <c r="F9" s="486"/>
      <c r="G9" s="486"/>
      <c r="H9" s="487"/>
    </row>
    <row r="10" spans="1:8" ht="21" customHeight="1" x14ac:dyDescent="0.25">
      <c r="A10" s="485"/>
      <c r="B10" s="486"/>
      <c r="C10" s="486"/>
      <c r="D10" s="486"/>
      <c r="E10" s="486"/>
      <c r="F10" s="486"/>
      <c r="G10" s="486"/>
      <c r="H10" s="487"/>
    </row>
    <row r="11" spans="1:8" ht="21" customHeight="1" x14ac:dyDescent="0.25">
      <c r="A11" s="485"/>
      <c r="B11" s="486"/>
      <c r="C11" s="486"/>
      <c r="D11" s="486"/>
      <c r="E11" s="486"/>
      <c r="F11" s="486"/>
      <c r="G11" s="486"/>
      <c r="H11" s="487"/>
    </row>
    <row r="12" spans="1:8" ht="21" customHeight="1" x14ac:dyDescent="0.25">
      <c r="A12" s="485"/>
      <c r="B12" s="486"/>
      <c r="C12" s="486"/>
      <c r="D12" s="486"/>
      <c r="E12" s="486"/>
      <c r="F12" s="486"/>
      <c r="G12" s="486"/>
      <c r="H12" s="487"/>
    </row>
    <row r="13" spans="1:8" ht="21" customHeight="1" thickBot="1" x14ac:dyDescent="0.3">
      <c r="A13" s="488"/>
      <c r="B13" s="489"/>
      <c r="C13" s="489"/>
      <c r="D13" s="489"/>
      <c r="E13" s="489"/>
      <c r="F13" s="489"/>
      <c r="G13" s="489"/>
      <c r="H13" s="490"/>
    </row>
    <row r="14" spans="1:8" ht="15.75" thickBot="1" x14ac:dyDescent="0.3">
      <c r="A14" s="599" t="s">
        <v>102</v>
      </c>
      <c r="B14" s="600"/>
      <c r="C14" s="600"/>
      <c r="D14" s="601"/>
      <c r="E14" s="596" t="s">
        <v>101</v>
      </c>
      <c r="F14" s="440"/>
      <c r="G14" s="597"/>
      <c r="H14" s="392"/>
    </row>
    <row r="15" spans="1:8" ht="28.9" customHeight="1" x14ac:dyDescent="0.25">
      <c r="A15" s="602"/>
      <c r="B15" s="603"/>
      <c r="C15" s="603"/>
      <c r="D15" s="603"/>
      <c r="E15" s="603"/>
      <c r="F15" s="603"/>
      <c r="G15" s="603"/>
      <c r="H15" s="604"/>
    </row>
    <row r="16" spans="1:8" ht="28.9" customHeight="1" x14ac:dyDescent="0.25">
      <c r="A16" s="605"/>
      <c r="B16" s="606"/>
      <c r="C16" s="606"/>
      <c r="D16" s="606"/>
      <c r="E16" s="606"/>
      <c r="F16" s="606"/>
      <c r="G16" s="606"/>
      <c r="H16" s="607"/>
    </row>
    <row r="17" spans="1:8" ht="28.9" customHeight="1" x14ac:dyDescent="0.25">
      <c r="A17" s="605"/>
      <c r="B17" s="606"/>
      <c r="C17" s="606"/>
      <c r="D17" s="606"/>
      <c r="E17" s="606"/>
      <c r="F17" s="606"/>
      <c r="G17" s="606"/>
      <c r="H17" s="607"/>
    </row>
    <row r="18" spans="1:8" ht="28.9" customHeight="1" x14ac:dyDescent="0.25">
      <c r="A18" s="605"/>
      <c r="B18" s="606"/>
      <c r="C18" s="606"/>
      <c r="D18" s="606"/>
      <c r="E18" s="606"/>
      <c r="F18" s="606"/>
      <c r="G18" s="606"/>
      <c r="H18" s="607"/>
    </row>
    <row r="19" spans="1:8" ht="28.9" customHeight="1" x14ac:dyDescent="0.25">
      <c r="A19" s="605"/>
      <c r="B19" s="606"/>
      <c r="C19" s="606"/>
      <c r="D19" s="606"/>
      <c r="E19" s="606"/>
      <c r="F19" s="606"/>
      <c r="G19" s="606"/>
      <c r="H19" s="607"/>
    </row>
    <row r="20" spans="1:8" ht="22.9" customHeight="1" thickBot="1" x14ac:dyDescent="0.3">
      <c r="A20" s="608"/>
      <c r="B20" s="609"/>
      <c r="C20" s="609"/>
      <c r="D20" s="609"/>
      <c r="E20" s="609"/>
      <c r="F20" s="609"/>
      <c r="G20" s="609"/>
      <c r="H20" s="610"/>
    </row>
    <row r="21" spans="1:8" ht="21" customHeight="1" thickBot="1" x14ac:dyDescent="0.3">
      <c r="A21" s="599" t="s">
        <v>103</v>
      </c>
      <c r="B21" s="600"/>
      <c r="C21" s="600"/>
      <c r="D21" s="601"/>
      <c r="E21" s="596" t="s">
        <v>101</v>
      </c>
      <c r="F21" s="440"/>
      <c r="G21" s="597"/>
      <c r="H21" s="392"/>
    </row>
    <row r="22" spans="1:8" ht="24" customHeight="1" x14ac:dyDescent="0.25">
      <c r="A22" s="602"/>
      <c r="B22" s="603"/>
      <c r="C22" s="603"/>
      <c r="D22" s="603"/>
      <c r="E22" s="603"/>
      <c r="F22" s="603"/>
      <c r="G22" s="603"/>
      <c r="H22" s="604"/>
    </row>
    <row r="23" spans="1:8" ht="24" customHeight="1" x14ac:dyDescent="0.25">
      <c r="A23" s="611"/>
      <c r="B23" s="606"/>
      <c r="C23" s="606"/>
      <c r="D23" s="606"/>
      <c r="E23" s="606"/>
      <c r="F23" s="606"/>
      <c r="G23" s="606"/>
      <c r="H23" s="607"/>
    </row>
    <row r="24" spans="1:8" ht="24" customHeight="1" x14ac:dyDescent="0.25">
      <c r="A24" s="605"/>
      <c r="B24" s="606"/>
      <c r="C24" s="606"/>
      <c r="D24" s="606"/>
      <c r="E24" s="606"/>
      <c r="F24" s="606"/>
      <c r="G24" s="606"/>
      <c r="H24" s="607"/>
    </row>
    <row r="25" spans="1:8" ht="24" customHeight="1" x14ac:dyDescent="0.25">
      <c r="A25" s="605"/>
      <c r="B25" s="606"/>
      <c r="C25" s="606"/>
      <c r="D25" s="606"/>
      <c r="E25" s="606"/>
      <c r="F25" s="606"/>
      <c r="G25" s="606"/>
      <c r="H25" s="607"/>
    </row>
    <row r="26" spans="1:8" ht="24" customHeight="1" x14ac:dyDescent="0.25">
      <c r="A26" s="605"/>
      <c r="B26" s="606"/>
      <c r="C26" s="606"/>
      <c r="D26" s="606"/>
      <c r="E26" s="606"/>
      <c r="F26" s="606"/>
      <c r="G26" s="606"/>
      <c r="H26" s="607"/>
    </row>
    <row r="27" spans="1:8" ht="24" customHeight="1" x14ac:dyDescent="0.25">
      <c r="A27" s="605"/>
      <c r="B27" s="606"/>
      <c r="C27" s="606"/>
      <c r="D27" s="606"/>
      <c r="E27" s="606"/>
      <c r="F27" s="606"/>
      <c r="G27" s="606"/>
      <c r="H27" s="607"/>
    </row>
    <row r="28" spans="1:8" ht="14.45" customHeight="1" thickBot="1" x14ac:dyDescent="0.3">
      <c r="A28" s="608"/>
      <c r="B28" s="609"/>
      <c r="C28" s="609"/>
      <c r="D28" s="609"/>
      <c r="E28" s="609"/>
      <c r="F28" s="609"/>
      <c r="G28" s="609"/>
      <c r="H28" s="610"/>
    </row>
    <row r="29" spans="1:8" ht="24" customHeight="1" thickBot="1" x14ac:dyDescent="0.3">
      <c r="A29" s="599" t="s">
        <v>104</v>
      </c>
      <c r="B29" s="600"/>
      <c r="C29" s="600"/>
      <c r="D29" s="601"/>
      <c r="E29" s="598" t="s">
        <v>105</v>
      </c>
      <c r="F29" s="598"/>
      <c r="G29" s="598"/>
      <c r="H29" s="392"/>
    </row>
    <row r="30" spans="1:8" x14ac:dyDescent="0.25">
      <c r="A30" s="587"/>
      <c r="B30" s="588"/>
      <c r="C30" s="588"/>
      <c r="D30" s="588"/>
      <c r="E30" s="588"/>
      <c r="F30" s="588"/>
      <c r="G30" s="588"/>
      <c r="H30" s="589"/>
    </row>
    <row r="31" spans="1:8" x14ac:dyDescent="0.25">
      <c r="A31" s="590"/>
      <c r="B31" s="591"/>
      <c r="C31" s="591"/>
      <c r="D31" s="591"/>
      <c r="E31" s="591"/>
      <c r="F31" s="591"/>
      <c r="G31" s="591"/>
      <c r="H31" s="592"/>
    </row>
    <row r="32" spans="1:8" x14ac:dyDescent="0.25">
      <c r="A32" s="590"/>
      <c r="B32" s="591"/>
      <c r="C32" s="591"/>
      <c r="D32" s="591"/>
      <c r="E32" s="591"/>
      <c r="F32" s="591"/>
      <c r="G32" s="591"/>
      <c r="H32" s="592"/>
    </row>
    <row r="33" spans="1:8" x14ac:dyDescent="0.25">
      <c r="A33" s="590"/>
      <c r="B33" s="591"/>
      <c r="C33" s="591"/>
      <c r="D33" s="591"/>
      <c r="E33" s="591"/>
      <c r="F33" s="591"/>
      <c r="G33" s="591"/>
      <c r="H33" s="592"/>
    </row>
    <row r="34" spans="1:8" x14ac:dyDescent="0.25">
      <c r="A34" s="590"/>
      <c r="B34" s="591"/>
      <c r="C34" s="591"/>
      <c r="D34" s="591"/>
      <c r="E34" s="591"/>
      <c r="F34" s="591"/>
      <c r="G34" s="591"/>
      <c r="H34" s="592"/>
    </row>
    <row r="35" spans="1:8" x14ac:dyDescent="0.25">
      <c r="A35" s="590"/>
      <c r="B35" s="591"/>
      <c r="C35" s="591"/>
      <c r="D35" s="591"/>
      <c r="E35" s="591"/>
      <c r="F35" s="591"/>
      <c r="G35" s="591"/>
      <c r="H35" s="592"/>
    </row>
    <row r="36" spans="1:8" x14ac:dyDescent="0.25">
      <c r="A36" s="590"/>
      <c r="B36" s="591"/>
      <c r="C36" s="591"/>
      <c r="D36" s="591"/>
      <c r="E36" s="591"/>
      <c r="F36" s="591"/>
      <c r="G36" s="591"/>
      <c r="H36" s="592"/>
    </row>
    <row r="37" spans="1:8" x14ac:dyDescent="0.25">
      <c r="A37" s="590"/>
      <c r="B37" s="591"/>
      <c r="C37" s="591"/>
      <c r="D37" s="591"/>
      <c r="E37" s="591"/>
      <c r="F37" s="591"/>
      <c r="G37" s="591"/>
      <c r="H37" s="592"/>
    </row>
    <row r="38" spans="1:8" x14ac:dyDescent="0.25">
      <c r="A38" s="590"/>
      <c r="B38" s="591"/>
      <c r="C38" s="591"/>
      <c r="D38" s="591"/>
      <c r="E38" s="591"/>
      <c r="F38" s="591"/>
      <c r="G38" s="591"/>
      <c r="H38" s="592"/>
    </row>
    <row r="39" spans="1:8" x14ac:dyDescent="0.25">
      <c r="A39" s="590"/>
      <c r="B39" s="591"/>
      <c r="C39" s="591"/>
      <c r="D39" s="591"/>
      <c r="E39" s="591"/>
      <c r="F39" s="591"/>
      <c r="G39" s="591"/>
      <c r="H39" s="592"/>
    </row>
    <row r="40" spans="1:8" x14ac:dyDescent="0.25">
      <c r="A40" s="590"/>
      <c r="B40" s="591"/>
      <c r="C40" s="591"/>
      <c r="D40" s="591"/>
      <c r="E40" s="591"/>
      <c r="F40" s="591"/>
      <c r="G40" s="591"/>
      <c r="H40" s="592"/>
    </row>
    <row r="41" spans="1:8" ht="15.75" thickBot="1" x14ac:dyDescent="0.3">
      <c r="A41" s="593"/>
      <c r="B41" s="594"/>
      <c r="C41" s="594"/>
      <c r="D41" s="594"/>
      <c r="E41" s="594"/>
      <c r="F41" s="594"/>
      <c r="G41" s="594"/>
      <c r="H41" s="595"/>
    </row>
  </sheetData>
  <mergeCells count="13">
    <mergeCell ref="A2:H2"/>
    <mergeCell ref="A4:D4"/>
    <mergeCell ref="A14:D14"/>
    <mergeCell ref="A21:D21"/>
    <mergeCell ref="A29:D29"/>
    <mergeCell ref="A5:H13"/>
    <mergeCell ref="A15:H20"/>
    <mergeCell ref="A22:H28"/>
    <mergeCell ref="A30:H41"/>
    <mergeCell ref="E4:G4"/>
    <mergeCell ref="E14:G14"/>
    <mergeCell ref="E21:G21"/>
    <mergeCell ref="E29:G29"/>
  </mergeCells>
  <dataValidations count="1">
    <dataValidation type="list" allowBlank="1" showInputMessage="1" showErrorMessage="1" sqref="H4 H21 H14 H29" xr:uid="{C902ECBC-3565-4017-8112-1806074D6FCE}">
      <formula1>"Muy Bueno, Bueno, Regular, Malo"</formula1>
    </dataValidation>
  </dataValidations>
  <pageMargins left="0.7" right="0.7" top="0.75" bottom="0.75" header="0.3" footer="0.3"/>
  <pageSetup scale="8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7A0AE-D39E-4751-B6E0-FDA9558162F7}">
  <sheetPr codeName="Hoja12"/>
  <dimension ref="A1:J11"/>
  <sheetViews>
    <sheetView showGridLines="0" view="pageBreakPreview" zoomScale="93" zoomScaleNormal="100" zoomScaleSheetLayoutView="93" workbookViewId="0">
      <selection activeCell="N10" sqref="N10"/>
    </sheetView>
  </sheetViews>
  <sheetFormatPr baseColWidth="10" defaultRowHeight="15" x14ac:dyDescent="0.25"/>
  <cols>
    <col min="1" max="1" width="15.42578125" customWidth="1"/>
    <col min="2" max="2" width="13.140625" customWidth="1"/>
    <col min="3" max="3" width="15" customWidth="1"/>
    <col min="4" max="4" width="13.28515625" bestFit="1" customWidth="1"/>
    <col min="5" max="5" width="13.5703125" customWidth="1"/>
    <col min="6" max="6" width="16" customWidth="1"/>
    <col min="7" max="7" width="15.5703125" customWidth="1"/>
    <col min="8" max="8" width="17" customWidth="1"/>
    <col min="9" max="9" width="13.42578125" bestFit="1" customWidth="1"/>
    <col min="10" max="10" width="12" bestFit="1" customWidth="1"/>
  </cols>
  <sheetData>
    <row r="1" spans="1:10" ht="18.75" x14ac:dyDescent="0.3">
      <c r="A1" s="412" t="s">
        <v>691</v>
      </c>
    </row>
    <row r="3" spans="1:10" ht="16.5" thickBot="1" x14ac:dyDescent="0.3">
      <c r="A3" s="302" t="s">
        <v>614</v>
      </c>
      <c r="B3" s="302"/>
      <c r="C3" s="302"/>
      <c r="D3" s="303" t="str">
        <f>IF('Flujo proyectado '!$E$7="","",'Flujo proyectado '!$E$7)</f>
        <v/>
      </c>
      <c r="E3" s="304" t="s">
        <v>615</v>
      </c>
      <c r="F3" s="305"/>
      <c r="G3" s="306"/>
      <c r="H3" s="306"/>
      <c r="I3" s="306"/>
    </row>
    <row r="4" spans="1:10" ht="45" x14ac:dyDescent="0.25">
      <c r="A4" s="307" t="s">
        <v>616</v>
      </c>
      <c r="B4" s="308" t="s">
        <v>617</v>
      </c>
      <c r="C4" s="308" t="s">
        <v>618</v>
      </c>
      <c r="D4" s="309" t="s">
        <v>619</v>
      </c>
      <c r="E4" s="310" t="s">
        <v>620</v>
      </c>
      <c r="F4" s="311" t="s">
        <v>621</v>
      </c>
      <c r="G4" s="310" t="s">
        <v>622</v>
      </c>
      <c r="H4" s="312" t="s">
        <v>623</v>
      </c>
      <c r="I4" s="313" t="s">
        <v>624</v>
      </c>
    </row>
    <row r="5" spans="1:10" x14ac:dyDescent="0.25">
      <c r="A5" s="314"/>
      <c r="B5" s="315"/>
      <c r="C5" s="316" t="s">
        <v>625</v>
      </c>
      <c r="D5" s="317"/>
      <c r="E5" s="318"/>
      <c r="F5" s="319"/>
      <c r="G5" s="320">
        <f>+E5+F5</f>
        <v>0</v>
      </c>
      <c r="H5" s="320"/>
      <c r="I5" s="321">
        <f>+G5-H5</f>
        <v>0</v>
      </c>
      <c r="J5" s="322"/>
    </row>
    <row r="6" spans="1:10" ht="15.75" thickBot="1" x14ac:dyDescent="0.3">
      <c r="A6" s="306"/>
      <c r="B6" s="306"/>
      <c r="C6" s="306"/>
      <c r="D6" s="323"/>
      <c r="E6" s="324">
        <f>SUM(E5:E5)</f>
        <v>0</v>
      </c>
      <c r="F6" s="325">
        <f>SUM(F5:F5)</f>
        <v>0</v>
      </c>
      <c r="G6" s="326">
        <f>SUM(G5:G5)</f>
        <v>0</v>
      </c>
      <c r="H6" s="326">
        <f>SUM(H5:H5)</f>
        <v>0</v>
      </c>
      <c r="I6" s="327">
        <f>SUM(I5:I5)</f>
        <v>0</v>
      </c>
    </row>
    <row r="7" spans="1:10" ht="15.75" x14ac:dyDescent="0.25">
      <c r="A7" s="328"/>
      <c r="B7" s="328"/>
      <c r="C7" s="328"/>
      <c r="D7" s="306"/>
      <c r="E7" s="306"/>
      <c r="F7" s="306"/>
      <c r="G7" s="612" t="s">
        <v>626</v>
      </c>
      <c r="H7" s="613"/>
      <c r="I7" s="329"/>
    </row>
    <row r="8" spans="1:10" ht="15.75" x14ac:dyDescent="0.25">
      <c r="A8" s="306"/>
      <c r="B8" s="306"/>
      <c r="C8" s="306"/>
      <c r="D8" s="306"/>
      <c r="E8" s="306"/>
      <c r="F8" s="306"/>
      <c r="G8" s="614" t="s">
        <v>695</v>
      </c>
      <c r="H8" s="615"/>
      <c r="I8" s="330"/>
    </row>
    <row r="9" spans="1:10" ht="16.5" thickBot="1" x14ac:dyDescent="0.3">
      <c r="A9" s="302"/>
      <c r="B9" s="302"/>
      <c r="C9" s="302"/>
      <c r="D9" s="306"/>
      <c r="E9" s="306"/>
      <c r="F9" s="306"/>
      <c r="G9" s="616" t="s">
        <v>627</v>
      </c>
      <c r="H9" s="617"/>
      <c r="I9" s="331">
        <f>I6-I7-I8</f>
        <v>0</v>
      </c>
    </row>
    <row r="10" spans="1:10" x14ac:dyDescent="0.25">
      <c r="G10" s="332"/>
      <c r="H10" s="332"/>
    </row>
    <row r="11" spans="1:10" x14ac:dyDescent="0.25">
      <c r="D11" s="391"/>
    </row>
  </sheetData>
  <mergeCells count="3">
    <mergeCell ref="G7:H7"/>
    <mergeCell ref="G8:H8"/>
    <mergeCell ref="G9:H9"/>
  </mergeCells>
  <pageMargins left="0.7" right="0.7" top="0.75" bottom="0.75" header="0.3" footer="0.3"/>
  <pageSetup scale="6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15333-0E6A-49E3-A64A-66AFAAB31CAA}">
  <dimension ref="A1:E23"/>
  <sheetViews>
    <sheetView showGridLines="0" view="pageBreakPreview" zoomScale="142" zoomScaleNormal="100" zoomScaleSheetLayoutView="142" workbookViewId="0"/>
  </sheetViews>
  <sheetFormatPr baseColWidth="10" defaultRowHeight="15" x14ac:dyDescent="0.25"/>
  <cols>
    <col min="1" max="1" width="44.42578125" customWidth="1"/>
    <col min="2" max="5" width="20.28515625" customWidth="1"/>
  </cols>
  <sheetData>
    <row r="1" spans="1:5" ht="18.75" x14ac:dyDescent="0.3">
      <c r="A1" s="338" t="s">
        <v>692</v>
      </c>
    </row>
    <row r="2" spans="1:5" x14ac:dyDescent="0.25">
      <c r="A2" s="339" t="str">
        <f>IF('Flujo proyectado '!$E$7="","Período julio – junio. Base imponible mensual declarada ante el SII, en pesos chilenos.","Período julio "&amp;LEFT('Flujo proyectado '!$E$7,4)&amp;" – junio "&amp;IF('Flujo proyectado '!$E$7="","",LEFT('Flujo proyectado '!$E$7,4)+1)&amp;". Base imponible mensual declarada ante el SII, en pesos chilenos.")</f>
        <v>Período julio – junio. Base imponible mensual declarada ante el SII, en pesos chilenos.</v>
      </c>
    </row>
    <row r="4" spans="1:5" ht="30" customHeight="1" x14ac:dyDescent="0.25">
      <c r="A4" s="342" t="s">
        <v>670</v>
      </c>
      <c r="B4" s="342" t="s">
        <v>671</v>
      </c>
      <c r="C4" s="342" t="s">
        <v>672</v>
      </c>
      <c r="D4" s="342" t="s">
        <v>646</v>
      </c>
      <c r="E4" s="342" t="s">
        <v>673</v>
      </c>
    </row>
    <row r="5" spans="1:5" x14ac:dyDescent="0.25">
      <c r="A5" t="str">
        <f>"Julio "&amp;LEFT('Flujo proyectado '!$E$7,4)</f>
        <v xml:space="preserve">Julio </v>
      </c>
      <c r="B5" s="348"/>
      <c r="C5" s="358" t="e">
        <f t="shared" ref="C5:C16" si="0">B5/$C$20</f>
        <v>#DIV/0!</v>
      </c>
      <c r="D5" s="368" t="e">
        <f t="shared" ref="D5:D16" si="1">B5/$B$17</f>
        <v>#DIV/0!</v>
      </c>
      <c r="E5" s="368" t="e">
        <f>SUM($D$5:D5)</f>
        <v>#DIV/0!</v>
      </c>
    </row>
    <row r="6" spans="1:5" x14ac:dyDescent="0.25">
      <c r="A6" t="str">
        <f>"Agosto "&amp;LEFT('Flujo proyectado '!$E$7,4)</f>
        <v xml:space="preserve">Agosto </v>
      </c>
      <c r="B6" s="348"/>
      <c r="C6" s="358" t="e">
        <f t="shared" si="0"/>
        <v>#DIV/0!</v>
      </c>
      <c r="D6" s="368" t="e">
        <f t="shared" si="1"/>
        <v>#DIV/0!</v>
      </c>
      <c r="E6" s="368" t="e">
        <f>SUM($D$5:D6)</f>
        <v>#DIV/0!</v>
      </c>
    </row>
    <row r="7" spans="1:5" x14ac:dyDescent="0.25">
      <c r="A7" t="str">
        <f>"Septiembre "&amp;LEFT('Flujo proyectado '!$E$7,4)</f>
        <v xml:space="preserve">Septiembre </v>
      </c>
      <c r="B7" s="348"/>
      <c r="C7" s="358" t="e">
        <f t="shared" si="0"/>
        <v>#DIV/0!</v>
      </c>
      <c r="D7" s="368" t="e">
        <f t="shared" si="1"/>
        <v>#DIV/0!</v>
      </c>
      <c r="E7" s="368" t="e">
        <f>SUM($D$5:D7)</f>
        <v>#DIV/0!</v>
      </c>
    </row>
    <row r="8" spans="1:5" x14ac:dyDescent="0.25">
      <c r="A8" t="str">
        <f>"Octubre "&amp;LEFT('Flujo proyectado '!$E$7,4)</f>
        <v xml:space="preserve">Octubre </v>
      </c>
      <c r="B8" s="348"/>
      <c r="C8" s="358" t="e">
        <f t="shared" si="0"/>
        <v>#DIV/0!</v>
      </c>
      <c r="D8" s="368" t="e">
        <f t="shared" si="1"/>
        <v>#DIV/0!</v>
      </c>
      <c r="E8" s="368" t="e">
        <f>SUM($D$5:D8)</f>
        <v>#DIV/0!</v>
      </c>
    </row>
    <row r="9" spans="1:5" x14ac:dyDescent="0.25">
      <c r="A9" t="str">
        <f>"Noviembre "&amp;LEFT('Flujo proyectado '!$E$7,4)</f>
        <v xml:space="preserve">Noviembre </v>
      </c>
      <c r="B9" s="348"/>
      <c r="C9" s="358" t="e">
        <f t="shared" si="0"/>
        <v>#DIV/0!</v>
      </c>
      <c r="D9" s="368" t="e">
        <f t="shared" si="1"/>
        <v>#DIV/0!</v>
      </c>
      <c r="E9" s="368" t="e">
        <f>SUM($D$5:D9)</f>
        <v>#DIV/0!</v>
      </c>
    </row>
    <row r="10" spans="1:5" x14ac:dyDescent="0.25">
      <c r="A10" t="str">
        <f>"Diciembre "&amp;LEFT('Flujo proyectado '!$E$7,4)</f>
        <v xml:space="preserve">Diciembre </v>
      </c>
      <c r="B10" s="348"/>
      <c r="C10" s="358" t="e">
        <f t="shared" si="0"/>
        <v>#DIV/0!</v>
      </c>
      <c r="D10" s="368" t="e">
        <f t="shared" si="1"/>
        <v>#DIV/0!</v>
      </c>
      <c r="E10" s="368" t="e">
        <f>SUM($D$5:D10)</f>
        <v>#DIV/0!</v>
      </c>
    </row>
    <row r="11" spans="1:5" x14ac:dyDescent="0.25">
      <c r="A11" t="str">
        <f>"Enero "&amp;IF('Flujo proyectado '!$E$7="","",LEFT('Flujo proyectado '!$E$7,4)+1)</f>
        <v xml:space="preserve">Enero </v>
      </c>
      <c r="B11" s="348"/>
      <c r="C11" s="358" t="e">
        <f t="shared" si="0"/>
        <v>#DIV/0!</v>
      </c>
      <c r="D11" s="368" t="e">
        <f t="shared" si="1"/>
        <v>#DIV/0!</v>
      </c>
      <c r="E11" s="368" t="e">
        <f>SUM($D$5:D11)</f>
        <v>#DIV/0!</v>
      </c>
    </row>
    <row r="12" spans="1:5" x14ac:dyDescent="0.25">
      <c r="A12" t="str">
        <f>"Febrero "&amp;IF('Flujo proyectado '!$E$7="","",LEFT('Flujo proyectado '!$E$7,4)+1)</f>
        <v xml:space="preserve">Febrero </v>
      </c>
      <c r="B12" s="348"/>
      <c r="C12" s="358" t="e">
        <f t="shared" si="0"/>
        <v>#DIV/0!</v>
      </c>
      <c r="D12" s="368" t="e">
        <f t="shared" si="1"/>
        <v>#DIV/0!</v>
      </c>
      <c r="E12" s="368" t="e">
        <f>SUM($D$5:D12)</f>
        <v>#DIV/0!</v>
      </c>
    </row>
    <row r="13" spans="1:5" x14ac:dyDescent="0.25">
      <c r="A13" t="str">
        <f>"Marzo "&amp;IF('Flujo proyectado '!$E$7="","",LEFT('Flujo proyectado '!$E$7,4)+1)</f>
        <v xml:space="preserve">Marzo </v>
      </c>
      <c r="B13" s="348"/>
      <c r="C13" s="358" t="e">
        <f t="shared" si="0"/>
        <v>#DIV/0!</v>
      </c>
      <c r="D13" s="368" t="e">
        <f t="shared" si="1"/>
        <v>#DIV/0!</v>
      </c>
      <c r="E13" s="368" t="e">
        <f>SUM($D$5:D13)</f>
        <v>#DIV/0!</v>
      </c>
    </row>
    <row r="14" spans="1:5" x14ac:dyDescent="0.25">
      <c r="A14" t="str">
        <f>"Abril "&amp;IF('Flujo proyectado '!$E$7="","",LEFT('Flujo proyectado '!$E$7,4)+1)</f>
        <v xml:space="preserve">Abril </v>
      </c>
      <c r="B14" s="348"/>
      <c r="C14" s="358" t="e">
        <f t="shared" si="0"/>
        <v>#DIV/0!</v>
      </c>
      <c r="D14" s="368" t="e">
        <f t="shared" si="1"/>
        <v>#DIV/0!</v>
      </c>
      <c r="E14" s="368" t="e">
        <f>SUM($D$5:D14)</f>
        <v>#DIV/0!</v>
      </c>
    </row>
    <row r="15" spans="1:5" x14ac:dyDescent="0.25">
      <c r="A15" t="str">
        <f>"Mayo "&amp;IF('Flujo proyectado '!$E$7="","",LEFT('Flujo proyectado '!$E$7,4)+1)</f>
        <v xml:space="preserve">Mayo </v>
      </c>
      <c r="B15" s="348"/>
      <c r="C15" s="358" t="e">
        <f t="shared" si="0"/>
        <v>#DIV/0!</v>
      </c>
      <c r="D15" s="368" t="e">
        <f t="shared" si="1"/>
        <v>#DIV/0!</v>
      </c>
      <c r="E15" s="368" t="e">
        <f>SUM($D$5:D15)</f>
        <v>#DIV/0!</v>
      </c>
    </row>
    <row r="16" spans="1:5" x14ac:dyDescent="0.25">
      <c r="A16" t="str">
        <f>"Junio "&amp;IF('Flujo proyectado '!$E$7="","",LEFT('Flujo proyectado '!$E$7,4)+1)</f>
        <v xml:space="preserve">Junio </v>
      </c>
      <c r="B16" s="348"/>
      <c r="C16" s="358" t="e">
        <f t="shared" si="0"/>
        <v>#DIV/0!</v>
      </c>
      <c r="D16" s="368" t="e">
        <f t="shared" si="1"/>
        <v>#DIV/0!</v>
      </c>
      <c r="E16" s="368" t="e">
        <f>SUM($D$5:D16)</f>
        <v>#DIV/0!</v>
      </c>
    </row>
    <row r="17" spans="1:5" ht="15.75" thickBot="1" x14ac:dyDescent="0.3">
      <c r="A17" s="386" t="s">
        <v>665</v>
      </c>
      <c r="B17" s="387">
        <f>SUM(B5:B16)</f>
        <v>0</v>
      </c>
      <c r="C17" s="387" t="e">
        <f>SUM(C5:C16)</f>
        <v>#DIV/0!</v>
      </c>
      <c r="D17" s="388" t="e">
        <f>SUM(D5:D16)</f>
        <v>#DIV/0!</v>
      </c>
      <c r="E17" s="386"/>
    </row>
    <row r="18" spans="1:5" ht="15.75" thickTop="1" x14ac:dyDescent="0.25"/>
    <row r="19" spans="1:5" x14ac:dyDescent="0.25">
      <c r="A19" t="str">
        <f>"Venta temporada "&amp;'Flujo proyectado '!$E$7&amp;" informada"</f>
        <v>Venta temporada  informada</v>
      </c>
      <c r="B19" s="371">
        <f>'Anexo 1 Resultado'!G6</f>
        <v>0</v>
      </c>
      <c r="C19" s="336" t="e">
        <f>B19/$C$20</f>
        <v>#DIV/0!</v>
      </c>
    </row>
    <row r="20" spans="1:5" x14ac:dyDescent="0.25">
      <c r="A20" t="s">
        <v>674</v>
      </c>
      <c r="C20" s="385">
        <f>'Anexo 1 Resultado'!F3</f>
        <v>0</v>
      </c>
    </row>
    <row r="21" spans="1:5" x14ac:dyDescent="0.25">
      <c r="A21" t="s">
        <v>675</v>
      </c>
      <c r="B21" s="369" t="e">
        <f>B17/B19-1</f>
        <v>#DIV/0!</v>
      </c>
    </row>
    <row r="23" spans="1:5" ht="64.150000000000006" customHeight="1" x14ac:dyDescent="0.25">
      <c r="A23" s="618"/>
      <c r="B23" s="619"/>
      <c r="C23" s="619"/>
      <c r="D23" s="619"/>
      <c r="E23" s="619"/>
    </row>
  </sheetData>
  <mergeCells count="1">
    <mergeCell ref="A23:E23"/>
  </mergeCells>
  <pageMargins left="0.7" right="0.7" top="0.75" bottom="0.75" header="0.3" footer="0.3"/>
  <pageSetup scale="7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0BCF0-AA69-4273-B1CE-7E07CAD65EBE}">
  <dimension ref="A1:H12"/>
  <sheetViews>
    <sheetView view="pageBreakPreview" topLeftCell="A22" zoomScale="83" zoomScaleNormal="100" zoomScaleSheetLayoutView="83" workbookViewId="0">
      <selection activeCell="L58" sqref="L58"/>
    </sheetView>
  </sheetViews>
  <sheetFormatPr baseColWidth="10" defaultRowHeight="15" x14ac:dyDescent="0.25"/>
  <cols>
    <col min="1" max="1" width="61.140625" customWidth="1"/>
    <col min="2" max="7" width="18.5703125" customWidth="1"/>
  </cols>
  <sheetData>
    <row r="1" spans="1:8" ht="18.75" x14ac:dyDescent="0.3">
      <c r="A1" s="412" t="s">
        <v>693</v>
      </c>
    </row>
    <row r="2" spans="1:8" ht="18.75" x14ac:dyDescent="0.3">
      <c r="A2" s="412"/>
    </row>
    <row r="3" spans="1:8" ht="18.75" x14ac:dyDescent="0.3">
      <c r="A3" s="411" t="s">
        <v>648</v>
      </c>
    </row>
    <row r="5" spans="1:8" x14ac:dyDescent="0.25">
      <c r="A5" s="3"/>
    </row>
    <row r="6" spans="1:8" ht="30" x14ac:dyDescent="0.25">
      <c r="A6" s="342" t="s">
        <v>649</v>
      </c>
      <c r="B6" s="342" t="s">
        <v>650</v>
      </c>
      <c r="C6" s="342" t="s">
        <v>651</v>
      </c>
      <c r="D6" s="342" t="s">
        <v>652</v>
      </c>
      <c r="E6" s="342" t="s">
        <v>653</v>
      </c>
      <c r="F6" s="342" t="s">
        <v>654</v>
      </c>
    </row>
    <row r="7" spans="1:8" x14ac:dyDescent="0.25">
      <c r="A7" s="345"/>
      <c r="B7" s="337"/>
      <c r="C7" s="347"/>
      <c r="D7" s="337"/>
      <c r="E7" s="344"/>
      <c r="F7" s="369" t="str">
        <f>IF(E7="","",IFERROR(E7/C7-1,""))</f>
        <v/>
      </c>
    </row>
    <row r="8" spans="1:8" x14ac:dyDescent="0.25">
      <c r="A8" s="378" t="s">
        <v>655</v>
      </c>
      <c r="B8" s="379">
        <f>SUM(B7:B7)</f>
        <v>0</v>
      </c>
      <c r="C8" s="380" t="str">
        <f>IFERROR(D8/B8,"")</f>
        <v/>
      </c>
      <c r="D8" s="379">
        <f>SUM(D7:D7)</f>
        <v>0</v>
      </c>
      <c r="E8" s="381"/>
      <c r="F8" s="382" t="str">
        <f>IF(E8="","",IFERROR(E8/C8-1,""))</f>
        <v/>
      </c>
    </row>
    <row r="10" spans="1:8" x14ac:dyDescent="0.25">
      <c r="A10" s="3" t="s">
        <v>696</v>
      </c>
    </row>
    <row r="11" spans="1:8" x14ac:dyDescent="0.25">
      <c r="A11" s="340" t="s">
        <v>637</v>
      </c>
      <c r="B11" s="621" t="s">
        <v>657</v>
      </c>
      <c r="C11" s="621"/>
      <c r="D11" s="621"/>
      <c r="E11" s="621"/>
      <c r="F11" s="621"/>
      <c r="G11" s="621"/>
      <c r="H11" s="621"/>
    </row>
    <row r="12" spans="1:8" ht="63.6" customHeight="1" x14ac:dyDescent="0.25">
      <c r="A12" s="370"/>
      <c r="B12" s="620"/>
      <c r="C12" s="620"/>
      <c r="D12" s="620"/>
      <c r="E12" s="620"/>
      <c r="F12" s="620"/>
      <c r="G12" s="620"/>
      <c r="H12" s="620"/>
    </row>
  </sheetData>
  <mergeCells count="2">
    <mergeCell ref="B11:H11"/>
    <mergeCell ref="B12:H12"/>
  </mergeCells>
  <pageMargins left="0.7" right="0.7" top="0.75" bottom="0.75" header="0.3" footer="0.3"/>
  <pageSetup scale="4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B3313-9518-4C5B-A80B-7E6D268AB930}">
  <dimension ref="A1:C12"/>
  <sheetViews>
    <sheetView showGridLines="0" view="pageBreakPreview" zoomScale="60" zoomScaleNormal="100" workbookViewId="0">
      <selection activeCell="K6" sqref="K6"/>
    </sheetView>
  </sheetViews>
  <sheetFormatPr baseColWidth="10" defaultRowHeight="15" x14ac:dyDescent="0.25"/>
  <cols>
    <col min="1" max="3" width="40.28515625" style="409" customWidth="1"/>
  </cols>
  <sheetData>
    <row r="1" spans="1:3" ht="18.75" x14ac:dyDescent="0.3">
      <c r="A1" s="410" t="s">
        <v>694</v>
      </c>
    </row>
    <row r="3" spans="1:3" ht="133.15" customHeight="1" x14ac:dyDescent="0.25">
      <c r="A3" s="413"/>
      <c r="B3" s="413"/>
      <c r="C3" s="413"/>
    </row>
    <row r="4" spans="1:3" ht="19.149999999999999" customHeight="1" x14ac:dyDescent="0.25">
      <c r="A4" s="101"/>
      <c r="B4" s="101"/>
      <c r="C4" s="101"/>
    </row>
    <row r="5" spans="1:3" ht="134.44999999999999" customHeight="1" x14ac:dyDescent="0.25">
      <c r="A5" s="414"/>
      <c r="B5" s="414"/>
      <c r="C5" s="414"/>
    </row>
    <row r="6" spans="1:3" ht="19.149999999999999" customHeight="1" x14ac:dyDescent="0.25">
      <c r="A6" s="101"/>
      <c r="B6" s="101"/>
      <c r="C6" s="101"/>
    </row>
    <row r="7" spans="1:3" ht="134.44999999999999" customHeight="1" x14ac:dyDescent="0.25">
      <c r="A7" s="414"/>
      <c r="B7" s="414"/>
      <c r="C7" s="414"/>
    </row>
    <row r="8" spans="1:3" ht="19.149999999999999" customHeight="1" x14ac:dyDescent="0.25">
      <c r="A8" s="101"/>
      <c r="B8" s="101"/>
      <c r="C8" s="101"/>
    </row>
    <row r="9" spans="1:3" ht="134.44999999999999" customHeight="1" x14ac:dyDescent="0.25">
      <c r="A9" s="414"/>
      <c r="B9" s="414"/>
      <c r="C9" s="414"/>
    </row>
    <row r="10" spans="1:3" ht="19.149999999999999" customHeight="1" x14ac:dyDescent="0.25">
      <c r="A10" s="101"/>
      <c r="B10" s="101"/>
      <c r="C10" s="101"/>
    </row>
    <row r="11" spans="1:3" ht="134.44999999999999" customHeight="1" x14ac:dyDescent="0.25">
      <c r="A11" s="414"/>
      <c r="B11" s="414"/>
      <c r="C11" s="414"/>
    </row>
    <row r="12" spans="1:3" ht="19.149999999999999" customHeight="1" x14ac:dyDescent="0.25">
      <c r="A12" s="101"/>
      <c r="B12" s="101"/>
      <c r="C12" s="101"/>
    </row>
  </sheetData>
  <printOptions horizontalCentered="1"/>
  <pageMargins left="0.5" right="0.5" top="0.5" bottom="0.5" header="0.3" footer="0.3"/>
  <pageSetup scale="66" orientation="portrait" r:id="rId1"/>
  <colBreaks count="1" manualBreakCount="1">
    <brk id="3" max="48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EB567-B194-4507-B282-2045B51C34BC}">
  <sheetPr codeName="Hoja9"/>
  <dimension ref="A2:B20"/>
  <sheetViews>
    <sheetView workbookViewId="0">
      <selection activeCell="F13" sqref="F13"/>
    </sheetView>
  </sheetViews>
  <sheetFormatPr baseColWidth="10" defaultRowHeight="15" x14ac:dyDescent="0.25"/>
  <cols>
    <col min="1" max="1" width="26.7109375" customWidth="1"/>
  </cols>
  <sheetData>
    <row r="2" spans="1:2" x14ac:dyDescent="0.25">
      <c r="A2" s="3" t="s">
        <v>32</v>
      </c>
    </row>
    <row r="3" spans="1:2" x14ac:dyDescent="0.25">
      <c r="A3" t="s">
        <v>116</v>
      </c>
    </row>
    <row r="4" spans="1:2" x14ac:dyDescent="0.25">
      <c r="A4" t="s">
        <v>133</v>
      </c>
    </row>
    <row r="5" spans="1:2" x14ac:dyDescent="0.25">
      <c r="A5" t="s">
        <v>134</v>
      </c>
    </row>
    <row r="6" spans="1:2" x14ac:dyDescent="0.25">
      <c r="A6" t="s">
        <v>122</v>
      </c>
    </row>
    <row r="7" spans="1:2" x14ac:dyDescent="0.25">
      <c r="A7" t="s">
        <v>135</v>
      </c>
    </row>
    <row r="9" spans="1:2" x14ac:dyDescent="0.25">
      <c r="A9" s="3" t="s">
        <v>144</v>
      </c>
    </row>
    <row r="10" spans="1:2" x14ac:dyDescent="0.25">
      <c r="A10" t="s">
        <v>140</v>
      </c>
    </row>
    <row r="11" spans="1:2" x14ac:dyDescent="0.25">
      <c r="A11" t="s">
        <v>141</v>
      </c>
    </row>
    <row r="12" spans="1:2" x14ac:dyDescent="0.25">
      <c r="A12" t="s">
        <v>142</v>
      </c>
    </row>
    <row r="13" spans="1:2" x14ac:dyDescent="0.25">
      <c r="A13" t="s">
        <v>143</v>
      </c>
    </row>
    <row r="15" spans="1:2" x14ac:dyDescent="0.25">
      <c r="A15" t="s">
        <v>204</v>
      </c>
      <c r="B15" s="274" t="s">
        <v>11</v>
      </c>
    </row>
    <row r="16" spans="1:2" x14ac:dyDescent="0.25">
      <c r="A16" t="s">
        <v>121</v>
      </c>
      <c r="B16" s="274">
        <v>0.9</v>
      </c>
    </row>
    <row r="17" spans="1:2" x14ac:dyDescent="0.25">
      <c r="A17" t="s">
        <v>205</v>
      </c>
      <c r="B17" s="274">
        <v>0.8</v>
      </c>
    </row>
    <row r="18" spans="1:2" x14ac:dyDescent="0.25">
      <c r="A18" t="s">
        <v>206</v>
      </c>
      <c r="B18" s="274">
        <v>0.7</v>
      </c>
    </row>
    <row r="19" spans="1:2" x14ac:dyDescent="0.25">
      <c r="A19" t="s">
        <v>207</v>
      </c>
      <c r="B19" s="274">
        <v>0.5</v>
      </c>
    </row>
    <row r="20" spans="1:2" x14ac:dyDescent="0.25">
      <c r="A20" t="s">
        <v>208</v>
      </c>
      <c r="B20" s="274">
        <v>0.6</v>
      </c>
    </row>
  </sheetData>
  <pageMargins left="0.7" right="0.7" top="0.75" bottom="0.75" header="0.3" footer="0.3"/>
  <pageSetup scal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9DCF0-7DC6-4613-B032-0AB9766EF611}">
  <sheetPr codeName="Hoja10"/>
  <dimension ref="A1:I355"/>
  <sheetViews>
    <sheetView zoomScaleNormal="100" workbookViewId="0">
      <pane xSplit="3" ySplit="5" topLeftCell="D321" activePane="bottomRight" state="frozen"/>
      <selection pane="topRight" activeCell="C1" sqref="C1"/>
      <selection pane="bottomLeft" activeCell="A6" sqref="A6"/>
      <selection pane="bottomRight" activeCell="E349" sqref="E349"/>
    </sheetView>
  </sheetViews>
  <sheetFormatPr baseColWidth="10" defaultColWidth="8.7109375" defaultRowHeight="15" x14ac:dyDescent="0.25"/>
  <cols>
    <col min="1" max="1" width="8.7109375" style="289"/>
    <col min="2" max="2" width="18" style="276" customWidth="1"/>
    <col min="3" max="3" width="22" style="276" customWidth="1"/>
    <col min="4" max="4" width="34" style="276" customWidth="1"/>
    <col min="5" max="5" width="32" style="276" customWidth="1"/>
    <col min="6" max="8" width="13" style="276" customWidth="1"/>
    <col min="9" max="9" width="15.7109375" style="276" customWidth="1"/>
    <col min="10" max="16384" width="8.7109375" style="276"/>
  </cols>
  <sheetData>
    <row r="1" spans="1:9" ht="16.5" x14ac:dyDescent="0.25">
      <c r="B1" s="275" t="s">
        <v>209</v>
      </c>
    </row>
    <row r="2" spans="1:9" x14ac:dyDescent="0.25">
      <c r="B2" s="277" t="s">
        <v>210</v>
      </c>
    </row>
    <row r="3" spans="1:9" x14ac:dyDescent="0.25">
      <c r="B3" s="278" t="s">
        <v>211</v>
      </c>
      <c r="D3" s="279">
        <v>31</v>
      </c>
    </row>
    <row r="5" spans="1:9" ht="31.5" customHeight="1" x14ac:dyDescent="0.25">
      <c r="A5" s="280" t="s">
        <v>540</v>
      </c>
      <c r="B5" s="280" t="s">
        <v>151</v>
      </c>
      <c r="C5" s="280" t="s">
        <v>43</v>
      </c>
      <c r="D5" s="280" t="s">
        <v>212</v>
      </c>
      <c r="E5" s="280" t="s">
        <v>213</v>
      </c>
      <c r="F5" s="280" t="s">
        <v>214</v>
      </c>
      <c r="G5" s="280" t="s">
        <v>215</v>
      </c>
      <c r="H5" s="280" t="s">
        <v>216</v>
      </c>
      <c r="I5" s="280" t="s">
        <v>217</v>
      </c>
    </row>
    <row r="6" spans="1:9" ht="15.75" x14ac:dyDescent="0.25">
      <c r="A6" s="288" t="s">
        <v>541</v>
      </c>
      <c r="B6" s="281" t="s">
        <v>547</v>
      </c>
      <c r="C6" s="281" t="s">
        <v>218</v>
      </c>
      <c r="D6" s="281" t="s">
        <v>219</v>
      </c>
      <c r="E6" s="282" t="s">
        <v>220</v>
      </c>
      <c r="F6" s="283">
        <v>7.2</v>
      </c>
      <c r="G6" s="284">
        <f t="shared" ref="G6:G37" si="0">F6*$D$3</f>
        <v>223.20000000000002</v>
      </c>
      <c r="H6" s="285">
        <v>1878</v>
      </c>
      <c r="I6" s="286">
        <f t="shared" ref="I6:I37" si="1">ROUND(F6*1.15,2)</f>
        <v>8.2799999999999994</v>
      </c>
    </row>
    <row r="7" spans="1:9" ht="15.75" x14ac:dyDescent="0.25">
      <c r="A7" s="288" t="s">
        <v>541</v>
      </c>
      <c r="B7" s="281" t="s">
        <v>547</v>
      </c>
      <c r="C7" s="281" t="s">
        <v>221</v>
      </c>
      <c r="D7" s="281" t="s">
        <v>221</v>
      </c>
      <c r="E7" s="281" t="s">
        <v>222</v>
      </c>
      <c r="F7" s="283">
        <v>4.9000000000000004</v>
      </c>
      <c r="G7" s="284">
        <f t="shared" si="0"/>
        <v>151.9</v>
      </c>
      <c r="H7" s="285">
        <v>1314</v>
      </c>
      <c r="I7" s="286">
        <f t="shared" si="1"/>
        <v>5.64</v>
      </c>
    </row>
    <row r="8" spans="1:9" ht="15.75" x14ac:dyDescent="0.25">
      <c r="A8" s="288" t="s">
        <v>541</v>
      </c>
      <c r="B8" s="281" t="s">
        <v>547</v>
      </c>
      <c r="C8" s="281" t="s">
        <v>223</v>
      </c>
      <c r="D8" s="281" t="s">
        <v>223</v>
      </c>
      <c r="E8" s="281" t="s">
        <v>222</v>
      </c>
      <c r="F8" s="283">
        <v>5.0999999999999996</v>
      </c>
      <c r="G8" s="284">
        <f t="shared" si="0"/>
        <v>158.1</v>
      </c>
      <c r="H8" s="285">
        <v>1357</v>
      </c>
      <c r="I8" s="286">
        <f t="shared" si="1"/>
        <v>5.87</v>
      </c>
    </row>
    <row r="9" spans="1:9" ht="15.75" x14ac:dyDescent="0.25">
      <c r="A9" s="288" t="s">
        <v>541</v>
      </c>
      <c r="B9" s="281" t="s">
        <v>547</v>
      </c>
      <c r="C9" s="281" t="s">
        <v>224</v>
      </c>
      <c r="D9" s="281" t="s">
        <v>224</v>
      </c>
      <c r="E9" s="281" t="s">
        <v>222</v>
      </c>
      <c r="F9" s="283">
        <v>6.3</v>
      </c>
      <c r="G9" s="284">
        <f t="shared" si="0"/>
        <v>195.29999999999998</v>
      </c>
      <c r="H9" s="285">
        <v>1660</v>
      </c>
      <c r="I9" s="286">
        <f t="shared" si="1"/>
        <v>7.25</v>
      </c>
    </row>
    <row r="10" spans="1:9" ht="15.75" x14ac:dyDescent="0.25">
      <c r="A10" s="288" t="s">
        <v>541</v>
      </c>
      <c r="B10" s="281" t="s">
        <v>547</v>
      </c>
      <c r="C10" s="281" t="s">
        <v>225</v>
      </c>
      <c r="D10" s="281" t="s">
        <v>226</v>
      </c>
      <c r="E10" s="281" t="s">
        <v>222</v>
      </c>
      <c r="F10" s="283">
        <v>6.6</v>
      </c>
      <c r="G10" s="284">
        <f t="shared" si="0"/>
        <v>204.6</v>
      </c>
      <c r="H10" s="285">
        <v>1912</v>
      </c>
      <c r="I10" s="286">
        <f t="shared" si="1"/>
        <v>7.59</v>
      </c>
    </row>
    <row r="11" spans="1:9" ht="15.75" x14ac:dyDescent="0.25">
      <c r="A11" s="288" t="s">
        <v>541</v>
      </c>
      <c r="B11" s="281" t="s">
        <v>547</v>
      </c>
      <c r="C11" s="281" t="s">
        <v>227</v>
      </c>
      <c r="D11" s="281" t="s">
        <v>227</v>
      </c>
      <c r="E11" s="281" t="s">
        <v>222</v>
      </c>
      <c r="F11" s="283">
        <v>5</v>
      </c>
      <c r="G11" s="284">
        <f t="shared" si="0"/>
        <v>155</v>
      </c>
      <c r="H11" s="285">
        <v>1231</v>
      </c>
      <c r="I11" s="286">
        <f t="shared" si="1"/>
        <v>5.75</v>
      </c>
    </row>
    <row r="12" spans="1:9" ht="15.75" x14ac:dyDescent="0.25">
      <c r="A12" s="288" t="s">
        <v>541</v>
      </c>
      <c r="B12" s="281" t="s">
        <v>547</v>
      </c>
      <c r="C12" s="281" t="s">
        <v>228</v>
      </c>
      <c r="D12" s="281" t="s">
        <v>228</v>
      </c>
      <c r="E12" s="281" t="s">
        <v>222</v>
      </c>
      <c r="F12" s="283">
        <v>4.8</v>
      </c>
      <c r="G12" s="284">
        <f t="shared" si="0"/>
        <v>148.79999999999998</v>
      </c>
      <c r="H12" s="285">
        <v>1176</v>
      </c>
      <c r="I12" s="286">
        <f t="shared" si="1"/>
        <v>5.52</v>
      </c>
    </row>
    <row r="13" spans="1:9" ht="15.75" x14ac:dyDescent="0.25">
      <c r="A13" s="288" t="s">
        <v>541</v>
      </c>
      <c r="B13" s="281" t="s">
        <v>547</v>
      </c>
      <c r="C13" s="281" t="s">
        <v>229</v>
      </c>
      <c r="D13" s="281" t="s">
        <v>229</v>
      </c>
      <c r="E13" s="281" t="s">
        <v>222</v>
      </c>
      <c r="F13" s="283">
        <v>6.8</v>
      </c>
      <c r="G13" s="284">
        <f t="shared" si="0"/>
        <v>210.79999999999998</v>
      </c>
      <c r="H13" s="285">
        <v>1794</v>
      </c>
      <c r="I13" s="286">
        <f t="shared" si="1"/>
        <v>7.82</v>
      </c>
    </row>
    <row r="14" spans="1:9" ht="15.75" x14ac:dyDescent="0.25">
      <c r="A14" s="288" t="s">
        <v>541</v>
      </c>
      <c r="B14" s="281" t="s">
        <v>547</v>
      </c>
      <c r="C14" s="281" t="s">
        <v>230</v>
      </c>
      <c r="D14" s="281" t="s">
        <v>230</v>
      </c>
      <c r="E14" s="281" t="s">
        <v>222</v>
      </c>
      <c r="F14" s="283">
        <v>6</v>
      </c>
      <c r="G14" s="284">
        <f t="shared" si="0"/>
        <v>186</v>
      </c>
      <c r="H14" s="285">
        <v>1510</v>
      </c>
      <c r="I14" s="286">
        <f t="shared" si="1"/>
        <v>6.9</v>
      </c>
    </row>
    <row r="15" spans="1:9" ht="15.75" x14ac:dyDescent="0.25">
      <c r="A15" s="288" t="s">
        <v>542</v>
      </c>
      <c r="B15" s="281" t="s">
        <v>235</v>
      </c>
      <c r="C15" s="281" t="s">
        <v>231</v>
      </c>
      <c r="D15" s="281" t="s">
        <v>231</v>
      </c>
      <c r="E15" s="281" t="s">
        <v>222</v>
      </c>
      <c r="F15" s="283">
        <v>6</v>
      </c>
      <c r="G15" s="284">
        <f t="shared" si="0"/>
        <v>186</v>
      </c>
      <c r="H15" s="285">
        <v>1479</v>
      </c>
      <c r="I15" s="286">
        <f t="shared" si="1"/>
        <v>6.9</v>
      </c>
    </row>
    <row r="16" spans="1:9" ht="15.75" x14ac:dyDescent="0.25">
      <c r="A16" s="288" t="s">
        <v>542</v>
      </c>
      <c r="B16" s="281" t="s">
        <v>235</v>
      </c>
      <c r="C16" s="281" t="s">
        <v>232</v>
      </c>
      <c r="D16" s="281" t="s">
        <v>233</v>
      </c>
      <c r="E16" s="281" t="s">
        <v>222</v>
      </c>
      <c r="F16" s="283">
        <v>5.0999999999999996</v>
      </c>
      <c r="G16" s="284">
        <f t="shared" si="0"/>
        <v>158.1</v>
      </c>
      <c r="H16" s="285">
        <v>1247</v>
      </c>
      <c r="I16" s="286">
        <f t="shared" si="1"/>
        <v>5.87</v>
      </c>
    </row>
    <row r="17" spans="1:9" ht="15.75" x14ac:dyDescent="0.25">
      <c r="A17" s="288" t="s">
        <v>542</v>
      </c>
      <c r="B17" s="281" t="s">
        <v>235</v>
      </c>
      <c r="C17" s="281" t="s">
        <v>234</v>
      </c>
      <c r="D17" s="281" t="s">
        <v>234</v>
      </c>
      <c r="E17" s="281" t="s">
        <v>222</v>
      </c>
      <c r="F17" s="283">
        <v>6.8</v>
      </c>
      <c r="G17" s="284">
        <f t="shared" si="0"/>
        <v>210.79999999999998</v>
      </c>
      <c r="H17" s="285">
        <v>1669</v>
      </c>
      <c r="I17" s="286">
        <f t="shared" si="1"/>
        <v>7.82</v>
      </c>
    </row>
    <row r="18" spans="1:9" ht="15.75" x14ac:dyDescent="0.25">
      <c r="A18" s="288" t="s">
        <v>542</v>
      </c>
      <c r="B18" s="281" t="s">
        <v>235</v>
      </c>
      <c r="C18" s="281" t="s">
        <v>235</v>
      </c>
      <c r="D18" s="281" t="s">
        <v>235</v>
      </c>
      <c r="E18" s="281" t="s">
        <v>222</v>
      </c>
      <c r="F18" s="283">
        <v>4.5</v>
      </c>
      <c r="G18" s="284">
        <f t="shared" si="0"/>
        <v>139.5</v>
      </c>
      <c r="H18" s="285">
        <v>1092</v>
      </c>
      <c r="I18" s="286">
        <f t="shared" si="1"/>
        <v>5.18</v>
      </c>
    </row>
    <row r="19" spans="1:9" ht="15.75" x14ac:dyDescent="0.25">
      <c r="A19" s="288" t="s">
        <v>542</v>
      </c>
      <c r="B19" s="281" t="s">
        <v>235</v>
      </c>
      <c r="C19" s="281" t="s">
        <v>236</v>
      </c>
      <c r="D19" s="281" t="s">
        <v>236</v>
      </c>
      <c r="E19" s="281" t="s">
        <v>222</v>
      </c>
      <c r="F19" s="283">
        <v>5.8</v>
      </c>
      <c r="G19" s="284">
        <f t="shared" si="0"/>
        <v>179.79999999999998</v>
      </c>
      <c r="H19" s="285">
        <v>1408</v>
      </c>
      <c r="I19" s="286">
        <f t="shared" si="1"/>
        <v>6.67</v>
      </c>
    </row>
    <row r="20" spans="1:9" ht="15.75" x14ac:dyDescent="0.25">
      <c r="A20" s="288" t="s">
        <v>542</v>
      </c>
      <c r="B20" s="281" t="s">
        <v>235</v>
      </c>
      <c r="C20" s="281" t="s">
        <v>237</v>
      </c>
      <c r="D20" s="281" t="s">
        <v>238</v>
      </c>
      <c r="E20" s="282" t="s">
        <v>220</v>
      </c>
      <c r="F20" s="283">
        <v>5</v>
      </c>
      <c r="G20" s="284">
        <f t="shared" si="0"/>
        <v>155</v>
      </c>
      <c r="H20" s="285">
        <v>1218</v>
      </c>
      <c r="I20" s="286">
        <f t="shared" si="1"/>
        <v>5.75</v>
      </c>
    </row>
    <row r="21" spans="1:9" ht="15.75" x14ac:dyDescent="0.25">
      <c r="A21" s="288" t="s">
        <v>542</v>
      </c>
      <c r="B21" s="281" t="s">
        <v>235</v>
      </c>
      <c r="C21" s="281" t="s">
        <v>239</v>
      </c>
      <c r="D21" s="281" t="s">
        <v>239</v>
      </c>
      <c r="E21" s="281" t="s">
        <v>222</v>
      </c>
      <c r="F21" s="283">
        <v>4.5999999999999996</v>
      </c>
      <c r="G21" s="284">
        <f t="shared" si="0"/>
        <v>142.6</v>
      </c>
      <c r="H21" s="285">
        <v>1128</v>
      </c>
      <c r="I21" s="286">
        <f t="shared" si="1"/>
        <v>5.29</v>
      </c>
    </row>
    <row r="22" spans="1:9" ht="15.75" x14ac:dyDescent="0.25">
      <c r="A22" s="288" t="s">
        <v>542</v>
      </c>
      <c r="B22" s="281" t="s">
        <v>235</v>
      </c>
      <c r="C22" s="281" t="s">
        <v>240</v>
      </c>
      <c r="D22" s="281" t="s">
        <v>240</v>
      </c>
      <c r="E22" s="281" t="s">
        <v>222</v>
      </c>
      <c r="F22" s="283">
        <v>4.2</v>
      </c>
      <c r="G22" s="284">
        <f t="shared" si="0"/>
        <v>130.20000000000002</v>
      </c>
      <c r="H22" s="285">
        <v>1038</v>
      </c>
      <c r="I22" s="286">
        <f t="shared" si="1"/>
        <v>4.83</v>
      </c>
    </row>
    <row r="23" spans="1:9" ht="15.75" x14ac:dyDescent="0.25">
      <c r="A23" s="288" t="s">
        <v>542</v>
      </c>
      <c r="B23" s="281" t="s">
        <v>235</v>
      </c>
      <c r="C23" s="281" t="s">
        <v>241</v>
      </c>
      <c r="D23" s="281" t="s">
        <v>241</v>
      </c>
      <c r="E23" s="281" t="s">
        <v>222</v>
      </c>
      <c r="F23" s="283">
        <v>6.7</v>
      </c>
      <c r="G23" s="284">
        <f t="shared" si="0"/>
        <v>207.70000000000002</v>
      </c>
      <c r="H23" s="285">
        <v>1600</v>
      </c>
      <c r="I23" s="286">
        <f t="shared" si="1"/>
        <v>7.71</v>
      </c>
    </row>
    <row r="24" spans="1:9" ht="15.75" x14ac:dyDescent="0.25">
      <c r="A24" s="288" t="s">
        <v>542</v>
      </c>
      <c r="B24" s="281" t="s">
        <v>235</v>
      </c>
      <c r="C24" s="281" t="s">
        <v>242</v>
      </c>
      <c r="D24" s="281" t="s">
        <v>242</v>
      </c>
      <c r="E24" s="281" t="s">
        <v>222</v>
      </c>
      <c r="F24" s="283">
        <v>6.1</v>
      </c>
      <c r="G24" s="284">
        <f t="shared" si="0"/>
        <v>189.1</v>
      </c>
      <c r="H24" s="285">
        <v>1465</v>
      </c>
      <c r="I24" s="286">
        <f t="shared" si="1"/>
        <v>7.02</v>
      </c>
    </row>
    <row r="25" spans="1:9" ht="15.75" x14ac:dyDescent="0.25">
      <c r="A25" s="288" t="s">
        <v>542</v>
      </c>
      <c r="B25" s="281" t="s">
        <v>235</v>
      </c>
      <c r="C25" s="281" t="s">
        <v>243</v>
      </c>
      <c r="D25" s="281" t="s">
        <v>244</v>
      </c>
      <c r="E25" s="282" t="s">
        <v>220</v>
      </c>
      <c r="F25" s="283">
        <v>7.3</v>
      </c>
      <c r="G25" s="284">
        <f t="shared" si="0"/>
        <v>226.29999999999998</v>
      </c>
      <c r="H25" s="285">
        <v>1766</v>
      </c>
      <c r="I25" s="286">
        <f t="shared" si="1"/>
        <v>8.4</v>
      </c>
    </row>
    <row r="26" spans="1:9" ht="15.75" x14ac:dyDescent="0.25">
      <c r="A26" s="288" t="s">
        <v>542</v>
      </c>
      <c r="B26" s="281" t="s">
        <v>235</v>
      </c>
      <c r="C26" s="281" t="s">
        <v>245</v>
      </c>
      <c r="D26" s="281" t="s">
        <v>245</v>
      </c>
      <c r="E26" s="281" t="s">
        <v>222</v>
      </c>
      <c r="F26" s="283">
        <v>6</v>
      </c>
      <c r="G26" s="284">
        <f t="shared" si="0"/>
        <v>186</v>
      </c>
      <c r="H26" s="285">
        <v>1431</v>
      </c>
      <c r="I26" s="286">
        <f t="shared" si="1"/>
        <v>6.9</v>
      </c>
    </row>
    <row r="27" spans="1:9" ht="15.75" x14ac:dyDescent="0.25">
      <c r="A27" s="288" t="s">
        <v>542</v>
      </c>
      <c r="B27" s="281" t="s">
        <v>235</v>
      </c>
      <c r="C27" s="281" t="s">
        <v>246</v>
      </c>
      <c r="D27" s="281" t="s">
        <v>247</v>
      </c>
      <c r="E27" s="281" t="s">
        <v>222</v>
      </c>
      <c r="F27" s="283">
        <v>6.9</v>
      </c>
      <c r="G27" s="284">
        <f t="shared" si="0"/>
        <v>213.9</v>
      </c>
      <c r="H27" s="285">
        <v>1721</v>
      </c>
      <c r="I27" s="286">
        <f t="shared" si="1"/>
        <v>7.94</v>
      </c>
    </row>
    <row r="28" spans="1:9" ht="15.75" x14ac:dyDescent="0.25">
      <c r="A28" s="288" t="s">
        <v>542</v>
      </c>
      <c r="B28" s="281" t="s">
        <v>235</v>
      </c>
      <c r="C28" s="281" t="s">
        <v>248</v>
      </c>
      <c r="D28" s="281" t="s">
        <v>248</v>
      </c>
      <c r="E28" s="281" t="s">
        <v>222</v>
      </c>
      <c r="F28" s="283">
        <v>6.2</v>
      </c>
      <c r="G28" s="284">
        <f t="shared" si="0"/>
        <v>192.20000000000002</v>
      </c>
      <c r="H28" s="285">
        <v>1511</v>
      </c>
      <c r="I28" s="286">
        <f t="shared" si="1"/>
        <v>7.13</v>
      </c>
    </row>
    <row r="29" spans="1:9" ht="15.75" x14ac:dyDescent="0.25">
      <c r="A29" s="288" t="s">
        <v>542</v>
      </c>
      <c r="B29" s="281" t="s">
        <v>235</v>
      </c>
      <c r="C29" s="281" t="s">
        <v>249</v>
      </c>
      <c r="D29" s="281" t="s">
        <v>249</v>
      </c>
      <c r="E29" s="281" t="s">
        <v>222</v>
      </c>
      <c r="F29" s="283">
        <v>6.6</v>
      </c>
      <c r="G29" s="284">
        <f t="shared" si="0"/>
        <v>204.6</v>
      </c>
      <c r="H29" s="285">
        <v>1597</v>
      </c>
      <c r="I29" s="286">
        <f t="shared" si="1"/>
        <v>7.59</v>
      </c>
    </row>
    <row r="30" spans="1:9" ht="15.75" x14ac:dyDescent="0.25">
      <c r="A30" s="288" t="s">
        <v>543</v>
      </c>
      <c r="B30" s="281" t="s">
        <v>285</v>
      </c>
      <c r="C30" s="281" t="s">
        <v>250</v>
      </c>
      <c r="D30" s="281" t="s">
        <v>250</v>
      </c>
      <c r="E30" s="281" t="s">
        <v>222</v>
      </c>
      <c r="F30" s="283">
        <v>4.0999999999999996</v>
      </c>
      <c r="G30" s="284">
        <f t="shared" si="0"/>
        <v>127.1</v>
      </c>
      <c r="H30" s="285">
        <v>959</v>
      </c>
      <c r="I30" s="286">
        <f t="shared" si="1"/>
        <v>4.72</v>
      </c>
    </row>
    <row r="31" spans="1:9" ht="15.75" x14ac:dyDescent="0.25">
      <c r="A31" s="288" t="s">
        <v>543</v>
      </c>
      <c r="B31" s="281" t="s">
        <v>285</v>
      </c>
      <c r="C31" s="281" t="s">
        <v>251</v>
      </c>
      <c r="D31" s="281" t="s">
        <v>251</v>
      </c>
      <c r="E31" s="281" t="s">
        <v>222</v>
      </c>
      <c r="F31" s="283">
        <v>5.4</v>
      </c>
      <c r="G31" s="284">
        <f t="shared" si="0"/>
        <v>167.4</v>
      </c>
      <c r="H31" s="285">
        <v>1243</v>
      </c>
      <c r="I31" s="286">
        <f t="shared" si="1"/>
        <v>6.21</v>
      </c>
    </row>
    <row r="32" spans="1:9" ht="15.75" x14ac:dyDescent="0.25">
      <c r="A32" s="288" t="s">
        <v>543</v>
      </c>
      <c r="B32" s="281" t="s">
        <v>285</v>
      </c>
      <c r="C32" s="281" t="s">
        <v>252</v>
      </c>
      <c r="D32" s="281" t="s">
        <v>253</v>
      </c>
      <c r="E32" s="282" t="s">
        <v>220</v>
      </c>
      <c r="F32" s="283">
        <v>6.1</v>
      </c>
      <c r="G32" s="284">
        <f t="shared" si="0"/>
        <v>189.1</v>
      </c>
      <c r="H32" s="285">
        <v>1385</v>
      </c>
      <c r="I32" s="286">
        <f t="shared" si="1"/>
        <v>7.02</v>
      </c>
    </row>
    <row r="33" spans="1:9" ht="15.75" x14ac:dyDescent="0.25">
      <c r="A33" s="288" t="s">
        <v>543</v>
      </c>
      <c r="B33" s="281" t="s">
        <v>285</v>
      </c>
      <c r="C33" s="281" t="s">
        <v>254</v>
      </c>
      <c r="D33" s="281" t="s">
        <v>254</v>
      </c>
      <c r="E33" s="281" t="s">
        <v>222</v>
      </c>
      <c r="F33" s="283">
        <v>4</v>
      </c>
      <c r="G33" s="284">
        <f t="shared" si="0"/>
        <v>124</v>
      </c>
      <c r="H33" s="285">
        <v>952</v>
      </c>
      <c r="I33" s="286">
        <f t="shared" si="1"/>
        <v>4.5999999999999996</v>
      </c>
    </row>
    <row r="34" spans="1:9" ht="15.75" x14ac:dyDescent="0.25">
      <c r="A34" s="288" t="s">
        <v>543</v>
      </c>
      <c r="B34" s="281" t="s">
        <v>285</v>
      </c>
      <c r="C34" s="281" t="s">
        <v>255</v>
      </c>
      <c r="D34" s="281" t="s">
        <v>255</v>
      </c>
      <c r="E34" s="281" t="s">
        <v>222</v>
      </c>
      <c r="F34" s="283">
        <v>4.9000000000000004</v>
      </c>
      <c r="G34" s="284">
        <f t="shared" si="0"/>
        <v>151.9</v>
      </c>
      <c r="H34" s="285">
        <v>1121</v>
      </c>
      <c r="I34" s="286">
        <f t="shared" si="1"/>
        <v>5.64</v>
      </c>
    </row>
    <row r="35" spans="1:9" ht="15.75" x14ac:dyDescent="0.25">
      <c r="A35" s="288" t="s">
        <v>543</v>
      </c>
      <c r="B35" s="281" t="s">
        <v>285</v>
      </c>
      <c r="C35" s="281" t="s">
        <v>256</v>
      </c>
      <c r="D35" s="281" t="s">
        <v>256</v>
      </c>
      <c r="E35" s="281" t="s">
        <v>222</v>
      </c>
      <c r="F35" s="283">
        <v>5.8</v>
      </c>
      <c r="G35" s="284">
        <f t="shared" si="0"/>
        <v>179.79999999999998</v>
      </c>
      <c r="H35" s="285">
        <v>1294</v>
      </c>
      <c r="I35" s="286">
        <f t="shared" si="1"/>
        <v>6.67</v>
      </c>
    </row>
    <row r="36" spans="1:9" ht="15.75" x14ac:dyDescent="0.25">
      <c r="A36" s="288" t="s">
        <v>543</v>
      </c>
      <c r="B36" s="281" t="s">
        <v>285</v>
      </c>
      <c r="C36" s="281" t="s">
        <v>257</v>
      </c>
      <c r="D36" s="281" t="s">
        <v>257</v>
      </c>
      <c r="E36" s="281" t="s">
        <v>222</v>
      </c>
      <c r="F36" s="283">
        <v>4.3</v>
      </c>
      <c r="G36" s="284">
        <f t="shared" si="0"/>
        <v>133.29999999999998</v>
      </c>
      <c r="H36" s="285">
        <v>1002</v>
      </c>
      <c r="I36" s="286">
        <f t="shared" si="1"/>
        <v>4.95</v>
      </c>
    </row>
    <row r="37" spans="1:9" ht="15.75" x14ac:dyDescent="0.25">
      <c r="A37" s="288" t="s">
        <v>543</v>
      </c>
      <c r="B37" s="281" t="s">
        <v>285</v>
      </c>
      <c r="C37" s="281" t="s">
        <v>258</v>
      </c>
      <c r="D37" s="281" t="s">
        <v>258</v>
      </c>
      <c r="E37" s="281" t="s">
        <v>222</v>
      </c>
      <c r="F37" s="283">
        <v>4</v>
      </c>
      <c r="G37" s="284">
        <f t="shared" si="0"/>
        <v>124</v>
      </c>
      <c r="H37" s="285">
        <v>945</v>
      </c>
      <c r="I37" s="286">
        <f t="shared" si="1"/>
        <v>4.5999999999999996</v>
      </c>
    </row>
    <row r="38" spans="1:9" ht="15.75" x14ac:dyDescent="0.25">
      <c r="A38" s="288" t="s">
        <v>543</v>
      </c>
      <c r="B38" s="281" t="s">
        <v>285</v>
      </c>
      <c r="C38" s="281" t="s">
        <v>259</v>
      </c>
      <c r="D38" s="281" t="s">
        <v>259</v>
      </c>
      <c r="E38" s="281" t="s">
        <v>222</v>
      </c>
      <c r="F38" s="283">
        <v>4</v>
      </c>
      <c r="G38" s="284">
        <f t="shared" ref="G38:G65" si="2">F38*$D$3</f>
        <v>124</v>
      </c>
      <c r="H38" s="285">
        <v>944</v>
      </c>
      <c r="I38" s="286">
        <f t="shared" ref="I38:I65" si="3">ROUND(F38*1.15,2)</f>
        <v>4.5999999999999996</v>
      </c>
    </row>
    <row r="39" spans="1:9" ht="15.75" x14ac:dyDescent="0.25">
      <c r="A39" s="288" t="s">
        <v>543</v>
      </c>
      <c r="B39" s="281" t="s">
        <v>285</v>
      </c>
      <c r="C39" s="281" t="s">
        <v>260</v>
      </c>
      <c r="D39" s="281" t="s">
        <v>261</v>
      </c>
      <c r="E39" s="282" t="s">
        <v>220</v>
      </c>
      <c r="F39" s="283">
        <v>5.2</v>
      </c>
      <c r="G39" s="284">
        <f t="shared" si="2"/>
        <v>161.20000000000002</v>
      </c>
      <c r="H39" s="285">
        <v>1173</v>
      </c>
      <c r="I39" s="286">
        <f t="shared" si="3"/>
        <v>5.98</v>
      </c>
    </row>
    <row r="40" spans="1:9" ht="15.75" x14ac:dyDescent="0.25">
      <c r="A40" s="288" t="s">
        <v>543</v>
      </c>
      <c r="B40" s="281" t="s">
        <v>285</v>
      </c>
      <c r="C40" s="281" t="s">
        <v>261</v>
      </c>
      <c r="D40" s="281" t="s">
        <v>261</v>
      </c>
      <c r="E40" s="281" t="s">
        <v>222</v>
      </c>
      <c r="F40" s="283">
        <v>5.2</v>
      </c>
      <c r="G40" s="284">
        <f t="shared" si="2"/>
        <v>161.20000000000002</v>
      </c>
      <c r="H40" s="285">
        <v>1173</v>
      </c>
      <c r="I40" s="286">
        <f t="shared" si="3"/>
        <v>5.98</v>
      </c>
    </row>
    <row r="41" spans="1:9" ht="15.75" x14ac:dyDescent="0.25">
      <c r="A41" s="288" t="s">
        <v>543</v>
      </c>
      <c r="B41" s="281" t="s">
        <v>285</v>
      </c>
      <c r="C41" s="281" t="s">
        <v>262</v>
      </c>
      <c r="D41" s="281" t="s">
        <v>263</v>
      </c>
      <c r="E41" s="282" t="s">
        <v>220</v>
      </c>
      <c r="F41" s="283">
        <v>4.9000000000000004</v>
      </c>
      <c r="G41" s="284">
        <f t="shared" si="2"/>
        <v>151.9</v>
      </c>
      <c r="H41" s="285">
        <v>1129</v>
      </c>
      <c r="I41" s="286">
        <f t="shared" si="3"/>
        <v>5.64</v>
      </c>
    </row>
    <row r="42" spans="1:9" ht="15.75" x14ac:dyDescent="0.25">
      <c r="A42" s="288" t="s">
        <v>543</v>
      </c>
      <c r="B42" s="281" t="s">
        <v>285</v>
      </c>
      <c r="C42" s="281" t="s">
        <v>264</v>
      </c>
      <c r="D42" s="281" t="s">
        <v>264</v>
      </c>
      <c r="E42" s="281" t="s">
        <v>222</v>
      </c>
      <c r="F42" s="283">
        <v>4.5</v>
      </c>
      <c r="G42" s="284">
        <f t="shared" si="2"/>
        <v>139.5</v>
      </c>
      <c r="H42" s="285">
        <v>1046</v>
      </c>
      <c r="I42" s="286">
        <f t="shared" si="3"/>
        <v>5.18</v>
      </c>
    </row>
    <row r="43" spans="1:9" ht="15.75" x14ac:dyDescent="0.25">
      <c r="A43" s="288" t="s">
        <v>543</v>
      </c>
      <c r="B43" s="281" t="s">
        <v>285</v>
      </c>
      <c r="C43" s="281" t="s">
        <v>265</v>
      </c>
      <c r="D43" s="281" t="s">
        <v>265</v>
      </c>
      <c r="E43" s="281" t="s">
        <v>222</v>
      </c>
      <c r="F43" s="283">
        <v>5.0999999999999996</v>
      </c>
      <c r="G43" s="284">
        <f t="shared" si="2"/>
        <v>158.1</v>
      </c>
      <c r="H43" s="285">
        <v>1160</v>
      </c>
      <c r="I43" s="286">
        <f t="shared" si="3"/>
        <v>5.87</v>
      </c>
    </row>
    <row r="44" spans="1:9" ht="15.75" x14ac:dyDescent="0.25">
      <c r="A44" s="288" t="s">
        <v>543</v>
      </c>
      <c r="B44" s="281" t="s">
        <v>285</v>
      </c>
      <c r="C44" s="281" t="s">
        <v>266</v>
      </c>
      <c r="D44" s="281" t="s">
        <v>267</v>
      </c>
      <c r="E44" s="281" t="s">
        <v>222</v>
      </c>
      <c r="F44" s="283">
        <v>6</v>
      </c>
      <c r="G44" s="284">
        <f t="shared" si="2"/>
        <v>186</v>
      </c>
      <c r="H44" s="285">
        <v>1316</v>
      </c>
      <c r="I44" s="286">
        <f t="shared" si="3"/>
        <v>6.9</v>
      </c>
    </row>
    <row r="45" spans="1:9" ht="15.75" x14ac:dyDescent="0.25">
      <c r="A45" s="288" t="s">
        <v>543</v>
      </c>
      <c r="B45" s="281" t="s">
        <v>285</v>
      </c>
      <c r="C45" s="281" t="s">
        <v>253</v>
      </c>
      <c r="D45" s="281" t="s">
        <v>253</v>
      </c>
      <c r="E45" s="281" t="s">
        <v>222</v>
      </c>
      <c r="F45" s="283">
        <v>6.1</v>
      </c>
      <c r="G45" s="284">
        <f t="shared" si="2"/>
        <v>189.1</v>
      </c>
      <c r="H45" s="285">
        <v>1385</v>
      </c>
      <c r="I45" s="286">
        <f t="shared" si="3"/>
        <v>7.02</v>
      </c>
    </row>
    <row r="46" spans="1:9" ht="15.75" x14ac:dyDescent="0.25">
      <c r="A46" s="288" t="s">
        <v>543</v>
      </c>
      <c r="B46" s="281" t="s">
        <v>285</v>
      </c>
      <c r="C46" s="281" t="s">
        <v>268</v>
      </c>
      <c r="D46" s="281" t="s">
        <v>268</v>
      </c>
      <c r="E46" s="281" t="s">
        <v>222</v>
      </c>
      <c r="F46" s="283">
        <v>5.0999999999999996</v>
      </c>
      <c r="G46" s="284">
        <f t="shared" si="2"/>
        <v>158.1</v>
      </c>
      <c r="H46" s="285">
        <v>1165</v>
      </c>
      <c r="I46" s="286">
        <f t="shared" si="3"/>
        <v>5.87</v>
      </c>
    </row>
    <row r="47" spans="1:9" ht="15.75" x14ac:dyDescent="0.25">
      <c r="A47" s="288" t="s">
        <v>543</v>
      </c>
      <c r="B47" s="281" t="s">
        <v>285</v>
      </c>
      <c r="C47" s="281" t="s">
        <v>269</v>
      </c>
      <c r="D47" s="281" t="s">
        <v>265</v>
      </c>
      <c r="E47" s="282" t="s">
        <v>220</v>
      </c>
      <c r="F47" s="283">
        <v>5.0999999999999996</v>
      </c>
      <c r="G47" s="284">
        <f t="shared" si="2"/>
        <v>158.1</v>
      </c>
      <c r="H47" s="285">
        <v>1160</v>
      </c>
      <c r="I47" s="286">
        <f t="shared" si="3"/>
        <v>5.87</v>
      </c>
    </row>
    <row r="48" spans="1:9" ht="15.75" x14ac:dyDescent="0.25">
      <c r="A48" s="288" t="s">
        <v>543</v>
      </c>
      <c r="B48" s="281" t="s">
        <v>285</v>
      </c>
      <c r="C48" s="281" t="s">
        <v>270</v>
      </c>
      <c r="D48" s="281" t="s">
        <v>271</v>
      </c>
      <c r="E48" s="282" t="s">
        <v>220</v>
      </c>
      <c r="F48" s="283">
        <v>6.1</v>
      </c>
      <c r="G48" s="284">
        <f t="shared" si="2"/>
        <v>189.1</v>
      </c>
      <c r="H48" s="285">
        <v>1378</v>
      </c>
      <c r="I48" s="286">
        <f t="shared" si="3"/>
        <v>7.02</v>
      </c>
    </row>
    <row r="49" spans="1:9" ht="15.75" x14ac:dyDescent="0.25">
      <c r="A49" s="288" t="s">
        <v>543</v>
      </c>
      <c r="B49" s="281" t="s">
        <v>285</v>
      </c>
      <c r="C49" s="281" t="s">
        <v>272</v>
      </c>
      <c r="D49" s="281" t="s">
        <v>272</v>
      </c>
      <c r="E49" s="281" t="s">
        <v>222</v>
      </c>
      <c r="F49" s="283">
        <v>4.2</v>
      </c>
      <c r="G49" s="284">
        <f t="shared" si="2"/>
        <v>130.20000000000002</v>
      </c>
      <c r="H49" s="285">
        <v>1001</v>
      </c>
      <c r="I49" s="286">
        <f t="shared" si="3"/>
        <v>4.83</v>
      </c>
    </row>
    <row r="50" spans="1:9" ht="15.75" x14ac:dyDescent="0.25">
      <c r="A50" s="288" t="s">
        <v>543</v>
      </c>
      <c r="B50" s="281" t="s">
        <v>285</v>
      </c>
      <c r="C50" s="281" t="s">
        <v>273</v>
      </c>
      <c r="D50" s="281" t="s">
        <v>273</v>
      </c>
      <c r="E50" s="281" t="s">
        <v>222</v>
      </c>
      <c r="F50" s="283">
        <v>6.1</v>
      </c>
      <c r="G50" s="284">
        <f t="shared" si="2"/>
        <v>189.1</v>
      </c>
      <c r="H50" s="285">
        <v>1444</v>
      </c>
      <c r="I50" s="286">
        <f t="shared" si="3"/>
        <v>7.02</v>
      </c>
    </row>
    <row r="51" spans="1:9" ht="15.75" x14ac:dyDescent="0.25">
      <c r="A51" s="288" t="s">
        <v>543</v>
      </c>
      <c r="B51" s="281" t="s">
        <v>285</v>
      </c>
      <c r="C51" s="281" t="s">
        <v>274</v>
      </c>
      <c r="D51" s="281" t="s">
        <v>275</v>
      </c>
      <c r="E51" s="282" t="s">
        <v>220</v>
      </c>
      <c r="F51" s="283">
        <v>4.2</v>
      </c>
      <c r="G51" s="284">
        <f t="shared" si="2"/>
        <v>130.20000000000002</v>
      </c>
      <c r="H51" s="285">
        <v>995</v>
      </c>
      <c r="I51" s="286">
        <f t="shared" si="3"/>
        <v>4.83</v>
      </c>
    </row>
    <row r="52" spans="1:9" ht="15.75" x14ac:dyDescent="0.25">
      <c r="A52" s="288" t="s">
        <v>543</v>
      </c>
      <c r="B52" s="281" t="s">
        <v>285</v>
      </c>
      <c r="C52" s="281" t="s">
        <v>276</v>
      </c>
      <c r="D52" s="281" t="s">
        <v>276</v>
      </c>
      <c r="E52" s="281" t="s">
        <v>222</v>
      </c>
      <c r="F52" s="283">
        <v>6.4</v>
      </c>
      <c r="G52" s="284">
        <f t="shared" si="2"/>
        <v>198.4</v>
      </c>
      <c r="H52" s="285">
        <v>1492</v>
      </c>
      <c r="I52" s="286">
        <f t="shared" si="3"/>
        <v>7.36</v>
      </c>
    </row>
    <row r="53" spans="1:9" ht="15.75" x14ac:dyDescent="0.25">
      <c r="A53" s="288" t="s">
        <v>543</v>
      </c>
      <c r="B53" s="281" t="s">
        <v>285</v>
      </c>
      <c r="C53" s="281" t="s">
        <v>263</v>
      </c>
      <c r="D53" s="281" t="s">
        <v>263</v>
      </c>
      <c r="E53" s="281" t="s">
        <v>222</v>
      </c>
      <c r="F53" s="283">
        <v>4.9000000000000004</v>
      </c>
      <c r="G53" s="284">
        <f t="shared" si="2"/>
        <v>151.9</v>
      </c>
      <c r="H53" s="285">
        <v>1129</v>
      </c>
      <c r="I53" s="286">
        <f t="shared" si="3"/>
        <v>5.64</v>
      </c>
    </row>
    <row r="54" spans="1:9" ht="15.75" x14ac:dyDescent="0.25">
      <c r="A54" s="288" t="s">
        <v>543</v>
      </c>
      <c r="B54" s="281" t="s">
        <v>285</v>
      </c>
      <c r="C54" s="281" t="s">
        <v>277</v>
      </c>
      <c r="D54" s="281" t="s">
        <v>277</v>
      </c>
      <c r="E54" s="281" t="s">
        <v>222</v>
      </c>
      <c r="F54" s="283">
        <v>4.8</v>
      </c>
      <c r="G54" s="284">
        <f t="shared" si="2"/>
        <v>148.79999999999998</v>
      </c>
      <c r="H54" s="285">
        <v>1101</v>
      </c>
      <c r="I54" s="286">
        <f t="shared" si="3"/>
        <v>5.52</v>
      </c>
    </row>
    <row r="55" spans="1:9" ht="15.75" x14ac:dyDescent="0.25">
      <c r="A55" s="288" t="s">
        <v>543</v>
      </c>
      <c r="B55" s="281" t="s">
        <v>285</v>
      </c>
      <c r="C55" s="281" t="s">
        <v>278</v>
      </c>
      <c r="D55" s="281" t="s">
        <v>278</v>
      </c>
      <c r="E55" s="281" t="s">
        <v>222</v>
      </c>
      <c r="F55" s="283">
        <v>4.0999999999999996</v>
      </c>
      <c r="G55" s="284">
        <f t="shared" si="2"/>
        <v>127.1</v>
      </c>
      <c r="H55" s="285">
        <v>976</v>
      </c>
      <c r="I55" s="286">
        <f t="shared" si="3"/>
        <v>4.72</v>
      </c>
    </row>
    <row r="56" spans="1:9" ht="15.75" x14ac:dyDescent="0.25">
      <c r="A56" s="288" t="s">
        <v>543</v>
      </c>
      <c r="B56" s="281" t="s">
        <v>285</v>
      </c>
      <c r="C56" s="281" t="s">
        <v>279</v>
      </c>
      <c r="D56" s="281" t="s">
        <v>253</v>
      </c>
      <c r="E56" s="282" t="s">
        <v>220</v>
      </c>
      <c r="F56" s="283">
        <v>6.1</v>
      </c>
      <c r="G56" s="284">
        <f t="shared" si="2"/>
        <v>189.1</v>
      </c>
      <c r="H56" s="285">
        <v>1385</v>
      </c>
      <c r="I56" s="286">
        <f t="shared" si="3"/>
        <v>7.02</v>
      </c>
    </row>
    <row r="57" spans="1:9" ht="15.75" x14ac:dyDescent="0.25">
      <c r="A57" s="288" t="s">
        <v>543</v>
      </c>
      <c r="B57" s="281" t="s">
        <v>285</v>
      </c>
      <c r="C57" s="281" t="s">
        <v>280</v>
      </c>
      <c r="D57" s="281" t="s">
        <v>280</v>
      </c>
      <c r="E57" s="281" t="s">
        <v>222</v>
      </c>
      <c r="F57" s="283">
        <v>4.0999999999999996</v>
      </c>
      <c r="G57" s="284">
        <f t="shared" si="2"/>
        <v>127.1</v>
      </c>
      <c r="H57" s="285">
        <v>954</v>
      </c>
      <c r="I57" s="286">
        <f t="shared" si="3"/>
        <v>4.72</v>
      </c>
    </row>
    <row r="58" spans="1:9" ht="15.75" x14ac:dyDescent="0.25">
      <c r="A58" s="288" t="s">
        <v>543</v>
      </c>
      <c r="B58" s="281" t="s">
        <v>285</v>
      </c>
      <c r="C58" s="281" t="s">
        <v>281</v>
      </c>
      <c r="D58" s="281" t="s">
        <v>253</v>
      </c>
      <c r="E58" s="282" t="s">
        <v>220</v>
      </c>
      <c r="F58" s="283">
        <v>6.1</v>
      </c>
      <c r="G58" s="284">
        <f t="shared" si="2"/>
        <v>189.1</v>
      </c>
      <c r="H58" s="285">
        <v>1385</v>
      </c>
      <c r="I58" s="286">
        <f t="shared" si="3"/>
        <v>7.02</v>
      </c>
    </row>
    <row r="59" spans="1:9" ht="15.75" x14ac:dyDescent="0.25">
      <c r="A59" s="288" t="s">
        <v>543</v>
      </c>
      <c r="B59" s="281" t="s">
        <v>285</v>
      </c>
      <c r="C59" s="281" t="s">
        <v>271</v>
      </c>
      <c r="D59" s="281" t="s">
        <v>271</v>
      </c>
      <c r="E59" s="281" t="s">
        <v>222</v>
      </c>
      <c r="F59" s="283">
        <v>6.1</v>
      </c>
      <c r="G59" s="284">
        <f t="shared" si="2"/>
        <v>189.1</v>
      </c>
      <c r="H59" s="285">
        <v>1378</v>
      </c>
      <c r="I59" s="286">
        <f t="shared" si="3"/>
        <v>7.02</v>
      </c>
    </row>
    <row r="60" spans="1:9" ht="15.75" x14ac:dyDescent="0.25">
      <c r="A60" s="288" t="s">
        <v>543</v>
      </c>
      <c r="B60" s="281" t="s">
        <v>285</v>
      </c>
      <c r="C60" s="281" t="s">
        <v>282</v>
      </c>
      <c r="D60" s="281" t="s">
        <v>271</v>
      </c>
      <c r="E60" s="282" t="s">
        <v>220</v>
      </c>
      <c r="F60" s="283">
        <v>6.1</v>
      </c>
      <c r="G60" s="284">
        <f t="shared" si="2"/>
        <v>189.1</v>
      </c>
      <c r="H60" s="285">
        <v>1378</v>
      </c>
      <c r="I60" s="286">
        <f t="shared" si="3"/>
        <v>7.02</v>
      </c>
    </row>
    <row r="61" spans="1:9" ht="15.75" x14ac:dyDescent="0.25">
      <c r="A61" s="288" t="s">
        <v>543</v>
      </c>
      <c r="B61" s="281" t="s">
        <v>285</v>
      </c>
      <c r="C61" s="281" t="s">
        <v>283</v>
      </c>
      <c r="D61" s="281" t="s">
        <v>284</v>
      </c>
      <c r="E61" s="281" t="s">
        <v>222</v>
      </c>
      <c r="F61" s="283">
        <v>4</v>
      </c>
      <c r="G61" s="284">
        <f t="shared" si="2"/>
        <v>124</v>
      </c>
      <c r="H61" s="285">
        <v>948</v>
      </c>
      <c r="I61" s="286">
        <f t="shared" si="3"/>
        <v>4.5999999999999996</v>
      </c>
    </row>
    <row r="62" spans="1:9" ht="15.75" x14ac:dyDescent="0.25">
      <c r="A62" s="288" t="s">
        <v>543</v>
      </c>
      <c r="B62" s="281" t="s">
        <v>285</v>
      </c>
      <c r="C62" s="281" t="s">
        <v>285</v>
      </c>
      <c r="D62" s="281" t="s">
        <v>285</v>
      </c>
      <c r="E62" s="281" t="s">
        <v>222</v>
      </c>
      <c r="F62" s="283">
        <v>4.3</v>
      </c>
      <c r="G62" s="284">
        <f t="shared" si="2"/>
        <v>133.29999999999998</v>
      </c>
      <c r="H62" s="285">
        <v>1004</v>
      </c>
      <c r="I62" s="286">
        <f t="shared" si="3"/>
        <v>4.95</v>
      </c>
    </row>
    <row r="63" spans="1:9" ht="15.75" x14ac:dyDescent="0.25">
      <c r="A63" s="288" t="s">
        <v>543</v>
      </c>
      <c r="B63" s="281" t="s">
        <v>285</v>
      </c>
      <c r="C63" s="281" t="s">
        <v>286</v>
      </c>
      <c r="D63" s="281" t="s">
        <v>277</v>
      </c>
      <c r="E63" s="282" t="s">
        <v>220</v>
      </c>
      <c r="F63" s="283">
        <v>4.8</v>
      </c>
      <c r="G63" s="284">
        <f t="shared" si="2"/>
        <v>148.79999999999998</v>
      </c>
      <c r="H63" s="285">
        <v>1101</v>
      </c>
      <c r="I63" s="286">
        <f t="shared" si="3"/>
        <v>5.52</v>
      </c>
    </row>
    <row r="64" spans="1:9" ht="15.75" x14ac:dyDescent="0.25">
      <c r="A64" s="288" t="s">
        <v>543</v>
      </c>
      <c r="B64" s="281" t="s">
        <v>285</v>
      </c>
      <c r="C64" s="281" t="s">
        <v>287</v>
      </c>
      <c r="D64" s="281" t="s">
        <v>287</v>
      </c>
      <c r="E64" s="281" t="s">
        <v>222</v>
      </c>
      <c r="F64" s="283">
        <v>4.4000000000000004</v>
      </c>
      <c r="G64" s="284">
        <f t="shared" si="2"/>
        <v>136.4</v>
      </c>
      <c r="H64" s="285">
        <v>1021</v>
      </c>
      <c r="I64" s="286">
        <f t="shared" si="3"/>
        <v>5.0599999999999996</v>
      </c>
    </row>
    <row r="65" spans="1:9" ht="15.75" x14ac:dyDescent="0.25">
      <c r="A65" s="288" t="s">
        <v>543</v>
      </c>
      <c r="B65" s="281" t="s">
        <v>285</v>
      </c>
      <c r="C65" s="281" t="s">
        <v>288</v>
      </c>
      <c r="D65" s="281" t="s">
        <v>288</v>
      </c>
      <c r="E65" s="281" t="s">
        <v>222</v>
      </c>
      <c r="F65" s="283">
        <v>4.2</v>
      </c>
      <c r="G65" s="284">
        <f t="shared" si="2"/>
        <v>130.20000000000002</v>
      </c>
      <c r="H65" s="285">
        <v>1006</v>
      </c>
      <c r="I65" s="286">
        <f t="shared" si="3"/>
        <v>4.83</v>
      </c>
    </row>
    <row r="66" spans="1:9" ht="15.75" x14ac:dyDescent="0.25">
      <c r="A66" s="288" t="s">
        <v>544</v>
      </c>
      <c r="B66" s="281" t="s">
        <v>548</v>
      </c>
      <c r="C66" s="281" t="s">
        <v>289</v>
      </c>
      <c r="D66" s="281" t="s">
        <v>289</v>
      </c>
      <c r="E66" s="281" t="s">
        <v>222</v>
      </c>
      <c r="F66" s="283">
        <v>6</v>
      </c>
      <c r="G66" s="284">
        <f t="shared" ref="G66" si="4">F66*$D$3</f>
        <v>186</v>
      </c>
      <c r="H66" s="285">
        <v>1322</v>
      </c>
      <c r="I66" s="286">
        <f t="shared" ref="I66" si="5">ROUND(F66*1.15,2)</f>
        <v>6.9</v>
      </c>
    </row>
    <row r="67" spans="1:9" ht="15.75" x14ac:dyDescent="0.25">
      <c r="A67" s="288" t="s">
        <v>544</v>
      </c>
      <c r="B67" s="281" t="s">
        <v>548</v>
      </c>
      <c r="C67" s="281" t="s">
        <v>290</v>
      </c>
      <c r="D67" s="281" t="s">
        <v>291</v>
      </c>
      <c r="E67" s="281" t="s">
        <v>222</v>
      </c>
      <c r="F67" s="283">
        <v>5.9</v>
      </c>
      <c r="G67" s="284">
        <f t="shared" ref="G67:G98" si="6">F67*$D$3</f>
        <v>182.9</v>
      </c>
      <c r="H67" s="285">
        <v>1288</v>
      </c>
      <c r="I67" s="286">
        <f t="shared" ref="I67:I98" si="7">ROUND(F67*1.15,2)</f>
        <v>6.79</v>
      </c>
    </row>
    <row r="68" spans="1:9" ht="15.75" x14ac:dyDescent="0.25">
      <c r="A68" s="288" t="s">
        <v>544</v>
      </c>
      <c r="B68" s="281" t="s">
        <v>548</v>
      </c>
      <c r="C68" s="281" t="s">
        <v>292</v>
      </c>
      <c r="D68" s="281" t="s">
        <v>292</v>
      </c>
      <c r="E68" s="281" t="s">
        <v>222</v>
      </c>
      <c r="F68" s="283">
        <v>5.8</v>
      </c>
      <c r="G68" s="284">
        <f t="shared" si="6"/>
        <v>179.79999999999998</v>
      </c>
      <c r="H68" s="285">
        <v>1294</v>
      </c>
      <c r="I68" s="286">
        <f t="shared" si="7"/>
        <v>6.67</v>
      </c>
    </row>
    <row r="69" spans="1:9" ht="15.75" x14ac:dyDescent="0.25">
      <c r="A69" s="288" t="s">
        <v>544</v>
      </c>
      <c r="B69" s="281" t="s">
        <v>548</v>
      </c>
      <c r="C69" s="281" t="s">
        <v>293</v>
      </c>
      <c r="D69" s="281" t="s">
        <v>294</v>
      </c>
      <c r="E69" s="282" t="s">
        <v>220</v>
      </c>
      <c r="F69" s="283">
        <v>5.8</v>
      </c>
      <c r="G69" s="284">
        <f t="shared" si="6"/>
        <v>179.79999999999998</v>
      </c>
      <c r="H69" s="285">
        <v>1291</v>
      </c>
      <c r="I69" s="286">
        <f t="shared" si="7"/>
        <v>6.67</v>
      </c>
    </row>
    <row r="70" spans="1:9" ht="15.75" x14ac:dyDescent="0.25">
      <c r="A70" s="288" t="s">
        <v>544</v>
      </c>
      <c r="B70" s="281" t="s">
        <v>548</v>
      </c>
      <c r="C70" s="281" t="s">
        <v>295</v>
      </c>
      <c r="D70" s="281" t="s">
        <v>289</v>
      </c>
      <c r="E70" s="282" t="s">
        <v>220</v>
      </c>
      <c r="F70" s="283">
        <v>6</v>
      </c>
      <c r="G70" s="284">
        <f t="shared" si="6"/>
        <v>186</v>
      </c>
      <c r="H70" s="285">
        <v>1322</v>
      </c>
      <c r="I70" s="286">
        <f t="shared" si="7"/>
        <v>6.9</v>
      </c>
    </row>
    <row r="71" spans="1:9" ht="15.75" x14ac:dyDescent="0.25">
      <c r="A71" s="288" t="s">
        <v>544</v>
      </c>
      <c r="B71" s="281" t="s">
        <v>548</v>
      </c>
      <c r="C71" s="281" t="s">
        <v>296</v>
      </c>
      <c r="D71" s="281" t="s">
        <v>289</v>
      </c>
      <c r="E71" s="282" t="s">
        <v>220</v>
      </c>
      <c r="F71" s="283">
        <v>6</v>
      </c>
      <c r="G71" s="284">
        <f t="shared" si="6"/>
        <v>186</v>
      </c>
      <c r="H71" s="285">
        <v>1322</v>
      </c>
      <c r="I71" s="286">
        <f t="shared" si="7"/>
        <v>6.9</v>
      </c>
    </row>
    <row r="72" spans="1:9" ht="15.75" x14ac:dyDescent="0.25">
      <c r="A72" s="288" t="s">
        <v>544</v>
      </c>
      <c r="B72" s="281" t="s">
        <v>548</v>
      </c>
      <c r="C72" s="281" t="s">
        <v>297</v>
      </c>
      <c r="D72" s="281" t="s">
        <v>297</v>
      </c>
      <c r="E72" s="281" t="s">
        <v>222</v>
      </c>
      <c r="F72" s="283">
        <v>6.3</v>
      </c>
      <c r="G72" s="284">
        <f t="shared" si="6"/>
        <v>195.29999999999998</v>
      </c>
      <c r="H72" s="285">
        <v>1394</v>
      </c>
      <c r="I72" s="286">
        <f t="shared" si="7"/>
        <v>7.25</v>
      </c>
    </row>
    <row r="73" spans="1:9" ht="15.75" x14ac:dyDescent="0.25">
      <c r="A73" s="288" t="s">
        <v>544</v>
      </c>
      <c r="B73" s="281" t="s">
        <v>548</v>
      </c>
      <c r="C73" s="281" t="s">
        <v>298</v>
      </c>
      <c r="D73" s="281" t="s">
        <v>289</v>
      </c>
      <c r="E73" s="282" t="s">
        <v>220</v>
      </c>
      <c r="F73" s="283">
        <v>6</v>
      </c>
      <c r="G73" s="284">
        <f t="shared" si="6"/>
        <v>186</v>
      </c>
      <c r="H73" s="285">
        <v>1322</v>
      </c>
      <c r="I73" s="286">
        <f t="shared" si="7"/>
        <v>6.9</v>
      </c>
    </row>
    <row r="74" spans="1:9" ht="15.75" x14ac:dyDescent="0.25">
      <c r="A74" s="288" t="s">
        <v>544</v>
      </c>
      <c r="B74" s="281" t="s">
        <v>548</v>
      </c>
      <c r="C74" s="281" t="s">
        <v>299</v>
      </c>
      <c r="D74" s="281" t="s">
        <v>299</v>
      </c>
      <c r="E74" s="281" t="s">
        <v>222</v>
      </c>
      <c r="F74" s="283">
        <v>5.6</v>
      </c>
      <c r="G74" s="284">
        <f t="shared" si="6"/>
        <v>173.6</v>
      </c>
      <c r="H74" s="285">
        <v>1255</v>
      </c>
      <c r="I74" s="286">
        <f t="shared" si="7"/>
        <v>6.44</v>
      </c>
    </row>
    <row r="75" spans="1:9" ht="15.75" x14ac:dyDescent="0.25">
      <c r="A75" s="288" t="s">
        <v>544</v>
      </c>
      <c r="B75" s="281" t="s">
        <v>548</v>
      </c>
      <c r="C75" s="281" t="s">
        <v>300</v>
      </c>
      <c r="D75" s="281" t="s">
        <v>289</v>
      </c>
      <c r="E75" s="282" t="s">
        <v>220</v>
      </c>
      <c r="F75" s="283">
        <v>6</v>
      </c>
      <c r="G75" s="284">
        <f t="shared" si="6"/>
        <v>186</v>
      </c>
      <c r="H75" s="285">
        <v>1322</v>
      </c>
      <c r="I75" s="286">
        <f t="shared" si="7"/>
        <v>6.9</v>
      </c>
    </row>
    <row r="76" spans="1:9" ht="15.75" x14ac:dyDescent="0.25">
      <c r="A76" s="288" t="s">
        <v>544</v>
      </c>
      <c r="B76" s="281" t="s">
        <v>548</v>
      </c>
      <c r="C76" s="281" t="s">
        <v>301</v>
      </c>
      <c r="D76" s="281" t="s">
        <v>301</v>
      </c>
      <c r="E76" s="281" t="s">
        <v>222</v>
      </c>
      <c r="F76" s="283">
        <v>5.7</v>
      </c>
      <c r="G76" s="284">
        <f t="shared" si="6"/>
        <v>176.70000000000002</v>
      </c>
      <c r="H76" s="285">
        <v>1277</v>
      </c>
      <c r="I76" s="286">
        <f t="shared" si="7"/>
        <v>6.56</v>
      </c>
    </row>
    <row r="77" spans="1:9" ht="15.75" x14ac:dyDescent="0.25">
      <c r="A77" s="288" t="s">
        <v>544</v>
      </c>
      <c r="B77" s="281" t="s">
        <v>548</v>
      </c>
      <c r="C77" s="281" t="s">
        <v>302</v>
      </c>
      <c r="D77" s="281" t="s">
        <v>289</v>
      </c>
      <c r="E77" s="282" t="s">
        <v>220</v>
      </c>
      <c r="F77" s="283">
        <v>6</v>
      </c>
      <c r="G77" s="284">
        <f t="shared" si="6"/>
        <v>186</v>
      </c>
      <c r="H77" s="285">
        <v>1322</v>
      </c>
      <c r="I77" s="286">
        <f t="shared" si="7"/>
        <v>6.9</v>
      </c>
    </row>
    <row r="78" spans="1:9" ht="15.75" x14ac:dyDescent="0.25">
      <c r="A78" s="288" t="s">
        <v>544</v>
      </c>
      <c r="B78" s="281" t="s">
        <v>548</v>
      </c>
      <c r="C78" s="281" t="s">
        <v>303</v>
      </c>
      <c r="D78" s="281" t="s">
        <v>289</v>
      </c>
      <c r="E78" s="282" t="s">
        <v>220</v>
      </c>
      <c r="F78" s="283">
        <v>6</v>
      </c>
      <c r="G78" s="284">
        <f t="shared" si="6"/>
        <v>186</v>
      </c>
      <c r="H78" s="285">
        <v>1322</v>
      </c>
      <c r="I78" s="286">
        <f t="shared" si="7"/>
        <v>6.9</v>
      </c>
    </row>
    <row r="79" spans="1:9" ht="15.75" x14ac:dyDescent="0.25">
      <c r="A79" s="288" t="s">
        <v>544</v>
      </c>
      <c r="B79" s="281" t="s">
        <v>548</v>
      </c>
      <c r="C79" s="281" t="s">
        <v>304</v>
      </c>
      <c r="D79" s="281" t="s">
        <v>289</v>
      </c>
      <c r="E79" s="282" t="s">
        <v>220</v>
      </c>
      <c r="F79" s="283">
        <v>6</v>
      </c>
      <c r="G79" s="284">
        <f t="shared" si="6"/>
        <v>186</v>
      </c>
      <c r="H79" s="285">
        <v>1322</v>
      </c>
      <c r="I79" s="286">
        <f t="shared" si="7"/>
        <v>6.9</v>
      </c>
    </row>
    <row r="80" spans="1:9" ht="15.75" x14ac:dyDescent="0.25">
      <c r="A80" s="288" t="s">
        <v>544</v>
      </c>
      <c r="B80" s="281" t="s">
        <v>548</v>
      </c>
      <c r="C80" s="281" t="s">
        <v>305</v>
      </c>
      <c r="D80" s="281" t="s">
        <v>305</v>
      </c>
      <c r="E80" s="281" t="s">
        <v>222</v>
      </c>
      <c r="F80" s="283">
        <v>5.9</v>
      </c>
      <c r="G80" s="284">
        <f t="shared" si="6"/>
        <v>182.9</v>
      </c>
      <c r="H80" s="285">
        <v>1302</v>
      </c>
      <c r="I80" s="286">
        <f t="shared" si="7"/>
        <v>6.79</v>
      </c>
    </row>
    <row r="81" spans="1:9" ht="15.75" x14ac:dyDescent="0.25">
      <c r="A81" s="288" t="s">
        <v>544</v>
      </c>
      <c r="B81" s="281" t="s">
        <v>548</v>
      </c>
      <c r="C81" s="281" t="s">
        <v>306</v>
      </c>
      <c r="D81" s="281" t="s">
        <v>307</v>
      </c>
      <c r="E81" s="282" t="s">
        <v>220</v>
      </c>
      <c r="F81" s="283">
        <v>6.2</v>
      </c>
      <c r="G81" s="284">
        <f t="shared" si="6"/>
        <v>192.20000000000002</v>
      </c>
      <c r="H81" s="285">
        <v>1374</v>
      </c>
      <c r="I81" s="286">
        <f t="shared" si="7"/>
        <v>7.13</v>
      </c>
    </row>
    <row r="82" spans="1:9" ht="15.75" x14ac:dyDescent="0.25">
      <c r="A82" s="288" t="s">
        <v>544</v>
      </c>
      <c r="B82" s="281" t="s">
        <v>548</v>
      </c>
      <c r="C82" s="281" t="s">
        <v>308</v>
      </c>
      <c r="D82" s="281" t="s">
        <v>289</v>
      </c>
      <c r="E82" s="282" t="s">
        <v>220</v>
      </c>
      <c r="F82" s="283">
        <v>6</v>
      </c>
      <c r="G82" s="284">
        <f t="shared" si="6"/>
        <v>186</v>
      </c>
      <c r="H82" s="285">
        <v>1322</v>
      </c>
      <c r="I82" s="286">
        <f t="shared" si="7"/>
        <v>6.9</v>
      </c>
    </row>
    <row r="83" spans="1:9" ht="15.75" x14ac:dyDescent="0.25">
      <c r="A83" s="288" t="s">
        <v>544</v>
      </c>
      <c r="B83" s="281" t="s">
        <v>548</v>
      </c>
      <c r="C83" s="281" t="s">
        <v>309</v>
      </c>
      <c r="D83" s="281" t="s">
        <v>299</v>
      </c>
      <c r="E83" s="282" t="s">
        <v>220</v>
      </c>
      <c r="F83" s="283">
        <v>5.6</v>
      </c>
      <c r="G83" s="284">
        <f t="shared" si="6"/>
        <v>173.6</v>
      </c>
      <c r="H83" s="285">
        <v>1255</v>
      </c>
      <c r="I83" s="286">
        <f t="shared" si="7"/>
        <v>6.44</v>
      </c>
    </row>
    <row r="84" spans="1:9" ht="15.75" x14ac:dyDescent="0.25">
      <c r="A84" s="288" t="s">
        <v>544</v>
      </c>
      <c r="B84" s="281" t="s">
        <v>548</v>
      </c>
      <c r="C84" s="281" t="s">
        <v>310</v>
      </c>
      <c r="D84" s="281" t="s">
        <v>310</v>
      </c>
      <c r="E84" s="281" t="s">
        <v>222</v>
      </c>
      <c r="F84" s="283">
        <v>5.5</v>
      </c>
      <c r="G84" s="284">
        <f t="shared" si="6"/>
        <v>170.5</v>
      </c>
      <c r="H84" s="285">
        <v>1246</v>
      </c>
      <c r="I84" s="286">
        <f t="shared" si="7"/>
        <v>6.33</v>
      </c>
    </row>
    <row r="85" spans="1:9" ht="15.75" x14ac:dyDescent="0.25">
      <c r="A85" s="288" t="s">
        <v>544</v>
      </c>
      <c r="B85" s="281" t="s">
        <v>548</v>
      </c>
      <c r="C85" s="281" t="s">
        <v>311</v>
      </c>
      <c r="D85" s="281" t="s">
        <v>311</v>
      </c>
      <c r="E85" s="281" t="s">
        <v>222</v>
      </c>
      <c r="F85" s="283">
        <v>5.8</v>
      </c>
      <c r="G85" s="284">
        <f t="shared" si="6"/>
        <v>179.79999999999998</v>
      </c>
      <c r="H85" s="285">
        <v>1289</v>
      </c>
      <c r="I85" s="286">
        <f t="shared" si="7"/>
        <v>6.67</v>
      </c>
    </row>
    <row r="86" spans="1:9" ht="15.75" x14ac:dyDescent="0.25">
      <c r="A86" s="288" t="s">
        <v>544</v>
      </c>
      <c r="B86" s="281" t="s">
        <v>548</v>
      </c>
      <c r="C86" s="281" t="s">
        <v>312</v>
      </c>
      <c r="D86" s="281" t="s">
        <v>313</v>
      </c>
      <c r="E86" s="282" t="s">
        <v>220</v>
      </c>
      <c r="F86" s="283">
        <v>5.8</v>
      </c>
      <c r="G86" s="284">
        <f t="shared" si="6"/>
        <v>179.79999999999998</v>
      </c>
      <c r="H86" s="285">
        <v>1300</v>
      </c>
      <c r="I86" s="286">
        <f t="shared" si="7"/>
        <v>6.67</v>
      </c>
    </row>
    <row r="87" spans="1:9" ht="15.75" x14ac:dyDescent="0.25">
      <c r="A87" s="288" t="s">
        <v>544</v>
      </c>
      <c r="B87" s="281" t="s">
        <v>548</v>
      </c>
      <c r="C87" s="281" t="s">
        <v>314</v>
      </c>
      <c r="D87" s="281" t="s">
        <v>314</v>
      </c>
      <c r="E87" s="281" t="s">
        <v>222</v>
      </c>
      <c r="F87" s="283">
        <v>5.8</v>
      </c>
      <c r="G87" s="284">
        <f t="shared" si="6"/>
        <v>179.79999999999998</v>
      </c>
      <c r="H87" s="285">
        <v>1283</v>
      </c>
      <c r="I87" s="286">
        <f t="shared" si="7"/>
        <v>6.67</v>
      </c>
    </row>
    <row r="88" spans="1:9" ht="15.75" x14ac:dyDescent="0.25">
      <c r="A88" s="288" t="s">
        <v>544</v>
      </c>
      <c r="B88" s="281" t="s">
        <v>548</v>
      </c>
      <c r="C88" s="281" t="s">
        <v>315</v>
      </c>
      <c r="D88" s="281" t="s">
        <v>289</v>
      </c>
      <c r="E88" s="282" t="s">
        <v>220</v>
      </c>
      <c r="F88" s="283">
        <v>6</v>
      </c>
      <c r="G88" s="284">
        <f t="shared" si="6"/>
        <v>186</v>
      </c>
      <c r="H88" s="285">
        <v>1322</v>
      </c>
      <c r="I88" s="286">
        <f t="shared" si="7"/>
        <v>6.9</v>
      </c>
    </row>
    <row r="89" spans="1:9" ht="15.75" x14ac:dyDescent="0.25">
      <c r="A89" s="288" t="s">
        <v>544</v>
      </c>
      <c r="B89" s="281" t="s">
        <v>548</v>
      </c>
      <c r="C89" s="281" t="s">
        <v>316</v>
      </c>
      <c r="D89" s="281" t="s">
        <v>316</v>
      </c>
      <c r="E89" s="281" t="s">
        <v>222</v>
      </c>
      <c r="F89" s="283">
        <v>6.1</v>
      </c>
      <c r="G89" s="284">
        <f t="shared" si="6"/>
        <v>189.1</v>
      </c>
      <c r="H89" s="285">
        <v>1342</v>
      </c>
      <c r="I89" s="286">
        <f t="shared" si="7"/>
        <v>7.02</v>
      </c>
    </row>
    <row r="90" spans="1:9" ht="15.75" x14ac:dyDescent="0.25">
      <c r="A90" s="288" t="s">
        <v>544</v>
      </c>
      <c r="B90" s="281" t="s">
        <v>548</v>
      </c>
      <c r="C90" s="281" t="s">
        <v>317</v>
      </c>
      <c r="D90" s="281" t="s">
        <v>289</v>
      </c>
      <c r="E90" s="282" t="s">
        <v>220</v>
      </c>
      <c r="F90" s="283">
        <v>6</v>
      </c>
      <c r="G90" s="284">
        <f t="shared" si="6"/>
        <v>186</v>
      </c>
      <c r="H90" s="285">
        <v>1322</v>
      </c>
      <c r="I90" s="286">
        <f t="shared" si="7"/>
        <v>6.9</v>
      </c>
    </row>
    <row r="91" spans="1:9" ht="15.75" x14ac:dyDescent="0.25">
      <c r="A91" s="288" t="s">
        <v>544</v>
      </c>
      <c r="B91" s="281" t="s">
        <v>548</v>
      </c>
      <c r="C91" s="281" t="s">
        <v>318</v>
      </c>
      <c r="D91" s="281" t="s">
        <v>318</v>
      </c>
      <c r="E91" s="281" t="s">
        <v>222</v>
      </c>
      <c r="F91" s="283">
        <v>6</v>
      </c>
      <c r="G91" s="284">
        <f t="shared" si="6"/>
        <v>186</v>
      </c>
      <c r="H91" s="285">
        <v>1325</v>
      </c>
      <c r="I91" s="286">
        <f t="shared" si="7"/>
        <v>6.9</v>
      </c>
    </row>
    <row r="92" spans="1:9" ht="15.75" x14ac:dyDescent="0.25">
      <c r="A92" s="288" t="s">
        <v>544</v>
      </c>
      <c r="B92" s="281" t="s">
        <v>548</v>
      </c>
      <c r="C92" s="281" t="s">
        <v>319</v>
      </c>
      <c r="D92" s="281" t="s">
        <v>319</v>
      </c>
      <c r="E92" s="281" t="s">
        <v>222</v>
      </c>
      <c r="F92" s="283">
        <v>6.1</v>
      </c>
      <c r="G92" s="284">
        <f t="shared" si="6"/>
        <v>189.1</v>
      </c>
      <c r="H92" s="285">
        <v>1340</v>
      </c>
      <c r="I92" s="286">
        <f t="shared" si="7"/>
        <v>7.02</v>
      </c>
    </row>
    <row r="93" spans="1:9" ht="15.75" x14ac:dyDescent="0.25">
      <c r="A93" s="288" t="s">
        <v>544</v>
      </c>
      <c r="B93" s="281" t="s">
        <v>548</v>
      </c>
      <c r="C93" s="281" t="s">
        <v>320</v>
      </c>
      <c r="D93" s="281" t="s">
        <v>289</v>
      </c>
      <c r="E93" s="282" t="s">
        <v>220</v>
      </c>
      <c r="F93" s="283">
        <v>6</v>
      </c>
      <c r="G93" s="284">
        <f t="shared" si="6"/>
        <v>186</v>
      </c>
      <c r="H93" s="285">
        <v>1322</v>
      </c>
      <c r="I93" s="286">
        <f t="shared" si="7"/>
        <v>6.9</v>
      </c>
    </row>
    <row r="94" spans="1:9" ht="15.75" x14ac:dyDescent="0.25">
      <c r="A94" s="288" t="s">
        <v>544</v>
      </c>
      <c r="B94" s="281" t="s">
        <v>548</v>
      </c>
      <c r="C94" s="281" t="s">
        <v>321</v>
      </c>
      <c r="D94" s="281" t="s">
        <v>294</v>
      </c>
      <c r="E94" s="282" t="s">
        <v>220</v>
      </c>
      <c r="F94" s="283">
        <v>5.8</v>
      </c>
      <c r="G94" s="284">
        <f t="shared" si="6"/>
        <v>179.79999999999998</v>
      </c>
      <c r="H94" s="285">
        <v>1291</v>
      </c>
      <c r="I94" s="286">
        <f t="shared" si="7"/>
        <v>6.67</v>
      </c>
    </row>
    <row r="95" spans="1:9" ht="15.75" x14ac:dyDescent="0.25">
      <c r="A95" s="288" t="s">
        <v>544</v>
      </c>
      <c r="B95" s="281" t="s">
        <v>548</v>
      </c>
      <c r="C95" s="281" t="s">
        <v>322</v>
      </c>
      <c r="D95" s="281" t="s">
        <v>289</v>
      </c>
      <c r="E95" s="282" t="s">
        <v>220</v>
      </c>
      <c r="F95" s="283">
        <v>6</v>
      </c>
      <c r="G95" s="284">
        <f t="shared" si="6"/>
        <v>186</v>
      </c>
      <c r="H95" s="285">
        <v>1322</v>
      </c>
      <c r="I95" s="286">
        <f t="shared" si="7"/>
        <v>6.9</v>
      </c>
    </row>
    <row r="96" spans="1:9" ht="15.75" x14ac:dyDescent="0.25">
      <c r="A96" s="288" t="s">
        <v>544</v>
      </c>
      <c r="B96" s="281" t="s">
        <v>548</v>
      </c>
      <c r="C96" s="281" t="s">
        <v>323</v>
      </c>
      <c r="D96" s="281" t="s">
        <v>323</v>
      </c>
      <c r="E96" s="281" t="s">
        <v>222</v>
      </c>
      <c r="F96" s="283">
        <v>6.3</v>
      </c>
      <c r="G96" s="284">
        <f t="shared" si="6"/>
        <v>195.29999999999998</v>
      </c>
      <c r="H96" s="285">
        <v>1417</v>
      </c>
      <c r="I96" s="286">
        <f t="shared" si="7"/>
        <v>7.25</v>
      </c>
    </row>
    <row r="97" spans="1:9" ht="15.75" x14ac:dyDescent="0.25">
      <c r="A97" s="288" t="s">
        <v>544</v>
      </c>
      <c r="B97" s="281" t="s">
        <v>548</v>
      </c>
      <c r="C97" s="281" t="s">
        <v>324</v>
      </c>
      <c r="D97" s="281" t="s">
        <v>310</v>
      </c>
      <c r="E97" s="282" t="s">
        <v>220</v>
      </c>
      <c r="F97" s="283">
        <v>5.5</v>
      </c>
      <c r="G97" s="284">
        <f t="shared" si="6"/>
        <v>170.5</v>
      </c>
      <c r="H97" s="285">
        <v>1246</v>
      </c>
      <c r="I97" s="286">
        <f t="shared" si="7"/>
        <v>6.33</v>
      </c>
    </row>
    <row r="98" spans="1:9" ht="15.75" x14ac:dyDescent="0.25">
      <c r="A98" s="288" t="s">
        <v>544</v>
      </c>
      <c r="B98" s="281" t="s">
        <v>548</v>
      </c>
      <c r="C98" s="281" t="s">
        <v>325</v>
      </c>
      <c r="D98" s="281" t="s">
        <v>325</v>
      </c>
      <c r="E98" s="281" t="s">
        <v>222</v>
      </c>
      <c r="F98" s="283">
        <v>5.7</v>
      </c>
      <c r="G98" s="284">
        <f t="shared" si="6"/>
        <v>176.70000000000002</v>
      </c>
      <c r="H98" s="285">
        <v>1279</v>
      </c>
      <c r="I98" s="286">
        <f t="shared" si="7"/>
        <v>6.56</v>
      </c>
    </row>
    <row r="99" spans="1:9" ht="15.75" x14ac:dyDescent="0.25">
      <c r="A99" s="288" t="s">
        <v>544</v>
      </c>
      <c r="B99" s="281" t="s">
        <v>548</v>
      </c>
      <c r="C99" s="281" t="s">
        <v>326</v>
      </c>
      <c r="D99" s="281" t="s">
        <v>307</v>
      </c>
      <c r="E99" s="282" t="s">
        <v>220</v>
      </c>
      <c r="F99" s="283">
        <v>6.2</v>
      </c>
      <c r="G99" s="284">
        <f t="shared" ref="G99:G130" si="8">F99*$D$3</f>
        <v>192.20000000000002</v>
      </c>
      <c r="H99" s="285">
        <v>1374</v>
      </c>
      <c r="I99" s="286">
        <f t="shared" ref="I99:I130" si="9">ROUND(F99*1.15,2)</f>
        <v>7.13</v>
      </c>
    </row>
    <row r="100" spans="1:9" ht="15.75" x14ac:dyDescent="0.25">
      <c r="A100" s="288" t="s">
        <v>545</v>
      </c>
      <c r="B100" s="281" t="s">
        <v>549</v>
      </c>
      <c r="C100" s="281" t="s">
        <v>327</v>
      </c>
      <c r="D100" s="281" t="s">
        <v>328</v>
      </c>
      <c r="E100" s="282" t="s">
        <v>220</v>
      </c>
      <c r="F100" s="283">
        <v>6.1</v>
      </c>
      <c r="G100" s="284">
        <f t="shared" si="8"/>
        <v>189.1</v>
      </c>
      <c r="H100" s="285">
        <v>1327</v>
      </c>
      <c r="I100" s="286">
        <f t="shared" si="9"/>
        <v>7.02</v>
      </c>
    </row>
    <row r="101" spans="1:9" ht="15.75" x14ac:dyDescent="0.25">
      <c r="A101" s="288" t="s">
        <v>545</v>
      </c>
      <c r="B101" s="281" t="s">
        <v>549</v>
      </c>
      <c r="C101" s="281" t="s">
        <v>329</v>
      </c>
      <c r="D101" s="281" t="s">
        <v>329</v>
      </c>
      <c r="E101" s="281" t="s">
        <v>222</v>
      </c>
      <c r="F101" s="283">
        <v>6.1</v>
      </c>
      <c r="G101" s="284">
        <f t="shared" si="8"/>
        <v>189.1</v>
      </c>
      <c r="H101" s="285">
        <v>1325</v>
      </c>
      <c r="I101" s="286">
        <f t="shared" si="9"/>
        <v>7.02</v>
      </c>
    </row>
    <row r="102" spans="1:9" ht="15.75" x14ac:dyDescent="0.25">
      <c r="A102" s="288" t="s">
        <v>545</v>
      </c>
      <c r="B102" s="281" t="s">
        <v>549</v>
      </c>
      <c r="C102" s="281" t="s">
        <v>330</v>
      </c>
      <c r="D102" s="281" t="s">
        <v>330</v>
      </c>
      <c r="E102" s="281" t="s">
        <v>222</v>
      </c>
      <c r="F102" s="283">
        <v>6.1</v>
      </c>
      <c r="G102" s="284">
        <f t="shared" si="8"/>
        <v>189.1</v>
      </c>
      <c r="H102" s="285">
        <v>1340</v>
      </c>
      <c r="I102" s="286">
        <f t="shared" si="9"/>
        <v>7.02</v>
      </c>
    </row>
    <row r="103" spans="1:9" ht="15.75" x14ac:dyDescent="0.25">
      <c r="A103" s="288" t="s">
        <v>545</v>
      </c>
      <c r="B103" s="281" t="s">
        <v>549</v>
      </c>
      <c r="C103" s="281" t="s">
        <v>331</v>
      </c>
      <c r="D103" s="281" t="s">
        <v>331</v>
      </c>
      <c r="E103" s="281" t="s">
        <v>222</v>
      </c>
      <c r="F103" s="283">
        <v>5.9</v>
      </c>
      <c r="G103" s="284">
        <f t="shared" si="8"/>
        <v>182.9</v>
      </c>
      <c r="H103" s="285">
        <v>1309</v>
      </c>
      <c r="I103" s="286">
        <f t="shared" si="9"/>
        <v>6.79</v>
      </c>
    </row>
    <row r="104" spans="1:9" ht="15.75" x14ac:dyDescent="0.25">
      <c r="A104" s="288" t="s">
        <v>545</v>
      </c>
      <c r="B104" s="281" t="s">
        <v>549</v>
      </c>
      <c r="C104" s="281" t="s">
        <v>332</v>
      </c>
      <c r="D104" s="281" t="s">
        <v>332</v>
      </c>
      <c r="E104" s="281" t="s">
        <v>222</v>
      </c>
      <c r="F104" s="283">
        <v>5.9</v>
      </c>
      <c r="G104" s="284">
        <f t="shared" si="8"/>
        <v>182.9</v>
      </c>
      <c r="H104" s="285">
        <v>1294</v>
      </c>
      <c r="I104" s="286">
        <f t="shared" si="9"/>
        <v>6.79</v>
      </c>
    </row>
    <row r="105" spans="1:9" ht="15.75" x14ac:dyDescent="0.25">
      <c r="A105" s="288" t="s">
        <v>545</v>
      </c>
      <c r="B105" s="281" t="s">
        <v>549</v>
      </c>
      <c r="C105" s="281" t="s">
        <v>333</v>
      </c>
      <c r="D105" s="281" t="s">
        <v>333</v>
      </c>
      <c r="E105" s="281" t="s">
        <v>222</v>
      </c>
      <c r="F105" s="283">
        <v>5.9</v>
      </c>
      <c r="G105" s="284">
        <f t="shared" si="8"/>
        <v>182.9</v>
      </c>
      <c r="H105" s="285">
        <v>1288</v>
      </c>
      <c r="I105" s="286">
        <f t="shared" si="9"/>
        <v>6.79</v>
      </c>
    </row>
    <row r="106" spans="1:9" ht="15.75" x14ac:dyDescent="0.25">
      <c r="A106" s="288" t="s">
        <v>545</v>
      </c>
      <c r="B106" s="281" t="s">
        <v>549</v>
      </c>
      <c r="C106" s="281" t="s">
        <v>334</v>
      </c>
      <c r="D106" s="281" t="s">
        <v>334</v>
      </c>
      <c r="E106" s="281" t="s">
        <v>222</v>
      </c>
      <c r="F106" s="283">
        <v>5.9</v>
      </c>
      <c r="G106" s="284">
        <f t="shared" si="8"/>
        <v>182.9</v>
      </c>
      <c r="H106" s="285">
        <v>1303</v>
      </c>
      <c r="I106" s="286">
        <f t="shared" si="9"/>
        <v>6.79</v>
      </c>
    </row>
    <row r="107" spans="1:9" ht="15.75" x14ac:dyDescent="0.25">
      <c r="A107" s="288" t="s">
        <v>545</v>
      </c>
      <c r="B107" s="281" t="s">
        <v>549</v>
      </c>
      <c r="C107" s="281" t="s">
        <v>335</v>
      </c>
      <c r="D107" s="281" t="s">
        <v>335</v>
      </c>
      <c r="E107" s="281" t="s">
        <v>222</v>
      </c>
      <c r="F107" s="283">
        <v>5.5</v>
      </c>
      <c r="G107" s="284">
        <f t="shared" si="8"/>
        <v>170.5</v>
      </c>
      <c r="H107" s="285">
        <v>1229</v>
      </c>
      <c r="I107" s="286">
        <f t="shared" si="9"/>
        <v>6.33</v>
      </c>
    </row>
    <row r="108" spans="1:9" ht="15.75" x14ac:dyDescent="0.25">
      <c r="A108" s="288" t="s">
        <v>545</v>
      </c>
      <c r="B108" s="281" t="s">
        <v>549</v>
      </c>
      <c r="C108" s="281" t="s">
        <v>336</v>
      </c>
      <c r="D108" s="281" t="s">
        <v>336</v>
      </c>
      <c r="E108" s="281" t="s">
        <v>222</v>
      </c>
      <c r="F108" s="283">
        <v>5.6</v>
      </c>
      <c r="G108" s="284">
        <f t="shared" si="8"/>
        <v>173.6</v>
      </c>
      <c r="H108" s="285">
        <v>1261</v>
      </c>
      <c r="I108" s="286">
        <f t="shared" si="9"/>
        <v>6.44</v>
      </c>
    </row>
    <row r="109" spans="1:9" ht="15.75" x14ac:dyDescent="0.25">
      <c r="A109" s="288" t="s">
        <v>545</v>
      </c>
      <c r="B109" s="281" t="s">
        <v>549</v>
      </c>
      <c r="C109" s="281" t="s">
        <v>337</v>
      </c>
      <c r="D109" s="281" t="s">
        <v>335</v>
      </c>
      <c r="E109" s="282" t="s">
        <v>220</v>
      </c>
      <c r="F109" s="283">
        <v>5.5</v>
      </c>
      <c r="G109" s="284">
        <f t="shared" si="8"/>
        <v>170.5</v>
      </c>
      <c r="H109" s="285">
        <v>1229</v>
      </c>
      <c r="I109" s="286">
        <f t="shared" si="9"/>
        <v>6.33</v>
      </c>
    </row>
    <row r="110" spans="1:9" ht="15.75" x14ac:dyDescent="0.25">
      <c r="A110" s="288" t="s">
        <v>545</v>
      </c>
      <c r="B110" s="281" t="s">
        <v>549</v>
      </c>
      <c r="C110" s="281" t="s">
        <v>338</v>
      </c>
      <c r="D110" s="281" t="s">
        <v>338</v>
      </c>
      <c r="E110" s="281" t="s">
        <v>222</v>
      </c>
      <c r="F110" s="283">
        <v>5.6</v>
      </c>
      <c r="G110" s="284">
        <f t="shared" si="8"/>
        <v>173.6</v>
      </c>
      <c r="H110" s="285">
        <v>1218</v>
      </c>
      <c r="I110" s="286">
        <f t="shared" si="9"/>
        <v>6.44</v>
      </c>
    </row>
    <row r="111" spans="1:9" ht="15.75" x14ac:dyDescent="0.25">
      <c r="A111" s="288" t="s">
        <v>545</v>
      </c>
      <c r="B111" s="281" t="s">
        <v>549</v>
      </c>
      <c r="C111" s="281" t="s">
        <v>339</v>
      </c>
      <c r="D111" s="281" t="s">
        <v>339</v>
      </c>
      <c r="E111" s="281" t="s">
        <v>222</v>
      </c>
      <c r="F111" s="283">
        <v>5.9</v>
      </c>
      <c r="G111" s="284">
        <f t="shared" si="8"/>
        <v>182.9</v>
      </c>
      <c r="H111" s="285">
        <v>1333</v>
      </c>
      <c r="I111" s="286">
        <f t="shared" si="9"/>
        <v>6.79</v>
      </c>
    </row>
    <row r="112" spans="1:9" ht="15.75" x14ac:dyDescent="0.25">
      <c r="A112" s="288" t="s">
        <v>545</v>
      </c>
      <c r="B112" s="281" t="s">
        <v>549</v>
      </c>
      <c r="C112" s="281" t="s">
        <v>340</v>
      </c>
      <c r="D112" s="281" t="s">
        <v>340</v>
      </c>
      <c r="E112" s="281" t="s">
        <v>222</v>
      </c>
      <c r="F112" s="283">
        <v>6.2</v>
      </c>
      <c r="G112" s="284">
        <f t="shared" si="8"/>
        <v>192.20000000000002</v>
      </c>
      <c r="H112" s="285">
        <v>1341</v>
      </c>
      <c r="I112" s="286">
        <f t="shared" si="9"/>
        <v>7.13</v>
      </c>
    </row>
    <row r="113" spans="1:9" ht="15.75" x14ac:dyDescent="0.25">
      <c r="A113" s="288" t="s">
        <v>545</v>
      </c>
      <c r="B113" s="281" t="s">
        <v>549</v>
      </c>
      <c r="C113" s="281" t="s">
        <v>341</v>
      </c>
      <c r="D113" s="281" t="s">
        <v>341</v>
      </c>
      <c r="E113" s="281" t="s">
        <v>222</v>
      </c>
      <c r="F113" s="283">
        <v>5.6</v>
      </c>
      <c r="G113" s="284">
        <f t="shared" si="8"/>
        <v>173.6</v>
      </c>
      <c r="H113" s="285">
        <v>1265</v>
      </c>
      <c r="I113" s="286">
        <f t="shared" si="9"/>
        <v>6.44</v>
      </c>
    </row>
    <row r="114" spans="1:9" ht="15.75" x14ac:dyDescent="0.25">
      <c r="A114" s="288" t="s">
        <v>545</v>
      </c>
      <c r="B114" s="281" t="s">
        <v>549</v>
      </c>
      <c r="C114" s="281" t="s">
        <v>342</v>
      </c>
      <c r="D114" s="281" t="s">
        <v>343</v>
      </c>
      <c r="E114" s="281" t="s">
        <v>222</v>
      </c>
      <c r="F114" s="283">
        <v>6.2</v>
      </c>
      <c r="G114" s="284">
        <f t="shared" si="8"/>
        <v>192.20000000000002</v>
      </c>
      <c r="H114" s="285">
        <v>1349</v>
      </c>
      <c r="I114" s="286">
        <f t="shared" si="9"/>
        <v>7.13</v>
      </c>
    </row>
    <row r="115" spans="1:9" ht="15.75" x14ac:dyDescent="0.25">
      <c r="A115" s="288" t="s">
        <v>545</v>
      </c>
      <c r="B115" s="281" t="s">
        <v>549</v>
      </c>
      <c r="C115" s="281" t="s">
        <v>328</v>
      </c>
      <c r="D115" s="281" t="s">
        <v>328</v>
      </c>
      <c r="E115" s="281" t="s">
        <v>222</v>
      </c>
      <c r="F115" s="283">
        <v>6.1</v>
      </c>
      <c r="G115" s="284">
        <f t="shared" si="8"/>
        <v>189.1</v>
      </c>
      <c r="H115" s="285">
        <v>1327</v>
      </c>
      <c r="I115" s="286">
        <f t="shared" si="9"/>
        <v>7.02</v>
      </c>
    </row>
    <row r="116" spans="1:9" ht="15.75" x14ac:dyDescent="0.25">
      <c r="A116" s="288" t="s">
        <v>545</v>
      </c>
      <c r="B116" s="281" t="s">
        <v>549</v>
      </c>
      <c r="C116" s="281" t="s">
        <v>344</v>
      </c>
      <c r="D116" s="281" t="s">
        <v>345</v>
      </c>
      <c r="E116" s="282" t="s">
        <v>346</v>
      </c>
      <c r="F116" s="283">
        <v>4.8499999999999996</v>
      </c>
      <c r="G116" s="284">
        <f t="shared" si="8"/>
        <v>150.35</v>
      </c>
      <c r="H116" s="285">
        <v>1107</v>
      </c>
      <c r="I116" s="286">
        <f t="shared" si="9"/>
        <v>5.58</v>
      </c>
    </row>
    <row r="117" spans="1:9" ht="15.75" x14ac:dyDescent="0.25">
      <c r="A117" s="288" t="s">
        <v>545</v>
      </c>
      <c r="B117" s="281" t="s">
        <v>549</v>
      </c>
      <c r="C117" s="281" t="s">
        <v>347</v>
      </c>
      <c r="D117" s="281" t="s">
        <v>347</v>
      </c>
      <c r="E117" s="281" t="s">
        <v>222</v>
      </c>
      <c r="F117" s="283">
        <v>6</v>
      </c>
      <c r="G117" s="284">
        <f t="shared" si="8"/>
        <v>186</v>
      </c>
      <c r="H117" s="285">
        <v>1348</v>
      </c>
      <c r="I117" s="286">
        <f t="shared" si="9"/>
        <v>6.9</v>
      </c>
    </row>
    <row r="118" spans="1:9" ht="15.75" x14ac:dyDescent="0.25">
      <c r="A118" s="288" t="s">
        <v>545</v>
      </c>
      <c r="B118" s="281" t="s">
        <v>549</v>
      </c>
      <c r="C118" s="281" t="s">
        <v>348</v>
      </c>
      <c r="D118" s="281" t="s">
        <v>349</v>
      </c>
      <c r="E118" s="282" t="s">
        <v>220</v>
      </c>
      <c r="F118" s="283">
        <v>6</v>
      </c>
      <c r="G118" s="284">
        <f t="shared" si="8"/>
        <v>186</v>
      </c>
      <c r="H118" s="285">
        <v>1322</v>
      </c>
      <c r="I118" s="286">
        <f t="shared" si="9"/>
        <v>6.9</v>
      </c>
    </row>
    <row r="119" spans="1:9" ht="15.75" x14ac:dyDescent="0.25">
      <c r="A119" s="288" t="s">
        <v>545</v>
      </c>
      <c r="B119" s="281" t="s">
        <v>549</v>
      </c>
      <c r="C119" s="281" t="s">
        <v>350</v>
      </c>
      <c r="D119" s="281" t="s">
        <v>324</v>
      </c>
      <c r="E119" s="282" t="s">
        <v>220</v>
      </c>
      <c r="F119" s="283">
        <v>4.9000000000000004</v>
      </c>
      <c r="G119" s="284">
        <f t="shared" si="8"/>
        <v>151.9</v>
      </c>
      <c r="H119" s="285">
        <v>1090</v>
      </c>
      <c r="I119" s="286">
        <f t="shared" si="9"/>
        <v>5.64</v>
      </c>
    </row>
    <row r="120" spans="1:9" ht="15.75" x14ac:dyDescent="0.25">
      <c r="A120" s="288" t="s">
        <v>545</v>
      </c>
      <c r="B120" s="281" t="s">
        <v>549</v>
      </c>
      <c r="C120" s="281" t="s">
        <v>351</v>
      </c>
      <c r="D120" s="281" t="s">
        <v>351</v>
      </c>
      <c r="E120" s="281" t="s">
        <v>222</v>
      </c>
      <c r="F120" s="283">
        <v>5.8</v>
      </c>
      <c r="G120" s="284">
        <f t="shared" si="8"/>
        <v>179.79999999999998</v>
      </c>
      <c r="H120" s="285">
        <v>1295</v>
      </c>
      <c r="I120" s="286">
        <f t="shared" si="9"/>
        <v>6.67</v>
      </c>
    </row>
    <row r="121" spans="1:9" ht="15.75" x14ac:dyDescent="0.25">
      <c r="A121" s="288" t="s">
        <v>545</v>
      </c>
      <c r="B121" s="281" t="s">
        <v>549</v>
      </c>
      <c r="C121" s="281" t="s">
        <v>352</v>
      </c>
      <c r="D121" s="281" t="s">
        <v>352</v>
      </c>
      <c r="E121" s="281" t="s">
        <v>222</v>
      </c>
      <c r="F121" s="283">
        <v>6</v>
      </c>
      <c r="G121" s="284">
        <f t="shared" si="8"/>
        <v>186</v>
      </c>
      <c r="H121" s="285">
        <v>1328</v>
      </c>
      <c r="I121" s="286">
        <f t="shared" si="9"/>
        <v>6.9</v>
      </c>
    </row>
    <row r="122" spans="1:9" ht="15.75" x14ac:dyDescent="0.25">
      <c r="A122" s="288" t="s">
        <v>545</v>
      </c>
      <c r="B122" s="281" t="s">
        <v>549</v>
      </c>
      <c r="C122" s="281" t="s">
        <v>353</v>
      </c>
      <c r="D122" s="281" t="s">
        <v>353</v>
      </c>
      <c r="E122" s="281" t="s">
        <v>222</v>
      </c>
      <c r="F122" s="283">
        <v>5.8</v>
      </c>
      <c r="G122" s="284">
        <f t="shared" si="8"/>
        <v>179.79999999999998</v>
      </c>
      <c r="H122" s="285">
        <v>1311</v>
      </c>
      <c r="I122" s="286">
        <f t="shared" si="9"/>
        <v>6.67</v>
      </c>
    </row>
    <row r="123" spans="1:9" ht="15.75" x14ac:dyDescent="0.25">
      <c r="A123" s="288" t="s">
        <v>545</v>
      </c>
      <c r="B123" s="281" t="s">
        <v>549</v>
      </c>
      <c r="C123" s="281" t="s">
        <v>354</v>
      </c>
      <c r="D123" s="281" t="s">
        <v>354</v>
      </c>
      <c r="E123" s="281" t="s">
        <v>222</v>
      </c>
      <c r="F123" s="283">
        <v>4.2</v>
      </c>
      <c r="G123" s="284">
        <f t="shared" si="8"/>
        <v>130.20000000000002</v>
      </c>
      <c r="H123" s="285">
        <v>984</v>
      </c>
      <c r="I123" s="286">
        <f t="shared" si="9"/>
        <v>4.83</v>
      </c>
    </row>
    <row r="124" spans="1:9" ht="15.75" x14ac:dyDescent="0.25">
      <c r="A124" s="288" t="s">
        <v>545</v>
      </c>
      <c r="B124" s="281" t="s">
        <v>549</v>
      </c>
      <c r="C124" s="281" t="s">
        <v>355</v>
      </c>
      <c r="D124" s="281" t="s">
        <v>356</v>
      </c>
      <c r="E124" s="282" t="s">
        <v>220</v>
      </c>
      <c r="F124" s="283">
        <v>6.1</v>
      </c>
      <c r="G124" s="284">
        <f t="shared" si="8"/>
        <v>189.1</v>
      </c>
      <c r="H124" s="285">
        <v>1335</v>
      </c>
      <c r="I124" s="286">
        <f t="shared" si="9"/>
        <v>7.02</v>
      </c>
    </row>
    <row r="125" spans="1:9" ht="15.75" x14ac:dyDescent="0.25">
      <c r="A125" s="288" t="s">
        <v>545</v>
      </c>
      <c r="B125" s="281" t="s">
        <v>549</v>
      </c>
      <c r="C125" s="281" t="s">
        <v>357</v>
      </c>
      <c r="D125" s="281" t="s">
        <v>338</v>
      </c>
      <c r="E125" s="282" t="s">
        <v>220</v>
      </c>
      <c r="F125" s="283">
        <v>5.6</v>
      </c>
      <c r="G125" s="284">
        <f t="shared" si="8"/>
        <v>173.6</v>
      </c>
      <c r="H125" s="285">
        <v>1218</v>
      </c>
      <c r="I125" s="286">
        <f t="shared" si="9"/>
        <v>6.44</v>
      </c>
    </row>
    <row r="126" spans="1:9" ht="15.75" x14ac:dyDescent="0.25">
      <c r="A126" s="288" t="s">
        <v>545</v>
      </c>
      <c r="B126" s="281" t="s">
        <v>549</v>
      </c>
      <c r="C126" s="281" t="s">
        <v>358</v>
      </c>
      <c r="D126" s="281" t="s">
        <v>358</v>
      </c>
      <c r="E126" s="281" t="s">
        <v>222</v>
      </c>
      <c r="F126" s="283">
        <v>6</v>
      </c>
      <c r="G126" s="284">
        <f t="shared" si="8"/>
        <v>186</v>
      </c>
      <c r="H126" s="285">
        <v>1328</v>
      </c>
      <c r="I126" s="286">
        <f t="shared" si="9"/>
        <v>6.9</v>
      </c>
    </row>
    <row r="127" spans="1:9" ht="15.75" x14ac:dyDescent="0.25">
      <c r="A127" s="288" t="s">
        <v>545</v>
      </c>
      <c r="B127" s="281" t="s">
        <v>549</v>
      </c>
      <c r="C127" s="281" t="s">
        <v>359</v>
      </c>
      <c r="D127" s="281" t="s">
        <v>359</v>
      </c>
      <c r="E127" s="281" t="s">
        <v>222</v>
      </c>
      <c r="F127" s="283">
        <v>5.9</v>
      </c>
      <c r="G127" s="284">
        <f t="shared" si="8"/>
        <v>182.9</v>
      </c>
      <c r="H127" s="285">
        <v>1322</v>
      </c>
      <c r="I127" s="286">
        <f t="shared" si="9"/>
        <v>6.79</v>
      </c>
    </row>
    <row r="128" spans="1:9" ht="15.75" x14ac:dyDescent="0.25">
      <c r="A128" s="288" t="s">
        <v>545</v>
      </c>
      <c r="B128" s="281" t="s">
        <v>549</v>
      </c>
      <c r="C128" s="281" t="s">
        <v>360</v>
      </c>
      <c r="D128" s="281" t="s">
        <v>360</v>
      </c>
      <c r="E128" s="281" t="s">
        <v>222</v>
      </c>
      <c r="F128" s="283">
        <v>6.1</v>
      </c>
      <c r="G128" s="284">
        <f t="shared" si="8"/>
        <v>189.1</v>
      </c>
      <c r="H128" s="285">
        <v>1331</v>
      </c>
      <c r="I128" s="286">
        <f t="shared" si="9"/>
        <v>7.02</v>
      </c>
    </row>
    <row r="129" spans="1:9" ht="15.75" x14ac:dyDescent="0.25">
      <c r="A129" s="288" t="s">
        <v>545</v>
      </c>
      <c r="B129" s="281" t="s">
        <v>549</v>
      </c>
      <c r="C129" s="281" t="s">
        <v>361</v>
      </c>
      <c r="D129" s="281" t="s">
        <v>361</v>
      </c>
      <c r="E129" s="281" t="s">
        <v>222</v>
      </c>
      <c r="F129" s="283">
        <v>6</v>
      </c>
      <c r="G129" s="284">
        <f t="shared" si="8"/>
        <v>186</v>
      </c>
      <c r="H129" s="285">
        <v>1331</v>
      </c>
      <c r="I129" s="286">
        <f t="shared" si="9"/>
        <v>6.9</v>
      </c>
    </row>
    <row r="130" spans="1:9" ht="15.75" x14ac:dyDescent="0.25">
      <c r="A130" s="288" t="s">
        <v>545</v>
      </c>
      <c r="B130" s="281" t="s">
        <v>549</v>
      </c>
      <c r="C130" s="281" t="s">
        <v>356</v>
      </c>
      <c r="D130" s="281" t="s">
        <v>356</v>
      </c>
      <c r="E130" s="281" t="s">
        <v>222</v>
      </c>
      <c r="F130" s="283">
        <v>6.1</v>
      </c>
      <c r="G130" s="284">
        <f t="shared" si="8"/>
        <v>189.1</v>
      </c>
      <c r="H130" s="285">
        <v>1335</v>
      </c>
      <c r="I130" s="286">
        <f t="shared" si="9"/>
        <v>7.02</v>
      </c>
    </row>
    <row r="131" spans="1:9" ht="15.75" x14ac:dyDescent="0.25">
      <c r="A131" s="288" t="s">
        <v>545</v>
      </c>
      <c r="B131" s="281" t="s">
        <v>549</v>
      </c>
      <c r="C131" s="281" t="s">
        <v>362</v>
      </c>
      <c r="D131" s="281" t="s">
        <v>363</v>
      </c>
      <c r="E131" s="281" t="s">
        <v>222</v>
      </c>
      <c r="F131" s="283">
        <v>6</v>
      </c>
      <c r="G131" s="284">
        <f t="shared" ref="G131:G162" si="10">F131*$D$3</f>
        <v>186</v>
      </c>
      <c r="H131" s="285">
        <v>1311</v>
      </c>
      <c r="I131" s="286">
        <f t="shared" ref="I131:I162" si="11">ROUND(F131*1.15,2)</f>
        <v>6.9</v>
      </c>
    </row>
    <row r="132" spans="1:9" ht="15.75" x14ac:dyDescent="0.25">
      <c r="A132" s="288" t="s">
        <v>545</v>
      </c>
      <c r="B132" s="281" t="s">
        <v>549</v>
      </c>
      <c r="C132" s="281" t="s">
        <v>349</v>
      </c>
      <c r="D132" s="281" t="s">
        <v>349</v>
      </c>
      <c r="E132" s="281" t="s">
        <v>222</v>
      </c>
      <c r="F132" s="283">
        <v>6</v>
      </c>
      <c r="G132" s="284">
        <f t="shared" si="10"/>
        <v>186</v>
      </c>
      <c r="H132" s="285">
        <v>1322</v>
      </c>
      <c r="I132" s="286">
        <f t="shared" si="11"/>
        <v>6.9</v>
      </c>
    </row>
    <row r="133" spans="1:9" ht="15.75" x14ac:dyDescent="0.25">
      <c r="A133" s="288" t="s">
        <v>546</v>
      </c>
      <c r="B133" s="281" t="s">
        <v>377</v>
      </c>
      <c r="C133" s="281" t="s">
        <v>364</v>
      </c>
      <c r="D133" s="281" t="s">
        <v>364</v>
      </c>
      <c r="E133" s="281" t="s">
        <v>222</v>
      </c>
      <c r="F133" s="283">
        <v>5.7</v>
      </c>
      <c r="G133" s="284">
        <f t="shared" si="10"/>
        <v>176.70000000000002</v>
      </c>
      <c r="H133" s="285">
        <v>1219</v>
      </c>
      <c r="I133" s="286">
        <f t="shared" si="11"/>
        <v>6.56</v>
      </c>
    </row>
    <row r="134" spans="1:9" ht="15.75" x14ac:dyDescent="0.25">
      <c r="A134" s="288" t="s">
        <v>546</v>
      </c>
      <c r="B134" s="281" t="s">
        <v>377</v>
      </c>
      <c r="C134" s="281" t="s">
        <v>365</v>
      </c>
      <c r="D134" s="281" t="s">
        <v>365</v>
      </c>
      <c r="E134" s="281" t="s">
        <v>222</v>
      </c>
      <c r="F134" s="283">
        <v>4.4000000000000004</v>
      </c>
      <c r="G134" s="284">
        <f t="shared" si="10"/>
        <v>136.4</v>
      </c>
      <c r="H134" s="285">
        <v>1008</v>
      </c>
      <c r="I134" s="286">
        <f t="shared" si="11"/>
        <v>5.0599999999999996</v>
      </c>
    </row>
    <row r="135" spans="1:9" ht="15.75" x14ac:dyDescent="0.25">
      <c r="A135" s="288" t="s">
        <v>546</v>
      </c>
      <c r="B135" s="281" t="s">
        <v>377</v>
      </c>
      <c r="C135" s="281" t="s">
        <v>366</v>
      </c>
      <c r="D135" s="281" t="s">
        <v>367</v>
      </c>
      <c r="E135" s="281" t="s">
        <v>222</v>
      </c>
      <c r="F135" s="283">
        <v>6</v>
      </c>
      <c r="G135" s="284">
        <f t="shared" si="10"/>
        <v>186</v>
      </c>
      <c r="H135" s="285">
        <v>1274</v>
      </c>
      <c r="I135" s="286">
        <f t="shared" si="11"/>
        <v>6.9</v>
      </c>
    </row>
    <row r="136" spans="1:9" ht="15.75" x14ac:dyDescent="0.25">
      <c r="A136" s="288" t="s">
        <v>546</v>
      </c>
      <c r="B136" s="281" t="s">
        <v>377</v>
      </c>
      <c r="C136" s="281" t="s">
        <v>368</v>
      </c>
      <c r="D136" s="281" t="s">
        <v>368</v>
      </c>
      <c r="E136" s="281" t="s">
        <v>222</v>
      </c>
      <c r="F136" s="283">
        <v>4.4000000000000004</v>
      </c>
      <c r="G136" s="284">
        <f t="shared" si="10"/>
        <v>136.4</v>
      </c>
      <c r="H136" s="285">
        <v>1017</v>
      </c>
      <c r="I136" s="286">
        <f t="shared" si="11"/>
        <v>5.0599999999999996</v>
      </c>
    </row>
    <row r="137" spans="1:9" ht="15.75" x14ac:dyDescent="0.25">
      <c r="A137" s="288" t="s">
        <v>546</v>
      </c>
      <c r="B137" s="281" t="s">
        <v>377</v>
      </c>
      <c r="C137" s="281" t="s">
        <v>369</v>
      </c>
      <c r="D137" s="281" t="s">
        <v>369</v>
      </c>
      <c r="E137" s="281" t="s">
        <v>222</v>
      </c>
      <c r="F137" s="283">
        <v>5</v>
      </c>
      <c r="G137" s="284">
        <f t="shared" si="10"/>
        <v>155</v>
      </c>
      <c r="H137" s="285">
        <v>1114</v>
      </c>
      <c r="I137" s="286">
        <f t="shared" si="11"/>
        <v>5.75</v>
      </c>
    </row>
    <row r="138" spans="1:9" ht="15.75" x14ac:dyDescent="0.25">
      <c r="A138" s="288" t="s">
        <v>546</v>
      </c>
      <c r="B138" s="281" t="s">
        <v>377</v>
      </c>
      <c r="C138" s="281" t="s">
        <v>370</v>
      </c>
      <c r="D138" s="281" t="s">
        <v>370</v>
      </c>
      <c r="E138" s="281" t="s">
        <v>222</v>
      </c>
      <c r="F138" s="283">
        <v>5.9</v>
      </c>
      <c r="G138" s="284">
        <f t="shared" si="10"/>
        <v>182.9</v>
      </c>
      <c r="H138" s="285">
        <v>1283</v>
      </c>
      <c r="I138" s="286">
        <f t="shared" si="11"/>
        <v>6.79</v>
      </c>
    </row>
    <row r="139" spans="1:9" ht="15.75" x14ac:dyDescent="0.25">
      <c r="A139" s="288" t="s">
        <v>546</v>
      </c>
      <c r="B139" s="281" t="s">
        <v>377</v>
      </c>
      <c r="C139" s="281" t="s">
        <v>371</v>
      </c>
      <c r="D139" s="281" t="s">
        <v>371</v>
      </c>
      <c r="E139" s="281" t="s">
        <v>222</v>
      </c>
      <c r="F139" s="283">
        <v>5.5</v>
      </c>
      <c r="G139" s="284">
        <f t="shared" si="10"/>
        <v>170.5</v>
      </c>
      <c r="H139" s="285">
        <v>1211</v>
      </c>
      <c r="I139" s="286">
        <f t="shared" si="11"/>
        <v>6.33</v>
      </c>
    </row>
    <row r="140" spans="1:9" ht="15.75" x14ac:dyDescent="0.25">
      <c r="A140" s="288" t="s">
        <v>546</v>
      </c>
      <c r="B140" s="281" t="s">
        <v>377</v>
      </c>
      <c r="C140" s="281" t="s">
        <v>372</v>
      </c>
      <c r="D140" s="281" t="s">
        <v>373</v>
      </c>
      <c r="E140" s="282" t="s">
        <v>346</v>
      </c>
      <c r="F140" s="283">
        <v>5.5</v>
      </c>
      <c r="G140" s="284">
        <f t="shared" si="10"/>
        <v>170.5</v>
      </c>
      <c r="H140" s="285">
        <v>1206</v>
      </c>
      <c r="I140" s="286">
        <f t="shared" si="11"/>
        <v>6.33</v>
      </c>
    </row>
    <row r="141" spans="1:9" ht="15.75" x14ac:dyDescent="0.25">
      <c r="A141" s="288" t="s">
        <v>546</v>
      </c>
      <c r="B141" s="281" t="s">
        <v>377</v>
      </c>
      <c r="C141" s="281" t="s">
        <v>374</v>
      </c>
      <c r="D141" s="281" t="s">
        <v>369</v>
      </c>
      <c r="E141" s="282" t="s">
        <v>220</v>
      </c>
      <c r="F141" s="283">
        <v>5</v>
      </c>
      <c r="G141" s="284">
        <f t="shared" si="10"/>
        <v>155</v>
      </c>
      <c r="H141" s="285">
        <v>1114</v>
      </c>
      <c r="I141" s="286">
        <f t="shared" si="11"/>
        <v>5.75</v>
      </c>
    </row>
    <row r="142" spans="1:9" ht="15.75" x14ac:dyDescent="0.25">
      <c r="A142" s="288" t="s">
        <v>546</v>
      </c>
      <c r="B142" s="281" t="s">
        <v>377</v>
      </c>
      <c r="C142" s="281" t="s">
        <v>375</v>
      </c>
      <c r="D142" s="281" t="s">
        <v>375</v>
      </c>
      <c r="E142" s="281" t="s">
        <v>222</v>
      </c>
      <c r="F142" s="283">
        <v>6.1</v>
      </c>
      <c r="G142" s="284">
        <f t="shared" si="10"/>
        <v>189.1</v>
      </c>
      <c r="H142" s="285">
        <v>1291</v>
      </c>
      <c r="I142" s="286">
        <f t="shared" si="11"/>
        <v>7.02</v>
      </c>
    </row>
    <row r="143" spans="1:9" ht="15.75" x14ac:dyDescent="0.25">
      <c r="A143" s="288" t="s">
        <v>546</v>
      </c>
      <c r="B143" s="281" t="s">
        <v>377</v>
      </c>
      <c r="C143" s="281" t="s">
        <v>376</v>
      </c>
      <c r="D143" s="281" t="s">
        <v>376</v>
      </c>
      <c r="E143" s="281" t="s">
        <v>222</v>
      </c>
      <c r="F143" s="283">
        <v>6.1</v>
      </c>
      <c r="G143" s="284">
        <f t="shared" si="10"/>
        <v>189.1</v>
      </c>
      <c r="H143" s="285">
        <v>1301</v>
      </c>
      <c r="I143" s="286">
        <f t="shared" si="11"/>
        <v>7.02</v>
      </c>
    </row>
    <row r="144" spans="1:9" ht="15.75" x14ac:dyDescent="0.25">
      <c r="A144" s="288" t="s">
        <v>546</v>
      </c>
      <c r="B144" s="281" t="s">
        <v>377</v>
      </c>
      <c r="C144" s="281" t="s">
        <v>377</v>
      </c>
      <c r="D144" s="281" t="s">
        <v>378</v>
      </c>
      <c r="E144" s="282" t="s">
        <v>220</v>
      </c>
      <c r="F144" s="283">
        <v>6.1</v>
      </c>
      <c r="G144" s="284">
        <f t="shared" si="10"/>
        <v>189.1</v>
      </c>
      <c r="H144" s="285">
        <v>1324</v>
      </c>
      <c r="I144" s="286">
        <f t="shared" si="11"/>
        <v>7.02</v>
      </c>
    </row>
    <row r="145" spans="1:9" ht="15.75" x14ac:dyDescent="0.25">
      <c r="A145" s="288" t="s">
        <v>546</v>
      </c>
      <c r="B145" s="281" t="s">
        <v>377</v>
      </c>
      <c r="C145" s="281" t="s">
        <v>379</v>
      </c>
      <c r="D145" s="281" t="s">
        <v>379</v>
      </c>
      <c r="E145" s="281" t="s">
        <v>222</v>
      </c>
      <c r="F145" s="283">
        <v>6.2</v>
      </c>
      <c r="G145" s="284">
        <f t="shared" si="10"/>
        <v>192.20000000000002</v>
      </c>
      <c r="H145" s="285">
        <v>1325</v>
      </c>
      <c r="I145" s="286">
        <f t="shared" si="11"/>
        <v>7.13</v>
      </c>
    </row>
    <row r="146" spans="1:9" ht="15.75" x14ac:dyDescent="0.25">
      <c r="A146" s="288" t="s">
        <v>546</v>
      </c>
      <c r="B146" s="281" t="s">
        <v>377</v>
      </c>
      <c r="C146" s="281" t="s">
        <v>380</v>
      </c>
      <c r="D146" s="281" t="s">
        <v>380</v>
      </c>
      <c r="E146" s="281" t="s">
        <v>222</v>
      </c>
      <c r="F146" s="283">
        <v>6.2</v>
      </c>
      <c r="G146" s="284">
        <f t="shared" si="10"/>
        <v>192.20000000000002</v>
      </c>
      <c r="H146" s="285">
        <v>1313</v>
      </c>
      <c r="I146" s="286">
        <f t="shared" si="11"/>
        <v>7.13</v>
      </c>
    </row>
    <row r="147" spans="1:9" ht="15.75" x14ac:dyDescent="0.25">
      <c r="A147" s="288" t="s">
        <v>546</v>
      </c>
      <c r="B147" s="281" t="s">
        <v>377</v>
      </c>
      <c r="C147" s="281" t="s">
        <v>381</v>
      </c>
      <c r="D147" s="281" t="s">
        <v>381</v>
      </c>
      <c r="E147" s="281" t="s">
        <v>222</v>
      </c>
      <c r="F147" s="283">
        <v>6.2</v>
      </c>
      <c r="G147" s="284">
        <f t="shared" si="10"/>
        <v>192.20000000000002</v>
      </c>
      <c r="H147" s="285">
        <v>1323</v>
      </c>
      <c r="I147" s="286">
        <f t="shared" si="11"/>
        <v>7.13</v>
      </c>
    </row>
    <row r="148" spans="1:9" ht="15.75" x14ac:dyDescent="0.25">
      <c r="A148" s="288" t="s">
        <v>546</v>
      </c>
      <c r="B148" s="281" t="s">
        <v>377</v>
      </c>
      <c r="C148" s="281" t="s">
        <v>382</v>
      </c>
      <c r="D148" s="281" t="s">
        <v>365</v>
      </c>
      <c r="E148" s="282" t="s">
        <v>220</v>
      </c>
      <c r="F148" s="283">
        <v>4.4000000000000004</v>
      </c>
      <c r="G148" s="284">
        <f t="shared" si="10"/>
        <v>136.4</v>
      </c>
      <c r="H148" s="285">
        <v>1008</v>
      </c>
      <c r="I148" s="286">
        <f t="shared" si="11"/>
        <v>5.0599999999999996</v>
      </c>
    </row>
    <row r="149" spans="1:9" ht="15.75" x14ac:dyDescent="0.25">
      <c r="A149" s="288" t="s">
        <v>546</v>
      </c>
      <c r="B149" s="281" t="s">
        <v>377</v>
      </c>
      <c r="C149" s="281" t="s">
        <v>383</v>
      </c>
      <c r="D149" s="281" t="s">
        <v>378</v>
      </c>
      <c r="E149" s="282" t="s">
        <v>220</v>
      </c>
      <c r="F149" s="283">
        <v>6.1</v>
      </c>
      <c r="G149" s="284">
        <f t="shared" si="10"/>
        <v>189.1</v>
      </c>
      <c r="H149" s="285">
        <v>1324</v>
      </c>
      <c r="I149" s="286">
        <f t="shared" si="11"/>
        <v>7.02</v>
      </c>
    </row>
    <row r="150" spans="1:9" ht="15.75" x14ac:dyDescent="0.25">
      <c r="A150" s="288" t="s">
        <v>546</v>
      </c>
      <c r="B150" s="281" t="s">
        <v>377</v>
      </c>
      <c r="C150" s="281" t="s">
        <v>384</v>
      </c>
      <c r="D150" s="281" t="s">
        <v>370</v>
      </c>
      <c r="E150" s="282" t="s">
        <v>220</v>
      </c>
      <c r="F150" s="283">
        <v>5.9</v>
      </c>
      <c r="G150" s="284">
        <f t="shared" si="10"/>
        <v>182.9</v>
      </c>
      <c r="H150" s="285">
        <v>1283</v>
      </c>
      <c r="I150" s="286">
        <f t="shared" si="11"/>
        <v>6.79</v>
      </c>
    </row>
    <row r="151" spans="1:9" ht="15.75" x14ac:dyDescent="0.25">
      <c r="A151" s="288" t="s">
        <v>546</v>
      </c>
      <c r="B151" s="281" t="s">
        <v>377</v>
      </c>
      <c r="C151" s="281" t="s">
        <v>385</v>
      </c>
      <c r="D151" s="281" t="s">
        <v>385</v>
      </c>
      <c r="E151" s="281" t="s">
        <v>222</v>
      </c>
      <c r="F151" s="283">
        <v>6.2</v>
      </c>
      <c r="G151" s="284">
        <f t="shared" si="10"/>
        <v>192.20000000000002</v>
      </c>
      <c r="H151" s="285">
        <v>1309</v>
      </c>
      <c r="I151" s="286">
        <f t="shared" si="11"/>
        <v>7.13</v>
      </c>
    </row>
    <row r="152" spans="1:9" ht="15.75" x14ac:dyDescent="0.25">
      <c r="A152" s="288" t="s">
        <v>546</v>
      </c>
      <c r="B152" s="281" t="s">
        <v>377</v>
      </c>
      <c r="C152" s="281" t="s">
        <v>386</v>
      </c>
      <c r="D152" s="281" t="s">
        <v>379</v>
      </c>
      <c r="E152" s="282" t="s">
        <v>220</v>
      </c>
      <c r="F152" s="283">
        <v>6.2</v>
      </c>
      <c r="G152" s="284">
        <f t="shared" si="10"/>
        <v>192.20000000000002</v>
      </c>
      <c r="H152" s="285">
        <v>1325</v>
      </c>
      <c r="I152" s="286">
        <f t="shared" si="11"/>
        <v>7.13</v>
      </c>
    </row>
    <row r="153" spans="1:9" ht="15.75" x14ac:dyDescent="0.25">
      <c r="A153" s="288" t="s">
        <v>546</v>
      </c>
      <c r="B153" s="281" t="s">
        <v>377</v>
      </c>
      <c r="C153" s="281" t="s">
        <v>387</v>
      </c>
      <c r="D153" s="281" t="s">
        <v>370</v>
      </c>
      <c r="E153" s="282" t="s">
        <v>220</v>
      </c>
      <c r="F153" s="283">
        <v>5.9</v>
      </c>
      <c r="G153" s="284">
        <f t="shared" si="10"/>
        <v>182.9</v>
      </c>
      <c r="H153" s="285">
        <v>1283</v>
      </c>
      <c r="I153" s="286">
        <f t="shared" si="11"/>
        <v>6.79</v>
      </c>
    </row>
    <row r="154" spans="1:9" ht="15.75" x14ac:dyDescent="0.25">
      <c r="A154" s="288" t="s">
        <v>546</v>
      </c>
      <c r="B154" s="281" t="s">
        <v>377</v>
      </c>
      <c r="C154" s="281" t="s">
        <v>388</v>
      </c>
      <c r="D154" s="281" t="s">
        <v>388</v>
      </c>
      <c r="E154" s="281" t="s">
        <v>222</v>
      </c>
      <c r="F154" s="283">
        <v>6</v>
      </c>
      <c r="G154" s="284">
        <f t="shared" si="10"/>
        <v>186</v>
      </c>
      <c r="H154" s="285">
        <v>1297</v>
      </c>
      <c r="I154" s="286">
        <f t="shared" si="11"/>
        <v>6.9</v>
      </c>
    </row>
    <row r="155" spans="1:9" ht="15.75" x14ac:dyDescent="0.25">
      <c r="A155" s="288" t="s">
        <v>546</v>
      </c>
      <c r="B155" s="281" t="s">
        <v>377</v>
      </c>
      <c r="C155" s="281" t="s">
        <v>389</v>
      </c>
      <c r="D155" s="281" t="s">
        <v>389</v>
      </c>
      <c r="E155" s="281" t="s">
        <v>222</v>
      </c>
      <c r="F155" s="283">
        <v>6.2</v>
      </c>
      <c r="G155" s="284">
        <f t="shared" si="10"/>
        <v>192.20000000000002</v>
      </c>
      <c r="H155" s="285">
        <v>1326</v>
      </c>
      <c r="I155" s="286">
        <f t="shared" si="11"/>
        <v>7.13</v>
      </c>
    </row>
    <row r="156" spans="1:9" ht="15.75" x14ac:dyDescent="0.25">
      <c r="A156" s="288" t="s">
        <v>546</v>
      </c>
      <c r="B156" s="281" t="s">
        <v>377</v>
      </c>
      <c r="C156" s="281" t="s">
        <v>390</v>
      </c>
      <c r="D156" s="281" t="s">
        <v>390</v>
      </c>
      <c r="E156" s="281" t="s">
        <v>222</v>
      </c>
      <c r="F156" s="283">
        <v>6.3</v>
      </c>
      <c r="G156" s="284">
        <f t="shared" si="10"/>
        <v>195.29999999999998</v>
      </c>
      <c r="H156" s="285">
        <v>1339</v>
      </c>
      <c r="I156" s="286">
        <f t="shared" si="11"/>
        <v>7.25</v>
      </c>
    </row>
    <row r="157" spans="1:9" ht="15.75" x14ac:dyDescent="0.25">
      <c r="A157" s="288" t="s">
        <v>546</v>
      </c>
      <c r="B157" s="281" t="s">
        <v>377</v>
      </c>
      <c r="C157" s="281" t="s">
        <v>391</v>
      </c>
      <c r="D157" s="281" t="s">
        <v>391</v>
      </c>
      <c r="E157" s="281" t="s">
        <v>222</v>
      </c>
      <c r="F157" s="283">
        <v>6.3</v>
      </c>
      <c r="G157" s="284">
        <f t="shared" si="10"/>
        <v>195.29999999999998</v>
      </c>
      <c r="H157" s="285">
        <v>1348</v>
      </c>
      <c r="I157" s="286">
        <f t="shared" si="11"/>
        <v>7.25</v>
      </c>
    </row>
    <row r="158" spans="1:9" ht="15.75" x14ac:dyDescent="0.25">
      <c r="A158" s="288" t="s">
        <v>546</v>
      </c>
      <c r="B158" s="281" t="s">
        <v>377</v>
      </c>
      <c r="C158" s="281" t="s">
        <v>378</v>
      </c>
      <c r="D158" s="281" t="s">
        <v>378</v>
      </c>
      <c r="E158" s="281" t="s">
        <v>222</v>
      </c>
      <c r="F158" s="283">
        <v>6.1</v>
      </c>
      <c r="G158" s="284">
        <f t="shared" si="10"/>
        <v>189.1</v>
      </c>
      <c r="H158" s="285">
        <v>1324</v>
      </c>
      <c r="I158" s="286">
        <f t="shared" si="11"/>
        <v>7.02</v>
      </c>
    </row>
    <row r="159" spans="1:9" ht="15.75" x14ac:dyDescent="0.25">
      <c r="A159" s="288" t="s">
        <v>546</v>
      </c>
      <c r="B159" s="281" t="s">
        <v>377</v>
      </c>
      <c r="C159" s="281" t="s">
        <v>392</v>
      </c>
      <c r="D159" s="281" t="s">
        <v>392</v>
      </c>
      <c r="E159" s="281" t="s">
        <v>222</v>
      </c>
      <c r="F159" s="283">
        <v>6.1</v>
      </c>
      <c r="G159" s="284">
        <f t="shared" si="10"/>
        <v>189.1</v>
      </c>
      <c r="H159" s="285">
        <v>1317</v>
      </c>
      <c r="I159" s="286">
        <f t="shared" si="11"/>
        <v>7.02</v>
      </c>
    </row>
    <row r="160" spans="1:9" ht="15.75" x14ac:dyDescent="0.25">
      <c r="A160" s="288" t="s">
        <v>546</v>
      </c>
      <c r="B160" s="281" t="s">
        <v>377</v>
      </c>
      <c r="C160" s="281" t="s">
        <v>393</v>
      </c>
      <c r="D160" s="281" t="s">
        <v>393</v>
      </c>
      <c r="E160" s="281" t="s">
        <v>222</v>
      </c>
      <c r="F160" s="283">
        <v>4.9000000000000004</v>
      </c>
      <c r="G160" s="284">
        <f t="shared" si="10"/>
        <v>151.9</v>
      </c>
      <c r="H160" s="285">
        <v>1087</v>
      </c>
      <c r="I160" s="286">
        <f t="shared" si="11"/>
        <v>5.64</v>
      </c>
    </row>
    <row r="161" spans="1:9" ht="15.75" x14ac:dyDescent="0.25">
      <c r="A161" s="288" t="s">
        <v>546</v>
      </c>
      <c r="B161" s="281" t="s">
        <v>377</v>
      </c>
      <c r="C161" s="281" t="s">
        <v>394</v>
      </c>
      <c r="D161" s="281" t="s">
        <v>394</v>
      </c>
      <c r="E161" s="281" t="s">
        <v>222</v>
      </c>
      <c r="F161" s="283">
        <v>6.3</v>
      </c>
      <c r="G161" s="284">
        <f t="shared" si="10"/>
        <v>195.29999999999998</v>
      </c>
      <c r="H161" s="285">
        <v>1341</v>
      </c>
      <c r="I161" s="286">
        <f t="shared" si="11"/>
        <v>7.25</v>
      </c>
    </row>
    <row r="162" spans="1:9" ht="15.75" x14ac:dyDescent="0.25">
      <c r="A162" s="288" t="s">
        <v>546</v>
      </c>
      <c r="B162" s="281" t="s">
        <v>377</v>
      </c>
      <c r="C162" s="281" t="s">
        <v>395</v>
      </c>
      <c r="D162" s="281" t="s">
        <v>395</v>
      </c>
      <c r="E162" s="281" t="s">
        <v>222</v>
      </c>
      <c r="F162" s="283">
        <v>6.1</v>
      </c>
      <c r="G162" s="284">
        <f t="shared" si="10"/>
        <v>189.1</v>
      </c>
      <c r="H162" s="285">
        <v>1295</v>
      </c>
      <c r="I162" s="286">
        <f t="shared" si="11"/>
        <v>7.02</v>
      </c>
    </row>
    <row r="163" spans="1:9" ht="15.75" x14ac:dyDescent="0.25">
      <c r="A163" s="288" t="s">
        <v>155</v>
      </c>
      <c r="B163" s="281" t="s">
        <v>550</v>
      </c>
      <c r="C163" s="281" t="s">
        <v>115</v>
      </c>
      <c r="D163" s="281" t="s">
        <v>115</v>
      </c>
      <c r="E163" s="281" t="s">
        <v>222</v>
      </c>
      <c r="F163" s="283">
        <v>6</v>
      </c>
      <c r="G163" s="284">
        <f t="shared" ref="G163" si="12">F163*$D$3</f>
        <v>186</v>
      </c>
      <c r="H163" s="285">
        <v>1271</v>
      </c>
      <c r="I163" s="286">
        <f t="shared" ref="I163" si="13">ROUND(F163*1.15,2)</f>
        <v>6.9</v>
      </c>
    </row>
    <row r="164" spans="1:9" ht="15.75" x14ac:dyDescent="0.25">
      <c r="A164" s="288" t="s">
        <v>155</v>
      </c>
      <c r="B164" s="281" t="s">
        <v>550</v>
      </c>
      <c r="C164" s="281" t="s">
        <v>145</v>
      </c>
      <c r="D164" s="281" t="s">
        <v>145</v>
      </c>
      <c r="E164" s="281" t="s">
        <v>222</v>
      </c>
      <c r="F164" s="283">
        <v>6.1</v>
      </c>
      <c r="G164" s="284">
        <f t="shared" ref="G164:G195" si="14">F164*$D$3</f>
        <v>189.1</v>
      </c>
      <c r="H164" s="285">
        <v>1263</v>
      </c>
      <c r="I164" s="286">
        <f t="shared" ref="I164:I195" si="15">ROUND(F164*1.15,2)</f>
        <v>7.02</v>
      </c>
    </row>
    <row r="165" spans="1:9" ht="15.75" x14ac:dyDescent="0.25">
      <c r="A165" s="288" t="s">
        <v>155</v>
      </c>
      <c r="B165" s="281" t="s">
        <v>550</v>
      </c>
      <c r="C165" s="281" t="s">
        <v>396</v>
      </c>
      <c r="D165" s="281" t="s">
        <v>115</v>
      </c>
      <c r="E165" s="282" t="s">
        <v>220</v>
      </c>
      <c r="F165" s="283">
        <v>6</v>
      </c>
      <c r="G165" s="284">
        <f t="shared" si="14"/>
        <v>186</v>
      </c>
      <c r="H165" s="285">
        <v>1271</v>
      </c>
      <c r="I165" s="286">
        <f t="shared" si="15"/>
        <v>6.9</v>
      </c>
    </row>
    <row r="166" spans="1:9" ht="15.75" x14ac:dyDescent="0.25">
      <c r="A166" s="288" t="s">
        <v>155</v>
      </c>
      <c r="B166" s="281" t="s">
        <v>550</v>
      </c>
      <c r="C166" s="281" t="s">
        <v>397</v>
      </c>
      <c r="D166" s="281" t="s">
        <v>397</v>
      </c>
      <c r="E166" s="281" t="s">
        <v>222</v>
      </c>
      <c r="F166" s="283">
        <v>4.2</v>
      </c>
      <c r="G166" s="284">
        <f t="shared" si="14"/>
        <v>130.20000000000002</v>
      </c>
      <c r="H166" s="285">
        <v>969</v>
      </c>
      <c r="I166" s="286">
        <f t="shared" si="15"/>
        <v>4.83</v>
      </c>
    </row>
    <row r="167" spans="1:9" ht="15.75" x14ac:dyDescent="0.25">
      <c r="A167" s="288" t="s">
        <v>155</v>
      </c>
      <c r="B167" s="281" t="s">
        <v>550</v>
      </c>
      <c r="C167" s="281" t="s">
        <v>398</v>
      </c>
      <c r="D167" s="281" t="s">
        <v>398</v>
      </c>
      <c r="E167" s="281" t="s">
        <v>222</v>
      </c>
      <c r="F167" s="283">
        <v>4.9000000000000004</v>
      </c>
      <c r="G167" s="284">
        <f t="shared" si="14"/>
        <v>151.9</v>
      </c>
      <c r="H167" s="285">
        <v>1086</v>
      </c>
      <c r="I167" s="286">
        <f t="shared" si="15"/>
        <v>5.64</v>
      </c>
    </row>
    <row r="168" spans="1:9" ht="15.75" x14ac:dyDescent="0.25">
      <c r="A168" s="288" t="s">
        <v>155</v>
      </c>
      <c r="B168" s="281" t="s">
        <v>550</v>
      </c>
      <c r="C168" s="281" t="s">
        <v>399</v>
      </c>
      <c r="D168" s="281" t="s">
        <v>399</v>
      </c>
      <c r="E168" s="281" t="s">
        <v>222</v>
      </c>
      <c r="F168" s="283">
        <v>5.7</v>
      </c>
      <c r="G168" s="284">
        <f t="shared" si="14"/>
        <v>176.70000000000002</v>
      </c>
      <c r="H168" s="285">
        <v>1216</v>
      </c>
      <c r="I168" s="286">
        <f t="shared" si="15"/>
        <v>6.56</v>
      </c>
    </row>
    <row r="169" spans="1:9" ht="15.75" x14ac:dyDescent="0.25">
      <c r="A169" s="288" t="s">
        <v>155</v>
      </c>
      <c r="B169" s="281" t="s">
        <v>550</v>
      </c>
      <c r="C169" s="281" t="s">
        <v>400</v>
      </c>
      <c r="D169" s="281" t="s">
        <v>400</v>
      </c>
      <c r="E169" s="281" t="s">
        <v>222</v>
      </c>
      <c r="F169" s="283">
        <v>5.9</v>
      </c>
      <c r="G169" s="284">
        <f t="shared" si="14"/>
        <v>182.9</v>
      </c>
      <c r="H169" s="285">
        <v>1218</v>
      </c>
      <c r="I169" s="286">
        <f t="shared" si="15"/>
        <v>6.79</v>
      </c>
    </row>
    <row r="170" spans="1:9" ht="15.75" x14ac:dyDescent="0.25">
      <c r="A170" s="288" t="s">
        <v>155</v>
      </c>
      <c r="B170" s="281" t="s">
        <v>550</v>
      </c>
      <c r="C170" s="281" t="s">
        <v>401</v>
      </c>
      <c r="D170" s="281" t="s">
        <v>401</v>
      </c>
      <c r="E170" s="281" t="s">
        <v>222</v>
      </c>
      <c r="F170" s="283">
        <v>5.8</v>
      </c>
      <c r="G170" s="284">
        <f t="shared" si="14"/>
        <v>179.79999999999998</v>
      </c>
      <c r="H170" s="285">
        <v>1228</v>
      </c>
      <c r="I170" s="286">
        <f t="shared" si="15"/>
        <v>6.67</v>
      </c>
    </row>
    <row r="171" spans="1:9" ht="15.75" x14ac:dyDescent="0.25">
      <c r="A171" s="288" t="s">
        <v>155</v>
      </c>
      <c r="B171" s="281" t="s">
        <v>550</v>
      </c>
      <c r="C171" s="281" t="s">
        <v>402</v>
      </c>
      <c r="D171" s="281" t="s">
        <v>403</v>
      </c>
      <c r="E171" s="282" t="s">
        <v>220</v>
      </c>
      <c r="F171" s="283">
        <v>6.1</v>
      </c>
      <c r="G171" s="284">
        <f t="shared" si="14"/>
        <v>189.1</v>
      </c>
      <c r="H171" s="285">
        <v>1290</v>
      </c>
      <c r="I171" s="286">
        <f t="shared" si="15"/>
        <v>7.02</v>
      </c>
    </row>
    <row r="172" spans="1:9" ht="15.75" x14ac:dyDescent="0.25">
      <c r="A172" s="288" t="s">
        <v>155</v>
      </c>
      <c r="B172" s="281" t="s">
        <v>550</v>
      </c>
      <c r="C172" s="281" t="s">
        <v>404</v>
      </c>
      <c r="D172" s="281" t="s">
        <v>404</v>
      </c>
      <c r="E172" s="281" t="s">
        <v>222</v>
      </c>
      <c r="F172" s="283">
        <v>5.8</v>
      </c>
      <c r="G172" s="284">
        <f t="shared" si="14"/>
        <v>179.79999999999998</v>
      </c>
      <c r="H172" s="285">
        <v>1205</v>
      </c>
      <c r="I172" s="286">
        <f t="shared" si="15"/>
        <v>6.67</v>
      </c>
    </row>
    <row r="173" spans="1:9" ht="15.75" x14ac:dyDescent="0.25">
      <c r="A173" s="288" t="s">
        <v>155</v>
      </c>
      <c r="B173" s="281" t="s">
        <v>550</v>
      </c>
      <c r="C173" s="281" t="s">
        <v>405</v>
      </c>
      <c r="D173" s="281" t="s">
        <v>405</v>
      </c>
      <c r="E173" s="281" t="s">
        <v>222</v>
      </c>
      <c r="F173" s="283">
        <v>5.8</v>
      </c>
      <c r="G173" s="284">
        <f t="shared" si="14"/>
        <v>179.79999999999998</v>
      </c>
      <c r="H173" s="285">
        <v>1227</v>
      </c>
      <c r="I173" s="286">
        <f t="shared" si="15"/>
        <v>6.67</v>
      </c>
    </row>
    <row r="174" spans="1:9" ht="15.75" x14ac:dyDescent="0.25">
      <c r="A174" s="288" t="s">
        <v>155</v>
      </c>
      <c r="B174" s="281" t="s">
        <v>550</v>
      </c>
      <c r="C174" s="281" t="s">
        <v>406</v>
      </c>
      <c r="D174" s="281" t="s">
        <v>406</v>
      </c>
      <c r="E174" s="281" t="s">
        <v>222</v>
      </c>
      <c r="F174" s="283">
        <v>5.7</v>
      </c>
      <c r="G174" s="284">
        <f t="shared" si="14"/>
        <v>176.70000000000002</v>
      </c>
      <c r="H174" s="285">
        <v>1217</v>
      </c>
      <c r="I174" s="286">
        <f t="shared" si="15"/>
        <v>6.56</v>
      </c>
    </row>
    <row r="175" spans="1:9" ht="15.75" x14ac:dyDescent="0.25">
      <c r="A175" s="288" t="s">
        <v>155</v>
      </c>
      <c r="B175" s="281" t="s">
        <v>550</v>
      </c>
      <c r="C175" s="281" t="s">
        <v>407</v>
      </c>
      <c r="D175" s="281" t="s">
        <v>407</v>
      </c>
      <c r="E175" s="281" t="s">
        <v>222</v>
      </c>
      <c r="F175" s="283">
        <v>5.7</v>
      </c>
      <c r="G175" s="284">
        <f t="shared" si="14"/>
        <v>176.70000000000002</v>
      </c>
      <c r="H175" s="285">
        <v>1196</v>
      </c>
      <c r="I175" s="286">
        <f t="shared" si="15"/>
        <v>6.56</v>
      </c>
    </row>
    <row r="176" spans="1:9" ht="15.75" x14ac:dyDescent="0.25">
      <c r="A176" s="288" t="s">
        <v>155</v>
      </c>
      <c r="B176" s="281" t="s">
        <v>550</v>
      </c>
      <c r="C176" s="281" t="s">
        <v>408</v>
      </c>
      <c r="D176" s="281" t="s">
        <v>408</v>
      </c>
      <c r="E176" s="281" t="s">
        <v>222</v>
      </c>
      <c r="F176" s="283">
        <v>5.2</v>
      </c>
      <c r="G176" s="284">
        <f t="shared" si="14"/>
        <v>161.20000000000002</v>
      </c>
      <c r="H176" s="285">
        <v>1148</v>
      </c>
      <c r="I176" s="286">
        <f t="shared" si="15"/>
        <v>5.98</v>
      </c>
    </row>
    <row r="177" spans="1:9" ht="15.75" x14ac:dyDescent="0.25">
      <c r="A177" s="288" t="s">
        <v>155</v>
      </c>
      <c r="B177" s="281" t="s">
        <v>550</v>
      </c>
      <c r="C177" s="281" t="s">
        <v>409</v>
      </c>
      <c r="D177" s="281" t="s">
        <v>407</v>
      </c>
      <c r="E177" s="282" t="s">
        <v>220</v>
      </c>
      <c r="F177" s="283">
        <v>5.7</v>
      </c>
      <c r="G177" s="284">
        <f t="shared" si="14"/>
        <v>176.70000000000002</v>
      </c>
      <c r="H177" s="285">
        <v>1196</v>
      </c>
      <c r="I177" s="286">
        <f t="shared" si="15"/>
        <v>6.56</v>
      </c>
    </row>
    <row r="178" spans="1:9" ht="15.75" x14ac:dyDescent="0.25">
      <c r="A178" s="288" t="s">
        <v>155</v>
      </c>
      <c r="B178" s="281" t="s">
        <v>550</v>
      </c>
      <c r="C178" s="281" t="s">
        <v>410</v>
      </c>
      <c r="D178" s="281" t="s">
        <v>410</v>
      </c>
      <c r="E178" s="281" t="s">
        <v>222</v>
      </c>
      <c r="F178" s="283">
        <v>6.1</v>
      </c>
      <c r="G178" s="284">
        <f t="shared" si="14"/>
        <v>189.1</v>
      </c>
      <c r="H178" s="285">
        <v>1277</v>
      </c>
      <c r="I178" s="286">
        <f t="shared" si="15"/>
        <v>7.02</v>
      </c>
    </row>
    <row r="179" spans="1:9" ht="15.75" x14ac:dyDescent="0.25">
      <c r="A179" s="288" t="s">
        <v>155</v>
      </c>
      <c r="B179" s="281" t="s">
        <v>550</v>
      </c>
      <c r="C179" s="281" t="s">
        <v>411</v>
      </c>
      <c r="D179" s="281" t="s">
        <v>412</v>
      </c>
      <c r="E179" s="281" t="s">
        <v>222</v>
      </c>
      <c r="F179" s="283">
        <v>5.6</v>
      </c>
      <c r="G179" s="284">
        <f t="shared" si="14"/>
        <v>173.6</v>
      </c>
      <c r="H179" s="285">
        <v>1237</v>
      </c>
      <c r="I179" s="286">
        <f t="shared" si="15"/>
        <v>6.44</v>
      </c>
    </row>
    <row r="180" spans="1:9" ht="15.75" x14ac:dyDescent="0.25">
      <c r="A180" s="288" t="s">
        <v>155</v>
      </c>
      <c r="B180" s="281" t="s">
        <v>550</v>
      </c>
      <c r="C180" s="281" t="s">
        <v>413</v>
      </c>
      <c r="D180" s="281" t="s">
        <v>413</v>
      </c>
      <c r="E180" s="281" t="s">
        <v>222</v>
      </c>
      <c r="F180" s="283">
        <v>6.1</v>
      </c>
      <c r="G180" s="284">
        <f t="shared" si="14"/>
        <v>189.1</v>
      </c>
      <c r="H180" s="285">
        <v>1255</v>
      </c>
      <c r="I180" s="286">
        <f t="shared" si="15"/>
        <v>7.02</v>
      </c>
    </row>
    <row r="181" spans="1:9" ht="15.75" x14ac:dyDescent="0.25">
      <c r="A181" s="288" t="s">
        <v>155</v>
      </c>
      <c r="B181" s="281" t="s">
        <v>550</v>
      </c>
      <c r="C181" s="281" t="s">
        <v>414</v>
      </c>
      <c r="D181" s="281" t="s">
        <v>414</v>
      </c>
      <c r="E181" s="281" t="s">
        <v>222</v>
      </c>
      <c r="F181" s="283">
        <v>6.2</v>
      </c>
      <c r="G181" s="284">
        <f t="shared" si="14"/>
        <v>192.20000000000002</v>
      </c>
      <c r="H181" s="285">
        <v>1288</v>
      </c>
      <c r="I181" s="286">
        <f t="shared" si="15"/>
        <v>7.13</v>
      </c>
    </row>
    <row r="182" spans="1:9" ht="15.75" x14ac:dyDescent="0.25">
      <c r="A182" s="288" t="s">
        <v>155</v>
      </c>
      <c r="B182" s="281" t="s">
        <v>550</v>
      </c>
      <c r="C182" s="281" t="s">
        <v>415</v>
      </c>
      <c r="D182" s="281" t="s">
        <v>398</v>
      </c>
      <c r="E182" s="282" t="s">
        <v>220</v>
      </c>
      <c r="F182" s="283">
        <v>4.9000000000000004</v>
      </c>
      <c r="G182" s="284">
        <f t="shared" si="14"/>
        <v>151.9</v>
      </c>
      <c r="H182" s="285">
        <v>1086</v>
      </c>
      <c r="I182" s="286">
        <f t="shared" si="15"/>
        <v>5.64</v>
      </c>
    </row>
    <row r="183" spans="1:9" ht="15.75" x14ac:dyDescent="0.25">
      <c r="A183" s="288" t="s">
        <v>155</v>
      </c>
      <c r="B183" s="281" t="s">
        <v>550</v>
      </c>
      <c r="C183" s="281" t="s">
        <v>416</v>
      </c>
      <c r="D183" s="281" t="s">
        <v>416</v>
      </c>
      <c r="E183" s="281" t="s">
        <v>222</v>
      </c>
      <c r="F183" s="283">
        <v>5.5</v>
      </c>
      <c r="G183" s="284">
        <f t="shared" si="14"/>
        <v>170.5</v>
      </c>
      <c r="H183" s="285">
        <v>1148</v>
      </c>
      <c r="I183" s="286">
        <f t="shared" si="15"/>
        <v>6.33</v>
      </c>
    </row>
    <row r="184" spans="1:9" ht="15.75" x14ac:dyDescent="0.25">
      <c r="A184" s="288" t="s">
        <v>551</v>
      </c>
      <c r="B184" s="281" t="s">
        <v>552</v>
      </c>
      <c r="C184" s="281" t="s">
        <v>417</v>
      </c>
      <c r="D184" s="281" t="s">
        <v>418</v>
      </c>
      <c r="E184" s="282" t="s">
        <v>220</v>
      </c>
      <c r="F184" s="283">
        <v>4.7</v>
      </c>
      <c r="G184" s="284">
        <f t="shared" si="14"/>
        <v>145.70000000000002</v>
      </c>
      <c r="H184" s="285">
        <v>1029</v>
      </c>
      <c r="I184" s="286">
        <f t="shared" si="15"/>
        <v>5.41</v>
      </c>
    </row>
    <row r="185" spans="1:9" ht="15.75" x14ac:dyDescent="0.25">
      <c r="A185" s="288" t="s">
        <v>551</v>
      </c>
      <c r="B185" s="281" t="s">
        <v>552</v>
      </c>
      <c r="C185" s="281" t="s">
        <v>419</v>
      </c>
      <c r="D185" s="281" t="s">
        <v>419</v>
      </c>
      <c r="E185" s="281" t="s">
        <v>222</v>
      </c>
      <c r="F185" s="283">
        <v>5</v>
      </c>
      <c r="G185" s="284">
        <f t="shared" si="14"/>
        <v>155</v>
      </c>
      <c r="H185" s="285">
        <v>1098</v>
      </c>
      <c r="I185" s="286">
        <f t="shared" si="15"/>
        <v>5.75</v>
      </c>
    </row>
    <row r="186" spans="1:9" ht="15.75" x14ac:dyDescent="0.25">
      <c r="A186" s="288" t="s">
        <v>551</v>
      </c>
      <c r="B186" s="281" t="s">
        <v>552</v>
      </c>
      <c r="C186" s="281" t="s">
        <v>420</v>
      </c>
      <c r="D186" s="281" t="s">
        <v>420</v>
      </c>
      <c r="E186" s="281" t="s">
        <v>222</v>
      </c>
      <c r="F186" s="283">
        <v>4.0999999999999996</v>
      </c>
      <c r="G186" s="284">
        <f t="shared" si="14"/>
        <v>127.1</v>
      </c>
      <c r="H186" s="285">
        <v>939</v>
      </c>
      <c r="I186" s="286">
        <f t="shared" si="15"/>
        <v>4.72</v>
      </c>
    </row>
    <row r="187" spans="1:9" ht="15.75" x14ac:dyDescent="0.25">
      <c r="A187" s="288" t="s">
        <v>551</v>
      </c>
      <c r="B187" s="281" t="s">
        <v>552</v>
      </c>
      <c r="C187" s="281" t="s">
        <v>421</v>
      </c>
      <c r="D187" s="281" t="s">
        <v>421</v>
      </c>
      <c r="E187" s="281" t="s">
        <v>222</v>
      </c>
      <c r="F187" s="283">
        <v>5.9</v>
      </c>
      <c r="G187" s="284">
        <f t="shared" si="14"/>
        <v>182.9</v>
      </c>
      <c r="H187" s="285">
        <v>1226</v>
      </c>
      <c r="I187" s="286">
        <f t="shared" si="15"/>
        <v>6.79</v>
      </c>
    </row>
    <row r="188" spans="1:9" ht="15.75" x14ac:dyDescent="0.25">
      <c r="A188" s="288" t="s">
        <v>551</v>
      </c>
      <c r="B188" s="281" t="s">
        <v>552</v>
      </c>
      <c r="C188" s="281" t="s">
        <v>422</v>
      </c>
      <c r="D188" s="281" t="s">
        <v>422</v>
      </c>
      <c r="E188" s="281" t="s">
        <v>222</v>
      </c>
      <c r="F188" s="283">
        <v>4.3</v>
      </c>
      <c r="G188" s="284">
        <f t="shared" si="14"/>
        <v>133.29999999999998</v>
      </c>
      <c r="H188" s="285">
        <v>964</v>
      </c>
      <c r="I188" s="286">
        <f t="shared" si="15"/>
        <v>4.95</v>
      </c>
    </row>
    <row r="189" spans="1:9" ht="15.75" x14ac:dyDescent="0.25">
      <c r="A189" s="288" t="s">
        <v>551</v>
      </c>
      <c r="B189" s="281" t="s">
        <v>552</v>
      </c>
      <c r="C189" s="281" t="s">
        <v>423</v>
      </c>
      <c r="D189" s="281" t="s">
        <v>423</v>
      </c>
      <c r="E189" s="281" t="s">
        <v>222</v>
      </c>
      <c r="F189" s="283">
        <v>4.5999999999999996</v>
      </c>
      <c r="G189" s="284">
        <f t="shared" si="14"/>
        <v>142.6</v>
      </c>
      <c r="H189" s="285">
        <v>1031</v>
      </c>
      <c r="I189" s="286">
        <f t="shared" si="15"/>
        <v>5.29</v>
      </c>
    </row>
    <row r="190" spans="1:9" ht="15.75" x14ac:dyDescent="0.25">
      <c r="A190" s="288" t="s">
        <v>551</v>
      </c>
      <c r="B190" s="281" t="s">
        <v>552</v>
      </c>
      <c r="C190" s="281" t="s">
        <v>424</v>
      </c>
      <c r="D190" s="281" t="s">
        <v>424</v>
      </c>
      <c r="E190" s="281" t="s">
        <v>222</v>
      </c>
      <c r="F190" s="283">
        <v>4.4000000000000004</v>
      </c>
      <c r="G190" s="284">
        <f t="shared" si="14"/>
        <v>136.4</v>
      </c>
      <c r="H190" s="285">
        <v>1001</v>
      </c>
      <c r="I190" s="286">
        <f t="shared" si="15"/>
        <v>5.0599999999999996</v>
      </c>
    </row>
    <row r="191" spans="1:9" ht="15.75" x14ac:dyDescent="0.25">
      <c r="A191" s="288" t="s">
        <v>551</v>
      </c>
      <c r="B191" s="281" t="s">
        <v>552</v>
      </c>
      <c r="C191" s="281" t="s">
        <v>425</v>
      </c>
      <c r="D191" s="281" t="s">
        <v>425</v>
      </c>
      <c r="E191" s="281" t="s">
        <v>222</v>
      </c>
      <c r="F191" s="283">
        <v>4.3</v>
      </c>
      <c r="G191" s="284">
        <f t="shared" si="14"/>
        <v>133.29999999999998</v>
      </c>
      <c r="H191" s="285">
        <v>926</v>
      </c>
      <c r="I191" s="286">
        <f t="shared" si="15"/>
        <v>4.95</v>
      </c>
    </row>
    <row r="192" spans="1:9" ht="15.75" x14ac:dyDescent="0.25">
      <c r="A192" s="288" t="s">
        <v>551</v>
      </c>
      <c r="B192" s="281" t="s">
        <v>552</v>
      </c>
      <c r="C192" s="281" t="s">
        <v>426</v>
      </c>
      <c r="D192" s="281" t="s">
        <v>426</v>
      </c>
      <c r="E192" s="281" t="s">
        <v>222</v>
      </c>
      <c r="F192" s="283">
        <v>4.3</v>
      </c>
      <c r="G192" s="284">
        <f t="shared" si="14"/>
        <v>133.29999999999998</v>
      </c>
      <c r="H192" s="285">
        <v>973</v>
      </c>
      <c r="I192" s="286">
        <f t="shared" si="15"/>
        <v>4.95</v>
      </c>
    </row>
    <row r="193" spans="1:9" ht="15.75" x14ac:dyDescent="0.25">
      <c r="A193" s="288" t="s">
        <v>551</v>
      </c>
      <c r="B193" s="281" t="s">
        <v>552</v>
      </c>
      <c r="C193" s="281" t="s">
        <v>427</v>
      </c>
      <c r="D193" s="281" t="s">
        <v>427</v>
      </c>
      <c r="E193" s="281" t="s">
        <v>222</v>
      </c>
      <c r="F193" s="283">
        <v>4.5</v>
      </c>
      <c r="G193" s="284">
        <f t="shared" si="14"/>
        <v>139.5</v>
      </c>
      <c r="H193" s="285">
        <v>997</v>
      </c>
      <c r="I193" s="286">
        <f t="shared" si="15"/>
        <v>5.18</v>
      </c>
    </row>
    <row r="194" spans="1:9" ht="15.75" x14ac:dyDescent="0.25">
      <c r="A194" s="288" t="s">
        <v>551</v>
      </c>
      <c r="B194" s="281" t="s">
        <v>552</v>
      </c>
      <c r="C194" s="281" t="s">
        <v>428</v>
      </c>
      <c r="D194" s="281" t="s">
        <v>428</v>
      </c>
      <c r="E194" s="281" t="s">
        <v>222</v>
      </c>
      <c r="F194" s="283">
        <v>5.0999999999999996</v>
      </c>
      <c r="G194" s="284">
        <f t="shared" si="14"/>
        <v>158.1</v>
      </c>
      <c r="H194" s="285">
        <v>1103</v>
      </c>
      <c r="I194" s="286">
        <f t="shared" si="15"/>
        <v>5.87</v>
      </c>
    </row>
    <row r="195" spans="1:9" ht="15.75" x14ac:dyDescent="0.25">
      <c r="A195" s="288" t="s">
        <v>551</v>
      </c>
      <c r="B195" s="281" t="s">
        <v>552</v>
      </c>
      <c r="C195" s="281" t="s">
        <v>429</v>
      </c>
      <c r="D195" s="281" t="s">
        <v>430</v>
      </c>
      <c r="E195" s="282" t="s">
        <v>220</v>
      </c>
      <c r="F195" s="283">
        <v>4.3</v>
      </c>
      <c r="G195" s="284">
        <f t="shared" si="14"/>
        <v>133.29999999999998</v>
      </c>
      <c r="H195" s="285">
        <v>987</v>
      </c>
      <c r="I195" s="286">
        <f t="shared" si="15"/>
        <v>4.95</v>
      </c>
    </row>
    <row r="196" spans="1:9" ht="15.75" x14ac:dyDescent="0.25">
      <c r="A196" s="288" t="s">
        <v>551</v>
      </c>
      <c r="B196" s="281" t="s">
        <v>552</v>
      </c>
      <c r="C196" s="281" t="s">
        <v>431</v>
      </c>
      <c r="D196" s="281" t="s">
        <v>431</v>
      </c>
      <c r="E196" s="281" t="s">
        <v>222</v>
      </c>
      <c r="F196" s="283">
        <v>4.8</v>
      </c>
      <c r="G196" s="284">
        <f t="shared" ref="G196:G216" si="16">F196*$D$3</f>
        <v>148.79999999999998</v>
      </c>
      <c r="H196" s="285">
        <v>1046</v>
      </c>
      <c r="I196" s="286">
        <f t="shared" ref="I196:I216" si="17">ROUND(F196*1.15,2)</f>
        <v>5.52</v>
      </c>
    </row>
    <row r="197" spans="1:9" ht="15.75" x14ac:dyDescent="0.25">
      <c r="A197" s="288" t="s">
        <v>551</v>
      </c>
      <c r="B197" s="281" t="s">
        <v>552</v>
      </c>
      <c r="C197" s="281" t="s">
        <v>432</v>
      </c>
      <c r="D197" s="281" t="s">
        <v>432</v>
      </c>
      <c r="E197" s="281" t="s">
        <v>222</v>
      </c>
      <c r="F197" s="283">
        <v>5.4</v>
      </c>
      <c r="G197" s="284">
        <f t="shared" si="16"/>
        <v>167.4</v>
      </c>
      <c r="H197" s="285">
        <v>1143</v>
      </c>
      <c r="I197" s="286">
        <f t="shared" si="17"/>
        <v>6.21</v>
      </c>
    </row>
    <row r="198" spans="1:9" ht="15.75" x14ac:dyDescent="0.25">
      <c r="A198" s="288" t="s">
        <v>551</v>
      </c>
      <c r="B198" s="281" t="s">
        <v>552</v>
      </c>
      <c r="C198" s="281" t="s">
        <v>433</v>
      </c>
      <c r="D198" s="281" t="s">
        <v>433</v>
      </c>
      <c r="E198" s="281" t="s">
        <v>222</v>
      </c>
      <c r="F198" s="283">
        <v>4.0999999999999996</v>
      </c>
      <c r="G198" s="284">
        <f t="shared" si="16"/>
        <v>127.1</v>
      </c>
      <c r="H198" s="285">
        <v>953</v>
      </c>
      <c r="I198" s="286">
        <f t="shared" si="17"/>
        <v>4.72</v>
      </c>
    </row>
    <row r="199" spans="1:9" ht="15.75" x14ac:dyDescent="0.25">
      <c r="A199" s="288" t="s">
        <v>551</v>
      </c>
      <c r="B199" s="281" t="s">
        <v>552</v>
      </c>
      <c r="C199" s="281" t="s">
        <v>434</v>
      </c>
      <c r="D199" s="281" t="s">
        <v>434</v>
      </c>
      <c r="E199" s="281" t="s">
        <v>222</v>
      </c>
      <c r="F199" s="283">
        <v>4.5999999999999996</v>
      </c>
      <c r="G199" s="284">
        <f t="shared" si="16"/>
        <v>142.6</v>
      </c>
      <c r="H199" s="285">
        <v>1037</v>
      </c>
      <c r="I199" s="286">
        <f t="shared" si="17"/>
        <v>5.29</v>
      </c>
    </row>
    <row r="200" spans="1:9" ht="15.75" x14ac:dyDescent="0.25">
      <c r="A200" s="288" t="s">
        <v>551</v>
      </c>
      <c r="B200" s="281" t="s">
        <v>552</v>
      </c>
      <c r="C200" s="281" t="s">
        <v>435</v>
      </c>
      <c r="D200" s="281" t="s">
        <v>435</v>
      </c>
      <c r="E200" s="281" t="s">
        <v>222</v>
      </c>
      <c r="F200" s="283">
        <v>5.4</v>
      </c>
      <c r="G200" s="284">
        <f t="shared" si="16"/>
        <v>167.4</v>
      </c>
      <c r="H200" s="285">
        <v>1139</v>
      </c>
      <c r="I200" s="286">
        <f t="shared" si="17"/>
        <v>6.21</v>
      </c>
    </row>
    <row r="201" spans="1:9" ht="15.75" x14ac:dyDescent="0.25">
      <c r="A201" s="288" t="s">
        <v>551</v>
      </c>
      <c r="B201" s="281" t="s">
        <v>552</v>
      </c>
      <c r="C201" s="281" t="s">
        <v>436</v>
      </c>
      <c r="D201" s="281" t="s">
        <v>436</v>
      </c>
      <c r="E201" s="281" t="s">
        <v>222</v>
      </c>
      <c r="F201" s="283">
        <v>4.3</v>
      </c>
      <c r="G201" s="284">
        <f t="shared" si="16"/>
        <v>133.29999999999998</v>
      </c>
      <c r="H201" s="285">
        <v>971</v>
      </c>
      <c r="I201" s="286">
        <f t="shared" si="17"/>
        <v>4.95</v>
      </c>
    </row>
    <row r="202" spans="1:9" ht="15.75" x14ac:dyDescent="0.25">
      <c r="A202" s="288" t="s">
        <v>551</v>
      </c>
      <c r="B202" s="281" t="s">
        <v>552</v>
      </c>
      <c r="C202" s="281" t="s">
        <v>437</v>
      </c>
      <c r="D202" s="281" t="s">
        <v>437</v>
      </c>
      <c r="E202" s="281" t="s">
        <v>222</v>
      </c>
      <c r="F202" s="283">
        <v>5.2</v>
      </c>
      <c r="G202" s="284">
        <f t="shared" si="16"/>
        <v>161.20000000000002</v>
      </c>
      <c r="H202" s="285">
        <v>1069</v>
      </c>
      <c r="I202" s="286">
        <f t="shared" si="17"/>
        <v>5.98</v>
      </c>
    </row>
    <row r="203" spans="1:9" ht="15.75" x14ac:dyDescent="0.25">
      <c r="A203" s="288" t="s">
        <v>551</v>
      </c>
      <c r="B203" s="281" t="s">
        <v>552</v>
      </c>
      <c r="C203" s="281" t="s">
        <v>438</v>
      </c>
      <c r="D203" s="281" t="s">
        <v>438</v>
      </c>
      <c r="E203" s="281" t="s">
        <v>222</v>
      </c>
      <c r="F203" s="283">
        <v>5.4</v>
      </c>
      <c r="G203" s="284">
        <f t="shared" si="16"/>
        <v>167.4</v>
      </c>
      <c r="H203" s="285">
        <v>1127</v>
      </c>
      <c r="I203" s="286">
        <f t="shared" si="17"/>
        <v>6.21</v>
      </c>
    </row>
    <row r="204" spans="1:9" ht="15.75" x14ac:dyDescent="0.25">
      <c r="A204" s="288" t="s">
        <v>551</v>
      </c>
      <c r="B204" s="281" t="s">
        <v>552</v>
      </c>
      <c r="C204" s="281" t="s">
        <v>439</v>
      </c>
      <c r="D204" s="281" t="s">
        <v>439</v>
      </c>
      <c r="E204" s="281" t="s">
        <v>222</v>
      </c>
      <c r="F204" s="283">
        <v>5.7</v>
      </c>
      <c r="G204" s="284">
        <f t="shared" si="16"/>
        <v>176.70000000000002</v>
      </c>
      <c r="H204" s="285">
        <v>1169</v>
      </c>
      <c r="I204" s="286">
        <f t="shared" si="17"/>
        <v>6.56</v>
      </c>
    </row>
    <row r="205" spans="1:9" ht="15.75" x14ac:dyDescent="0.25">
      <c r="A205" s="288" t="s">
        <v>551</v>
      </c>
      <c r="B205" s="281" t="s">
        <v>552</v>
      </c>
      <c r="C205" s="281" t="s">
        <v>440</v>
      </c>
      <c r="D205" s="281" t="s">
        <v>440</v>
      </c>
      <c r="E205" s="281" t="s">
        <v>222</v>
      </c>
      <c r="F205" s="283">
        <v>4.3</v>
      </c>
      <c r="G205" s="284">
        <f t="shared" si="16"/>
        <v>133.29999999999998</v>
      </c>
      <c r="H205" s="285">
        <v>999</v>
      </c>
      <c r="I205" s="286">
        <f t="shared" si="17"/>
        <v>4.95</v>
      </c>
    </row>
    <row r="206" spans="1:9" ht="15.75" x14ac:dyDescent="0.25">
      <c r="A206" s="288" t="s">
        <v>551</v>
      </c>
      <c r="B206" s="281" t="s">
        <v>552</v>
      </c>
      <c r="C206" s="281" t="s">
        <v>441</v>
      </c>
      <c r="D206" s="281" t="s">
        <v>441</v>
      </c>
      <c r="E206" s="281" t="s">
        <v>222</v>
      </c>
      <c r="F206" s="283">
        <v>4.8</v>
      </c>
      <c r="G206" s="284">
        <f t="shared" si="16"/>
        <v>148.79999999999998</v>
      </c>
      <c r="H206" s="285">
        <v>1026</v>
      </c>
      <c r="I206" s="286">
        <f t="shared" si="17"/>
        <v>5.52</v>
      </c>
    </row>
    <row r="207" spans="1:9" ht="15.75" x14ac:dyDescent="0.25">
      <c r="A207" s="288" t="s">
        <v>551</v>
      </c>
      <c r="B207" s="281" t="s">
        <v>552</v>
      </c>
      <c r="C207" s="281" t="s">
        <v>442</v>
      </c>
      <c r="D207" s="281" t="s">
        <v>442</v>
      </c>
      <c r="E207" s="281" t="s">
        <v>222</v>
      </c>
      <c r="F207" s="283">
        <v>4.9000000000000004</v>
      </c>
      <c r="G207" s="284">
        <f t="shared" si="16"/>
        <v>151.9</v>
      </c>
      <c r="H207" s="285">
        <v>1046</v>
      </c>
      <c r="I207" s="286">
        <f t="shared" si="17"/>
        <v>5.64</v>
      </c>
    </row>
    <row r="208" spans="1:9" ht="15.75" x14ac:dyDescent="0.25">
      <c r="A208" s="288" t="s">
        <v>551</v>
      </c>
      <c r="B208" s="281" t="s">
        <v>552</v>
      </c>
      <c r="C208" s="281" t="s">
        <v>443</v>
      </c>
      <c r="D208" s="281" t="s">
        <v>424</v>
      </c>
      <c r="E208" s="282" t="s">
        <v>220</v>
      </c>
      <c r="F208" s="283">
        <v>4.4000000000000004</v>
      </c>
      <c r="G208" s="284">
        <f t="shared" si="16"/>
        <v>136.4</v>
      </c>
      <c r="H208" s="285">
        <v>1001</v>
      </c>
      <c r="I208" s="286">
        <f t="shared" si="17"/>
        <v>5.0599999999999996</v>
      </c>
    </row>
    <row r="209" spans="1:9" ht="15.75" x14ac:dyDescent="0.25">
      <c r="A209" s="288" t="s">
        <v>551</v>
      </c>
      <c r="B209" s="281" t="s">
        <v>552</v>
      </c>
      <c r="C209" s="281" t="s">
        <v>444</v>
      </c>
      <c r="D209" s="281" t="s">
        <v>444</v>
      </c>
      <c r="E209" s="281" t="s">
        <v>222</v>
      </c>
      <c r="F209" s="283">
        <v>5.3</v>
      </c>
      <c r="G209" s="284">
        <f t="shared" si="16"/>
        <v>164.29999999999998</v>
      </c>
      <c r="H209" s="285">
        <v>1129</v>
      </c>
      <c r="I209" s="286">
        <f t="shared" si="17"/>
        <v>6.1</v>
      </c>
    </row>
    <row r="210" spans="1:9" ht="15.75" x14ac:dyDescent="0.25">
      <c r="A210" s="288" t="s">
        <v>551</v>
      </c>
      <c r="B210" s="281" t="s">
        <v>552</v>
      </c>
      <c r="C210" s="281" t="s">
        <v>445</v>
      </c>
      <c r="D210" s="281" t="s">
        <v>445</v>
      </c>
      <c r="E210" s="281" t="s">
        <v>222</v>
      </c>
      <c r="F210" s="283">
        <v>4.8</v>
      </c>
      <c r="G210" s="284">
        <f t="shared" si="16"/>
        <v>148.79999999999998</v>
      </c>
      <c r="H210" s="285">
        <v>1030</v>
      </c>
      <c r="I210" s="286">
        <f t="shared" si="17"/>
        <v>5.52</v>
      </c>
    </row>
    <row r="211" spans="1:9" ht="15.75" x14ac:dyDescent="0.25">
      <c r="A211" s="288" t="s">
        <v>551</v>
      </c>
      <c r="B211" s="281" t="s">
        <v>552</v>
      </c>
      <c r="C211" s="281" t="s">
        <v>446</v>
      </c>
      <c r="D211" s="281" t="s">
        <v>446</v>
      </c>
      <c r="E211" s="281" t="s">
        <v>222</v>
      </c>
      <c r="F211" s="283">
        <v>4.7</v>
      </c>
      <c r="G211" s="284">
        <f t="shared" si="16"/>
        <v>145.70000000000002</v>
      </c>
      <c r="H211" s="285">
        <v>1030</v>
      </c>
      <c r="I211" s="286">
        <f t="shared" si="17"/>
        <v>5.41</v>
      </c>
    </row>
    <row r="212" spans="1:9" ht="15.75" x14ac:dyDescent="0.25">
      <c r="A212" s="288" t="s">
        <v>551</v>
      </c>
      <c r="B212" s="281" t="s">
        <v>552</v>
      </c>
      <c r="C212" s="281" t="s">
        <v>447</v>
      </c>
      <c r="D212" s="281" t="s">
        <v>447</v>
      </c>
      <c r="E212" s="281" t="s">
        <v>222</v>
      </c>
      <c r="F212" s="283">
        <v>4.3</v>
      </c>
      <c r="G212" s="284">
        <f t="shared" si="16"/>
        <v>133.29999999999998</v>
      </c>
      <c r="H212" s="285">
        <v>980</v>
      </c>
      <c r="I212" s="286">
        <f t="shared" si="17"/>
        <v>4.95</v>
      </c>
    </row>
    <row r="213" spans="1:9" ht="15.75" x14ac:dyDescent="0.25">
      <c r="A213" s="288" t="s">
        <v>551</v>
      </c>
      <c r="B213" s="281" t="s">
        <v>552</v>
      </c>
      <c r="C213" s="281" t="s">
        <v>448</v>
      </c>
      <c r="D213" s="281" t="s">
        <v>449</v>
      </c>
      <c r="E213" s="282" t="s">
        <v>346</v>
      </c>
      <c r="F213" s="283">
        <v>4.1500000000000004</v>
      </c>
      <c r="G213" s="284">
        <f t="shared" si="16"/>
        <v>128.65</v>
      </c>
      <c r="H213" s="285">
        <v>933</v>
      </c>
      <c r="I213" s="286">
        <f t="shared" si="17"/>
        <v>4.7699999999999996</v>
      </c>
    </row>
    <row r="214" spans="1:9" ht="15.75" x14ac:dyDescent="0.25">
      <c r="A214" s="288" t="s">
        <v>551</v>
      </c>
      <c r="B214" s="281" t="s">
        <v>552</v>
      </c>
      <c r="C214" s="281" t="s">
        <v>450</v>
      </c>
      <c r="D214" s="281" t="s">
        <v>450</v>
      </c>
      <c r="E214" s="281" t="s">
        <v>222</v>
      </c>
      <c r="F214" s="283">
        <v>4.4000000000000004</v>
      </c>
      <c r="G214" s="284">
        <f t="shared" si="16"/>
        <v>136.4</v>
      </c>
      <c r="H214" s="285">
        <v>1003</v>
      </c>
      <c r="I214" s="286">
        <f t="shared" si="17"/>
        <v>5.0599999999999996</v>
      </c>
    </row>
    <row r="215" spans="1:9" ht="15.75" x14ac:dyDescent="0.25">
      <c r="A215" s="288" t="s">
        <v>551</v>
      </c>
      <c r="B215" s="281" t="s">
        <v>552</v>
      </c>
      <c r="C215" s="281" t="s">
        <v>451</v>
      </c>
      <c r="D215" s="281" t="s">
        <v>451</v>
      </c>
      <c r="E215" s="281" t="s">
        <v>222</v>
      </c>
      <c r="F215" s="283">
        <v>5.2</v>
      </c>
      <c r="G215" s="284">
        <f t="shared" si="16"/>
        <v>161.20000000000002</v>
      </c>
      <c r="H215" s="285">
        <v>1107</v>
      </c>
      <c r="I215" s="286">
        <f t="shared" si="17"/>
        <v>5.98</v>
      </c>
    </row>
    <row r="216" spans="1:9" ht="15.75" x14ac:dyDescent="0.25">
      <c r="A216" s="288" t="s">
        <v>551</v>
      </c>
      <c r="B216" s="281" t="s">
        <v>552</v>
      </c>
      <c r="C216" s="281" t="s">
        <v>452</v>
      </c>
      <c r="D216" s="281" t="s">
        <v>452</v>
      </c>
      <c r="E216" s="281" t="s">
        <v>222</v>
      </c>
      <c r="F216" s="283">
        <v>5.7</v>
      </c>
      <c r="G216" s="284">
        <f t="shared" si="16"/>
        <v>176.70000000000002</v>
      </c>
      <c r="H216" s="285">
        <v>1191</v>
      </c>
      <c r="I216" s="286">
        <f t="shared" si="17"/>
        <v>6.56</v>
      </c>
    </row>
    <row r="217" spans="1:9" ht="15.75" x14ac:dyDescent="0.25">
      <c r="A217" s="288" t="s">
        <v>553</v>
      </c>
      <c r="B217" s="281" t="s">
        <v>554</v>
      </c>
      <c r="C217" s="281" t="s">
        <v>453</v>
      </c>
      <c r="D217" s="281" t="s">
        <v>453</v>
      </c>
      <c r="E217" s="281" t="s">
        <v>222</v>
      </c>
      <c r="F217" s="283">
        <v>4.7</v>
      </c>
      <c r="G217" s="284">
        <f t="shared" ref="G217" si="18">F217*$D$3</f>
        <v>145.70000000000002</v>
      </c>
      <c r="H217" s="285">
        <v>981</v>
      </c>
      <c r="I217" s="286">
        <f t="shared" ref="I217" si="19">ROUND(F217*1.15,2)</f>
        <v>5.41</v>
      </c>
    </row>
    <row r="218" spans="1:9" ht="15.75" x14ac:dyDescent="0.25">
      <c r="A218" s="288" t="s">
        <v>553</v>
      </c>
      <c r="B218" s="281" t="s">
        <v>554</v>
      </c>
      <c r="C218" s="281" t="s">
        <v>454</v>
      </c>
      <c r="D218" s="281" t="s">
        <v>454</v>
      </c>
      <c r="E218" s="281" t="s">
        <v>222</v>
      </c>
      <c r="F218" s="283">
        <v>5.0999999999999996</v>
      </c>
      <c r="G218" s="284">
        <f t="shared" ref="G218:G249" si="20">F218*$D$3</f>
        <v>158.1</v>
      </c>
      <c r="H218" s="285">
        <v>1077</v>
      </c>
      <c r="I218" s="286">
        <f t="shared" ref="I218:I249" si="21">ROUND(F218*1.15,2)</f>
        <v>5.87</v>
      </c>
    </row>
    <row r="219" spans="1:9" ht="15.75" x14ac:dyDescent="0.25">
      <c r="A219" s="288" t="s">
        <v>553</v>
      </c>
      <c r="B219" s="281" t="s">
        <v>554</v>
      </c>
      <c r="C219" s="281" t="s">
        <v>455</v>
      </c>
      <c r="D219" s="281" t="s">
        <v>455</v>
      </c>
      <c r="E219" s="281" t="s">
        <v>222</v>
      </c>
      <c r="F219" s="283">
        <v>4.3</v>
      </c>
      <c r="G219" s="284">
        <f t="shared" si="20"/>
        <v>133.29999999999998</v>
      </c>
      <c r="H219" s="285">
        <v>918</v>
      </c>
      <c r="I219" s="286">
        <f t="shared" si="21"/>
        <v>4.95</v>
      </c>
    </row>
    <row r="220" spans="1:9" ht="15.75" x14ac:dyDescent="0.25">
      <c r="A220" s="288" t="s">
        <v>553</v>
      </c>
      <c r="B220" s="281" t="s">
        <v>554</v>
      </c>
      <c r="C220" s="281" t="s">
        <v>456</v>
      </c>
      <c r="D220" s="281" t="s">
        <v>456</v>
      </c>
      <c r="E220" s="281" t="s">
        <v>222</v>
      </c>
      <c r="F220" s="283">
        <v>4.9000000000000004</v>
      </c>
      <c r="G220" s="284">
        <f t="shared" si="20"/>
        <v>151.9</v>
      </c>
      <c r="H220" s="285">
        <v>1019</v>
      </c>
      <c r="I220" s="286">
        <f t="shared" si="21"/>
        <v>5.64</v>
      </c>
    </row>
    <row r="221" spans="1:9" ht="15.75" x14ac:dyDescent="0.25">
      <c r="A221" s="288" t="s">
        <v>553</v>
      </c>
      <c r="B221" s="281" t="s">
        <v>554</v>
      </c>
      <c r="C221" s="281" t="s">
        <v>457</v>
      </c>
      <c r="D221" s="281" t="s">
        <v>457</v>
      </c>
      <c r="E221" s="281" t="s">
        <v>222</v>
      </c>
      <c r="F221" s="283">
        <v>5.0999999999999996</v>
      </c>
      <c r="G221" s="284">
        <f t="shared" si="20"/>
        <v>158.1</v>
      </c>
      <c r="H221" s="285">
        <v>1069</v>
      </c>
      <c r="I221" s="286">
        <f t="shared" si="21"/>
        <v>5.87</v>
      </c>
    </row>
    <row r="222" spans="1:9" ht="15.75" x14ac:dyDescent="0.25">
      <c r="A222" s="288" t="s">
        <v>553</v>
      </c>
      <c r="B222" s="281" t="s">
        <v>554</v>
      </c>
      <c r="C222" s="281" t="s">
        <v>458</v>
      </c>
      <c r="D222" s="281" t="s">
        <v>458</v>
      </c>
      <c r="E222" s="281" t="s">
        <v>222</v>
      </c>
      <c r="F222" s="283">
        <v>4.5</v>
      </c>
      <c r="G222" s="284">
        <f t="shared" si="20"/>
        <v>139.5</v>
      </c>
      <c r="H222" s="285">
        <v>983</v>
      </c>
      <c r="I222" s="286">
        <f t="shared" si="21"/>
        <v>5.18</v>
      </c>
    </row>
    <row r="223" spans="1:9" ht="15.75" x14ac:dyDescent="0.25">
      <c r="A223" s="288" t="s">
        <v>553</v>
      </c>
      <c r="B223" s="281" t="s">
        <v>554</v>
      </c>
      <c r="C223" s="281" t="s">
        <v>459</v>
      </c>
      <c r="D223" s="281" t="s">
        <v>459</v>
      </c>
      <c r="E223" s="281" t="s">
        <v>222</v>
      </c>
      <c r="F223" s="283">
        <v>4.5</v>
      </c>
      <c r="G223" s="284">
        <f t="shared" si="20"/>
        <v>139.5</v>
      </c>
      <c r="H223" s="285">
        <v>976</v>
      </c>
      <c r="I223" s="286">
        <f t="shared" si="21"/>
        <v>5.18</v>
      </c>
    </row>
    <row r="224" spans="1:9" ht="15.75" x14ac:dyDescent="0.25">
      <c r="A224" s="288" t="s">
        <v>553</v>
      </c>
      <c r="B224" s="281" t="s">
        <v>554</v>
      </c>
      <c r="C224" s="281" t="s">
        <v>460</v>
      </c>
      <c r="D224" s="281" t="s">
        <v>461</v>
      </c>
      <c r="E224" s="282" t="s">
        <v>220</v>
      </c>
      <c r="F224" s="283">
        <v>4.2</v>
      </c>
      <c r="G224" s="284">
        <f t="shared" si="20"/>
        <v>130.20000000000002</v>
      </c>
      <c r="H224" s="285">
        <v>987</v>
      </c>
      <c r="I224" s="286">
        <f t="shared" si="21"/>
        <v>4.83</v>
      </c>
    </row>
    <row r="225" spans="1:9" ht="15.75" x14ac:dyDescent="0.25">
      <c r="A225" s="288" t="s">
        <v>553</v>
      </c>
      <c r="B225" s="281" t="s">
        <v>554</v>
      </c>
      <c r="C225" s="281" t="s">
        <v>462</v>
      </c>
      <c r="D225" s="281" t="s">
        <v>462</v>
      </c>
      <c r="E225" s="281" t="s">
        <v>222</v>
      </c>
      <c r="F225" s="283">
        <v>4.9000000000000004</v>
      </c>
      <c r="G225" s="284">
        <f t="shared" si="20"/>
        <v>151.9</v>
      </c>
      <c r="H225" s="285">
        <v>1034</v>
      </c>
      <c r="I225" s="286">
        <f t="shared" si="21"/>
        <v>5.64</v>
      </c>
    </row>
    <row r="226" spans="1:9" ht="15.75" x14ac:dyDescent="0.25">
      <c r="A226" s="288" t="s">
        <v>553</v>
      </c>
      <c r="B226" s="281" t="s">
        <v>554</v>
      </c>
      <c r="C226" s="281" t="s">
        <v>463</v>
      </c>
      <c r="D226" s="281" t="s">
        <v>463</v>
      </c>
      <c r="E226" s="281" t="s">
        <v>222</v>
      </c>
      <c r="F226" s="283">
        <v>4.7</v>
      </c>
      <c r="G226" s="284">
        <f t="shared" si="20"/>
        <v>145.70000000000002</v>
      </c>
      <c r="H226" s="285">
        <v>985</v>
      </c>
      <c r="I226" s="286">
        <f t="shared" si="21"/>
        <v>5.41</v>
      </c>
    </row>
    <row r="227" spans="1:9" ht="15.75" x14ac:dyDescent="0.25">
      <c r="A227" s="288" t="s">
        <v>553</v>
      </c>
      <c r="B227" s="281" t="s">
        <v>554</v>
      </c>
      <c r="C227" s="281" t="s">
        <v>464</v>
      </c>
      <c r="D227" s="281" t="s">
        <v>464</v>
      </c>
      <c r="E227" s="281" t="s">
        <v>222</v>
      </c>
      <c r="F227" s="283">
        <v>4.8</v>
      </c>
      <c r="G227" s="284">
        <f t="shared" si="20"/>
        <v>148.79999999999998</v>
      </c>
      <c r="H227" s="285">
        <v>1010</v>
      </c>
      <c r="I227" s="286">
        <f t="shared" si="21"/>
        <v>5.52</v>
      </c>
    </row>
    <row r="228" spans="1:9" ht="15.75" x14ac:dyDescent="0.25">
      <c r="A228" s="288" t="s">
        <v>553</v>
      </c>
      <c r="B228" s="281" t="s">
        <v>554</v>
      </c>
      <c r="C228" s="281" t="s">
        <v>465</v>
      </c>
      <c r="D228" s="281" t="s">
        <v>465</v>
      </c>
      <c r="E228" s="281" t="s">
        <v>222</v>
      </c>
      <c r="F228" s="283">
        <v>4.5</v>
      </c>
      <c r="G228" s="284">
        <f t="shared" si="20"/>
        <v>139.5</v>
      </c>
      <c r="H228" s="285">
        <v>944</v>
      </c>
      <c r="I228" s="286">
        <f t="shared" si="21"/>
        <v>5.18</v>
      </c>
    </row>
    <row r="229" spans="1:9" ht="15.75" x14ac:dyDescent="0.25">
      <c r="A229" s="288" t="s">
        <v>553</v>
      </c>
      <c r="B229" s="281" t="s">
        <v>554</v>
      </c>
      <c r="C229" s="281" t="s">
        <v>466</v>
      </c>
      <c r="D229" s="281" t="s">
        <v>466</v>
      </c>
      <c r="E229" s="281" t="s">
        <v>222</v>
      </c>
      <c r="F229" s="283">
        <v>4.7</v>
      </c>
      <c r="G229" s="284">
        <f t="shared" si="20"/>
        <v>145.70000000000002</v>
      </c>
      <c r="H229" s="285">
        <v>1003</v>
      </c>
      <c r="I229" s="286">
        <f t="shared" si="21"/>
        <v>5.41</v>
      </c>
    </row>
    <row r="230" spans="1:9" ht="15.75" x14ac:dyDescent="0.25">
      <c r="A230" s="288" t="s">
        <v>553</v>
      </c>
      <c r="B230" s="281" t="s">
        <v>554</v>
      </c>
      <c r="C230" s="281" t="s">
        <v>467</v>
      </c>
      <c r="D230" s="281" t="s">
        <v>467</v>
      </c>
      <c r="E230" s="281" t="s">
        <v>222</v>
      </c>
      <c r="F230" s="283">
        <v>4.4000000000000004</v>
      </c>
      <c r="G230" s="284">
        <f t="shared" si="20"/>
        <v>136.4</v>
      </c>
      <c r="H230" s="285">
        <v>911</v>
      </c>
      <c r="I230" s="286">
        <f t="shared" si="21"/>
        <v>5.0599999999999996</v>
      </c>
    </row>
    <row r="231" spans="1:9" ht="15.75" x14ac:dyDescent="0.25">
      <c r="A231" s="288" t="s">
        <v>553</v>
      </c>
      <c r="B231" s="281" t="s">
        <v>554</v>
      </c>
      <c r="C231" s="281" t="s">
        <v>468</v>
      </c>
      <c r="D231" s="281" t="s">
        <v>468</v>
      </c>
      <c r="E231" s="281" t="s">
        <v>222</v>
      </c>
      <c r="F231" s="283">
        <v>4.3</v>
      </c>
      <c r="G231" s="284">
        <f t="shared" si="20"/>
        <v>133.29999999999998</v>
      </c>
      <c r="H231" s="285">
        <v>879</v>
      </c>
      <c r="I231" s="286">
        <f t="shared" si="21"/>
        <v>4.95</v>
      </c>
    </row>
    <row r="232" spans="1:9" ht="15.75" x14ac:dyDescent="0.25">
      <c r="A232" s="288" t="s">
        <v>553</v>
      </c>
      <c r="B232" s="281" t="s">
        <v>554</v>
      </c>
      <c r="C232" s="281" t="s">
        <v>469</v>
      </c>
      <c r="D232" s="281" t="s">
        <v>470</v>
      </c>
      <c r="E232" s="282" t="s">
        <v>346</v>
      </c>
      <c r="F232" s="283">
        <v>4.8</v>
      </c>
      <c r="G232" s="284">
        <f t="shared" si="20"/>
        <v>148.79999999999998</v>
      </c>
      <c r="H232" s="285">
        <v>1021</v>
      </c>
      <c r="I232" s="286">
        <f t="shared" si="21"/>
        <v>5.52</v>
      </c>
    </row>
    <row r="233" spans="1:9" ht="15.75" x14ac:dyDescent="0.25">
      <c r="A233" s="288" t="s">
        <v>553</v>
      </c>
      <c r="B233" s="281" t="s">
        <v>554</v>
      </c>
      <c r="C233" s="281" t="s">
        <v>471</v>
      </c>
      <c r="D233" s="281" t="s">
        <v>472</v>
      </c>
      <c r="E233" s="282" t="s">
        <v>220</v>
      </c>
      <c r="F233" s="283">
        <v>4.5999999999999996</v>
      </c>
      <c r="G233" s="284">
        <f t="shared" si="20"/>
        <v>142.6</v>
      </c>
      <c r="H233" s="285">
        <v>982</v>
      </c>
      <c r="I233" s="286">
        <f t="shared" si="21"/>
        <v>5.29</v>
      </c>
    </row>
    <row r="234" spans="1:9" ht="15.75" x14ac:dyDescent="0.25">
      <c r="A234" s="288" t="s">
        <v>553</v>
      </c>
      <c r="B234" s="281" t="s">
        <v>554</v>
      </c>
      <c r="C234" s="281" t="s">
        <v>473</v>
      </c>
      <c r="D234" s="281" t="s">
        <v>473</v>
      </c>
      <c r="E234" s="281" t="s">
        <v>222</v>
      </c>
      <c r="F234" s="283">
        <v>4.3</v>
      </c>
      <c r="G234" s="284">
        <f t="shared" si="20"/>
        <v>133.29999999999998</v>
      </c>
      <c r="H234" s="285">
        <v>966</v>
      </c>
      <c r="I234" s="286">
        <f t="shared" si="21"/>
        <v>4.95</v>
      </c>
    </row>
    <row r="235" spans="1:9" ht="15.75" x14ac:dyDescent="0.25">
      <c r="A235" s="288" t="s">
        <v>553</v>
      </c>
      <c r="B235" s="281" t="s">
        <v>554</v>
      </c>
      <c r="C235" s="281" t="s">
        <v>474</v>
      </c>
      <c r="D235" s="281" t="s">
        <v>474</v>
      </c>
      <c r="E235" s="281" t="s">
        <v>222</v>
      </c>
      <c r="F235" s="283">
        <v>4.7</v>
      </c>
      <c r="G235" s="284">
        <f t="shared" si="20"/>
        <v>145.70000000000002</v>
      </c>
      <c r="H235" s="285">
        <v>994</v>
      </c>
      <c r="I235" s="286">
        <f t="shared" si="21"/>
        <v>5.41</v>
      </c>
    </row>
    <row r="236" spans="1:9" ht="15.75" x14ac:dyDescent="0.25">
      <c r="A236" s="288" t="s">
        <v>553</v>
      </c>
      <c r="B236" s="281" t="s">
        <v>554</v>
      </c>
      <c r="C236" s="281" t="s">
        <v>475</v>
      </c>
      <c r="D236" s="281" t="s">
        <v>453</v>
      </c>
      <c r="E236" s="282" t="s">
        <v>220</v>
      </c>
      <c r="F236" s="283">
        <v>4.7</v>
      </c>
      <c r="G236" s="284">
        <f t="shared" si="20"/>
        <v>145.70000000000002</v>
      </c>
      <c r="H236" s="285">
        <v>981</v>
      </c>
      <c r="I236" s="286">
        <f t="shared" si="21"/>
        <v>5.41</v>
      </c>
    </row>
    <row r="237" spans="1:9" ht="15.75" x14ac:dyDescent="0.25">
      <c r="A237" s="288" t="s">
        <v>553</v>
      </c>
      <c r="B237" s="281" t="s">
        <v>554</v>
      </c>
      <c r="C237" s="281" t="s">
        <v>476</v>
      </c>
      <c r="D237" s="281" t="s">
        <v>476</v>
      </c>
      <c r="E237" s="281" t="s">
        <v>222</v>
      </c>
      <c r="F237" s="283">
        <v>4.7</v>
      </c>
      <c r="G237" s="284">
        <f t="shared" si="20"/>
        <v>145.70000000000002</v>
      </c>
      <c r="H237" s="285">
        <v>1010</v>
      </c>
      <c r="I237" s="286">
        <f t="shared" si="21"/>
        <v>5.41</v>
      </c>
    </row>
    <row r="238" spans="1:9" ht="15.75" x14ac:dyDescent="0.25">
      <c r="A238" s="288" t="s">
        <v>553</v>
      </c>
      <c r="B238" s="281" t="s">
        <v>554</v>
      </c>
      <c r="C238" s="281" t="s">
        <v>477</v>
      </c>
      <c r="D238" s="281" t="s">
        <v>477</v>
      </c>
      <c r="E238" s="281" t="s">
        <v>222</v>
      </c>
      <c r="F238" s="283">
        <v>4.7</v>
      </c>
      <c r="G238" s="284">
        <f t="shared" si="20"/>
        <v>145.70000000000002</v>
      </c>
      <c r="H238" s="285">
        <v>978</v>
      </c>
      <c r="I238" s="286">
        <f t="shared" si="21"/>
        <v>5.41</v>
      </c>
    </row>
    <row r="239" spans="1:9" ht="15.75" x14ac:dyDescent="0.25">
      <c r="A239" s="288" t="s">
        <v>553</v>
      </c>
      <c r="B239" s="281" t="s">
        <v>554</v>
      </c>
      <c r="C239" s="281" t="s">
        <v>461</v>
      </c>
      <c r="D239" s="281" t="s">
        <v>461</v>
      </c>
      <c r="E239" s="281" t="s">
        <v>222</v>
      </c>
      <c r="F239" s="283">
        <v>4.2</v>
      </c>
      <c r="G239" s="284">
        <f t="shared" si="20"/>
        <v>130.20000000000002</v>
      </c>
      <c r="H239" s="285">
        <v>987</v>
      </c>
      <c r="I239" s="286">
        <f t="shared" si="21"/>
        <v>4.83</v>
      </c>
    </row>
    <row r="240" spans="1:9" ht="15.75" x14ac:dyDescent="0.25">
      <c r="A240" s="288" t="s">
        <v>553</v>
      </c>
      <c r="B240" s="281" t="s">
        <v>554</v>
      </c>
      <c r="C240" s="281" t="s">
        <v>478</v>
      </c>
      <c r="D240" s="281" t="s">
        <v>478</v>
      </c>
      <c r="E240" s="281" t="s">
        <v>222</v>
      </c>
      <c r="F240" s="283">
        <v>4.5</v>
      </c>
      <c r="G240" s="284">
        <f t="shared" si="20"/>
        <v>139.5</v>
      </c>
      <c r="H240" s="285">
        <v>965</v>
      </c>
      <c r="I240" s="286">
        <f t="shared" si="21"/>
        <v>5.18</v>
      </c>
    </row>
    <row r="241" spans="1:9" ht="15.75" x14ac:dyDescent="0.25">
      <c r="A241" s="288" t="s">
        <v>553</v>
      </c>
      <c r="B241" s="281" t="s">
        <v>554</v>
      </c>
      <c r="C241" s="281" t="s">
        <v>479</v>
      </c>
      <c r="D241" s="281" t="s">
        <v>479</v>
      </c>
      <c r="E241" s="281" t="s">
        <v>222</v>
      </c>
      <c r="F241" s="283">
        <v>5.5</v>
      </c>
      <c r="G241" s="284">
        <f t="shared" si="20"/>
        <v>170.5</v>
      </c>
      <c r="H241" s="285">
        <v>1140</v>
      </c>
      <c r="I241" s="286">
        <f t="shared" si="21"/>
        <v>6.33</v>
      </c>
    </row>
    <row r="242" spans="1:9" ht="15.75" x14ac:dyDescent="0.25">
      <c r="A242" s="288" t="s">
        <v>553</v>
      </c>
      <c r="B242" s="281" t="s">
        <v>554</v>
      </c>
      <c r="C242" s="281" t="s">
        <v>480</v>
      </c>
      <c r="D242" s="281" t="s">
        <v>481</v>
      </c>
      <c r="E242" s="281" t="s">
        <v>222</v>
      </c>
      <c r="F242" s="283">
        <v>4</v>
      </c>
      <c r="G242" s="284">
        <f t="shared" si="20"/>
        <v>124</v>
      </c>
      <c r="H242" s="285">
        <v>901</v>
      </c>
      <c r="I242" s="286">
        <f t="shared" si="21"/>
        <v>4.5999999999999996</v>
      </c>
    </row>
    <row r="243" spans="1:9" ht="15.75" x14ac:dyDescent="0.25">
      <c r="A243" s="288" t="s">
        <v>553</v>
      </c>
      <c r="B243" s="281" t="s">
        <v>554</v>
      </c>
      <c r="C243" s="281" t="s">
        <v>482</v>
      </c>
      <c r="D243" s="281" t="s">
        <v>482</v>
      </c>
      <c r="E243" s="281" t="s">
        <v>222</v>
      </c>
      <c r="F243" s="283">
        <v>4.2</v>
      </c>
      <c r="G243" s="284">
        <f t="shared" si="20"/>
        <v>130.20000000000002</v>
      </c>
      <c r="H243" s="285">
        <v>901</v>
      </c>
      <c r="I243" s="286">
        <f t="shared" si="21"/>
        <v>4.83</v>
      </c>
    </row>
    <row r="244" spans="1:9" ht="15.75" x14ac:dyDescent="0.25">
      <c r="A244" s="288" t="s">
        <v>553</v>
      </c>
      <c r="B244" s="281" t="s">
        <v>554</v>
      </c>
      <c r="C244" s="281" t="s">
        <v>483</v>
      </c>
      <c r="D244" s="281" t="s">
        <v>484</v>
      </c>
      <c r="E244" s="282" t="s">
        <v>220</v>
      </c>
      <c r="F244" s="283">
        <v>4</v>
      </c>
      <c r="G244" s="284">
        <f t="shared" si="20"/>
        <v>124</v>
      </c>
      <c r="H244" s="285">
        <v>867</v>
      </c>
      <c r="I244" s="286">
        <f t="shared" si="21"/>
        <v>4.5999999999999996</v>
      </c>
    </row>
    <row r="245" spans="1:9" ht="15.75" x14ac:dyDescent="0.25">
      <c r="A245" s="288" t="s">
        <v>553</v>
      </c>
      <c r="B245" s="281" t="s">
        <v>554</v>
      </c>
      <c r="C245" s="281" t="s">
        <v>485</v>
      </c>
      <c r="D245" s="281" t="s">
        <v>485</v>
      </c>
      <c r="E245" s="281" t="s">
        <v>222</v>
      </c>
      <c r="F245" s="283">
        <v>5</v>
      </c>
      <c r="G245" s="284">
        <f t="shared" si="20"/>
        <v>155</v>
      </c>
      <c r="H245" s="285">
        <v>1042</v>
      </c>
      <c r="I245" s="286">
        <f t="shared" si="21"/>
        <v>5.75</v>
      </c>
    </row>
    <row r="246" spans="1:9" ht="15.75" x14ac:dyDescent="0.25">
      <c r="A246" s="288" t="s">
        <v>553</v>
      </c>
      <c r="B246" s="281" t="s">
        <v>554</v>
      </c>
      <c r="C246" s="281" t="s">
        <v>486</v>
      </c>
      <c r="D246" s="281" t="s">
        <v>486</v>
      </c>
      <c r="E246" s="281" t="s">
        <v>222</v>
      </c>
      <c r="F246" s="283">
        <v>4.8</v>
      </c>
      <c r="G246" s="284">
        <f t="shared" si="20"/>
        <v>148.79999999999998</v>
      </c>
      <c r="H246" s="285">
        <v>1018</v>
      </c>
      <c r="I246" s="286">
        <f t="shared" si="21"/>
        <v>5.52</v>
      </c>
    </row>
    <row r="247" spans="1:9" ht="15.75" x14ac:dyDescent="0.25">
      <c r="A247" s="288" t="s">
        <v>553</v>
      </c>
      <c r="B247" s="281" t="s">
        <v>554</v>
      </c>
      <c r="C247" s="281" t="s">
        <v>487</v>
      </c>
      <c r="D247" s="281" t="s">
        <v>487</v>
      </c>
      <c r="E247" s="281" t="s">
        <v>222</v>
      </c>
      <c r="F247" s="283">
        <v>4.5999999999999996</v>
      </c>
      <c r="G247" s="284">
        <f t="shared" si="20"/>
        <v>142.6</v>
      </c>
      <c r="H247" s="285">
        <v>969</v>
      </c>
      <c r="I247" s="286">
        <f t="shared" si="21"/>
        <v>5.29</v>
      </c>
    </row>
    <row r="248" spans="1:9" ht="15.75" x14ac:dyDescent="0.25">
      <c r="A248" s="288" t="s">
        <v>553</v>
      </c>
      <c r="B248" s="281" t="s">
        <v>554</v>
      </c>
      <c r="C248" s="281" t="s">
        <v>488</v>
      </c>
      <c r="D248" s="281" t="s">
        <v>488</v>
      </c>
      <c r="E248" s="281" t="s">
        <v>222</v>
      </c>
      <c r="F248" s="283">
        <v>4.4000000000000004</v>
      </c>
      <c r="G248" s="284">
        <f t="shared" si="20"/>
        <v>136.4</v>
      </c>
      <c r="H248" s="285">
        <v>966</v>
      </c>
      <c r="I248" s="286">
        <f t="shared" si="21"/>
        <v>5.0599999999999996</v>
      </c>
    </row>
    <row r="249" spans="1:9" ht="15.75" x14ac:dyDescent="0.25">
      <c r="A249" s="288" t="s">
        <v>555</v>
      </c>
      <c r="B249" s="281" t="s">
        <v>557</v>
      </c>
      <c r="C249" s="281" t="s">
        <v>489</v>
      </c>
      <c r="D249" s="281" t="s">
        <v>490</v>
      </c>
      <c r="E249" s="282" t="s">
        <v>220</v>
      </c>
      <c r="F249" s="283">
        <v>4.0999999999999996</v>
      </c>
      <c r="G249" s="284">
        <f t="shared" si="20"/>
        <v>127.1</v>
      </c>
      <c r="H249" s="285">
        <v>861</v>
      </c>
      <c r="I249" s="286">
        <f t="shared" si="21"/>
        <v>4.72</v>
      </c>
    </row>
    <row r="250" spans="1:9" ht="15.75" x14ac:dyDescent="0.25">
      <c r="A250" s="288" t="s">
        <v>555</v>
      </c>
      <c r="B250" s="281" t="s">
        <v>557</v>
      </c>
      <c r="C250" s="281" t="s">
        <v>491</v>
      </c>
      <c r="D250" s="281" t="s">
        <v>491</v>
      </c>
      <c r="E250" s="281" t="s">
        <v>222</v>
      </c>
      <c r="F250" s="283">
        <v>3.8</v>
      </c>
      <c r="G250" s="284">
        <f t="shared" ref="G250:G281" si="22">F250*$D$3</f>
        <v>117.8</v>
      </c>
      <c r="H250" s="285">
        <v>808</v>
      </c>
      <c r="I250" s="286">
        <f t="shared" ref="I250:I281" si="23">ROUND(F250*1.15,2)</f>
        <v>4.37</v>
      </c>
    </row>
    <row r="251" spans="1:9" ht="15.75" x14ac:dyDescent="0.25">
      <c r="A251" s="288" t="s">
        <v>555</v>
      </c>
      <c r="B251" s="281" t="s">
        <v>557</v>
      </c>
      <c r="C251" s="281" t="s">
        <v>492</v>
      </c>
      <c r="D251" s="281" t="s">
        <v>492</v>
      </c>
      <c r="E251" s="281" t="s">
        <v>222</v>
      </c>
      <c r="F251" s="283">
        <v>4</v>
      </c>
      <c r="G251" s="284">
        <f t="shared" si="22"/>
        <v>124</v>
      </c>
      <c r="H251" s="285">
        <v>857</v>
      </c>
      <c r="I251" s="286">
        <f t="shared" si="23"/>
        <v>4.5999999999999996</v>
      </c>
    </row>
    <row r="252" spans="1:9" ht="15.75" x14ac:dyDescent="0.25">
      <c r="A252" s="288" t="s">
        <v>555</v>
      </c>
      <c r="B252" s="281" t="s">
        <v>557</v>
      </c>
      <c r="C252" s="281" t="s">
        <v>493</v>
      </c>
      <c r="D252" s="281" t="s">
        <v>493</v>
      </c>
      <c r="E252" s="281" t="s">
        <v>222</v>
      </c>
      <c r="F252" s="283">
        <v>3.8</v>
      </c>
      <c r="G252" s="284">
        <f t="shared" si="22"/>
        <v>117.8</v>
      </c>
      <c r="H252" s="285">
        <v>809</v>
      </c>
      <c r="I252" s="286">
        <f t="shared" si="23"/>
        <v>4.37</v>
      </c>
    </row>
    <row r="253" spans="1:9" ht="15.75" x14ac:dyDescent="0.25">
      <c r="A253" s="288" t="s">
        <v>555</v>
      </c>
      <c r="B253" s="281" t="s">
        <v>557</v>
      </c>
      <c r="C253" s="281" t="s">
        <v>494</v>
      </c>
      <c r="D253" s="281" t="s">
        <v>494</v>
      </c>
      <c r="E253" s="281" t="s">
        <v>222</v>
      </c>
      <c r="F253" s="283">
        <v>4.4000000000000004</v>
      </c>
      <c r="G253" s="284">
        <f t="shared" si="22"/>
        <v>136.4</v>
      </c>
      <c r="H253" s="285">
        <v>935</v>
      </c>
      <c r="I253" s="286">
        <f t="shared" si="23"/>
        <v>5.0599999999999996</v>
      </c>
    </row>
    <row r="254" spans="1:9" ht="15.75" x14ac:dyDescent="0.25">
      <c r="A254" s="288" t="s">
        <v>555</v>
      </c>
      <c r="B254" s="281" t="s">
        <v>557</v>
      </c>
      <c r="C254" s="281" t="s">
        <v>495</v>
      </c>
      <c r="D254" s="281" t="s">
        <v>495</v>
      </c>
      <c r="E254" s="281" t="s">
        <v>222</v>
      </c>
      <c r="F254" s="283">
        <v>4.3</v>
      </c>
      <c r="G254" s="284">
        <f t="shared" si="22"/>
        <v>133.29999999999998</v>
      </c>
      <c r="H254" s="285">
        <v>901</v>
      </c>
      <c r="I254" s="286">
        <f t="shared" si="23"/>
        <v>4.95</v>
      </c>
    </row>
    <row r="255" spans="1:9" ht="15.75" x14ac:dyDescent="0.25">
      <c r="A255" s="288" t="s">
        <v>555</v>
      </c>
      <c r="B255" s="281" t="s">
        <v>557</v>
      </c>
      <c r="C255" s="281" t="s">
        <v>496</v>
      </c>
      <c r="D255" s="281" t="s">
        <v>496</v>
      </c>
      <c r="E255" s="281" t="s">
        <v>222</v>
      </c>
      <c r="F255" s="283">
        <v>4.3</v>
      </c>
      <c r="G255" s="284">
        <f t="shared" si="22"/>
        <v>133.29999999999998</v>
      </c>
      <c r="H255" s="285">
        <v>920</v>
      </c>
      <c r="I255" s="286">
        <f t="shared" si="23"/>
        <v>4.95</v>
      </c>
    </row>
    <row r="256" spans="1:9" ht="15.75" x14ac:dyDescent="0.25">
      <c r="A256" s="288" t="s">
        <v>555</v>
      </c>
      <c r="B256" s="281" t="s">
        <v>557</v>
      </c>
      <c r="C256" s="281" t="s">
        <v>497</v>
      </c>
      <c r="D256" s="281" t="s">
        <v>494</v>
      </c>
      <c r="E256" s="282" t="s">
        <v>220</v>
      </c>
      <c r="F256" s="283">
        <v>4.4000000000000004</v>
      </c>
      <c r="G256" s="284">
        <f t="shared" si="22"/>
        <v>136.4</v>
      </c>
      <c r="H256" s="285">
        <v>935</v>
      </c>
      <c r="I256" s="286">
        <f t="shared" si="23"/>
        <v>5.0599999999999996</v>
      </c>
    </row>
    <row r="257" spans="1:9" ht="15.75" x14ac:dyDescent="0.25">
      <c r="A257" s="288" t="s">
        <v>555</v>
      </c>
      <c r="B257" s="281" t="s">
        <v>557</v>
      </c>
      <c r="C257" s="281" t="s">
        <v>498</v>
      </c>
      <c r="D257" s="281" t="s">
        <v>498</v>
      </c>
      <c r="E257" s="281" t="s">
        <v>222</v>
      </c>
      <c r="F257" s="283">
        <v>4.0999999999999996</v>
      </c>
      <c r="G257" s="284">
        <f t="shared" si="22"/>
        <v>127.1</v>
      </c>
      <c r="H257" s="285">
        <v>884</v>
      </c>
      <c r="I257" s="286">
        <f t="shared" si="23"/>
        <v>4.72</v>
      </c>
    </row>
    <row r="258" spans="1:9" ht="15.75" x14ac:dyDescent="0.25">
      <c r="A258" s="288" t="s">
        <v>555</v>
      </c>
      <c r="B258" s="281" t="s">
        <v>557</v>
      </c>
      <c r="C258" s="281" t="s">
        <v>499</v>
      </c>
      <c r="D258" s="281" t="s">
        <v>499</v>
      </c>
      <c r="E258" s="281" t="s">
        <v>222</v>
      </c>
      <c r="F258" s="283">
        <v>4.2</v>
      </c>
      <c r="G258" s="284">
        <f t="shared" si="22"/>
        <v>130.20000000000002</v>
      </c>
      <c r="H258" s="285">
        <v>881</v>
      </c>
      <c r="I258" s="286">
        <f t="shared" si="23"/>
        <v>4.83</v>
      </c>
    </row>
    <row r="259" spans="1:9" ht="15.75" x14ac:dyDescent="0.25">
      <c r="A259" s="288" t="s">
        <v>555</v>
      </c>
      <c r="B259" s="281" t="s">
        <v>557</v>
      </c>
      <c r="C259" s="281" t="s">
        <v>500</v>
      </c>
      <c r="D259" s="281" t="s">
        <v>500</v>
      </c>
      <c r="E259" s="281" t="s">
        <v>222</v>
      </c>
      <c r="F259" s="283">
        <v>3.9</v>
      </c>
      <c r="G259" s="284">
        <f t="shared" si="22"/>
        <v>120.89999999999999</v>
      </c>
      <c r="H259" s="285">
        <v>844</v>
      </c>
      <c r="I259" s="286">
        <f t="shared" si="23"/>
        <v>4.49</v>
      </c>
    </row>
    <row r="260" spans="1:9" ht="15.75" x14ac:dyDescent="0.25">
      <c r="A260" s="288" t="s">
        <v>555</v>
      </c>
      <c r="B260" s="281" t="s">
        <v>557</v>
      </c>
      <c r="C260" s="281" t="s">
        <v>490</v>
      </c>
      <c r="D260" s="281" t="s">
        <v>490</v>
      </c>
      <c r="E260" s="281" t="s">
        <v>222</v>
      </c>
      <c r="F260" s="283">
        <v>4.0999999999999996</v>
      </c>
      <c r="G260" s="284">
        <f t="shared" si="22"/>
        <v>127.1</v>
      </c>
      <c r="H260" s="285">
        <v>861</v>
      </c>
      <c r="I260" s="286">
        <f t="shared" si="23"/>
        <v>4.72</v>
      </c>
    </row>
    <row r="261" spans="1:9" ht="15.75" x14ac:dyDescent="0.25">
      <c r="A261" s="288" t="s">
        <v>556</v>
      </c>
      <c r="B261" s="281" t="s">
        <v>495</v>
      </c>
      <c r="C261" s="281" t="s">
        <v>501</v>
      </c>
      <c r="D261" s="281" t="s">
        <v>501</v>
      </c>
      <c r="E261" s="281" t="s">
        <v>222</v>
      </c>
      <c r="F261" s="283">
        <v>3.3</v>
      </c>
      <c r="G261" s="284">
        <f t="shared" si="22"/>
        <v>102.3</v>
      </c>
      <c r="H261" s="285">
        <v>698</v>
      </c>
      <c r="I261" s="286">
        <f t="shared" si="23"/>
        <v>3.8</v>
      </c>
    </row>
    <row r="262" spans="1:9" ht="15.75" x14ac:dyDescent="0.25">
      <c r="A262" s="288" t="s">
        <v>556</v>
      </c>
      <c r="B262" s="281" t="s">
        <v>495</v>
      </c>
      <c r="C262" s="281" t="s">
        <v>502</v>
      </c>
      <c r="D262" s="281" t="s">
        <v>503</v>
      </c>
      <c r="E262" s="282" t="s">
        <v>220</v>
      </c>
      <c r="F262" s="283">
        <v>3.8</v>
      </c>
      <c r="G262" s="284">
        <f t="shared" si="22"/>
        <v>117.8</v>
      </c>
      <c r="H262" s="285">
        <v>809</v>
      </c>
      <c r="I262" s="286">
        <f t="shared" si="23"/>
        <v>4.37</v>
      </c>
    </row>
    <row r="263" spans="1:9" ht="15.75" x14ac:dyDescent="0.25">
      <c r="A263" s="288" t="s">
        <v>556</v>
      </c>
      <c r="B263" s="281" t="s">
        <v>495</v>
      </c>
      <c r="C263" s="281" t="s">
        <v>504</v>
      </c>
      <c r="D263" s="281" t="s">
        <v>504</v>
      </c>
      <c r="E263" s="281" t="s">
        <v>222</v>
      </c>
      <c r="F263" s="283">
        <v>3.1</v>
      </c>
      <c r="G263" s="284">
        <f t="shared" si="22"/>
        <v>96.100000000000009</v>
      </c>
      <c r="H263" s="285">
        <v>647</v>
      </c>
      <c r="I263" s="286">
        <f t="shared" si="23"/>
        <v>3.57</v>
      </c>
    </row>
    <row r="264" spans="1:9" ht="15.75" x14ac:dyDescent="0.25">
      <c r="A264" s="288" t="s">
        <v>556</v>
      </c>
      <c r="B264" s="281" t="s">
        <v>495</v>
      </c>
      <c r="C264" s="281" t="s">
        <v>505</v>
      </c>
      <c r="D264" s="281" t="s">
        <v>505</v>
      </c>
      <c r="E264" s="281" t="s">
        <v>222</v>
      </c>
      <c r="F264" s="283">
        <v>3.2</v>
      </c>
      <c r="G264" s="284">
        <f t="shared" si="22"/>
        <v>99.2</v>
      </c>
      <c r="H264" s="285">
        <v>673</v>
      </c>
      <c r="I264" s="286">
        <f t="shared" si="23"/>
        <v>3.68</v>
      </c>
    </row>
    <row r="265" spans="1:9" ht="15.75" x14ac:dyDescent="0.25">
      <c r="A265" s="288" t="s">
        <v>556</v>
      </c>
      <c r="B265" s="281" t="s">
        <v>495</v>
      </c>
      <c r="C265" s="281" t="s">
        <v>506</v>
      </c>
      <c r="D265" s="281" t="s">
        <v>504</v>
      </c>
      <c r="E265" s="282" t="s">
        <v>220</v>
      </c>
      <c r="F265" s="283">
        <v>3.1</v>
      </c>
      <c r="G265" s="284">
        <f t="shared" si="22"/>
        <v>96.100000000000009</v>
      </c>
      <c r="H265" s="285">
        <v>647</v>
      </c>
      <c r="I265" s="286">
        <f t="shared" si="23"/>
        <v>3.57</v>
      </c>
    </row>
    <row r="266" spans="1:9" ht="15.75" x14ac:dyDescent="0.25">
      <c r="A266" s="288" t="s">
        <v>556</v>
      </c>
      <c r="B266" s="281" t="s">
        <v>495</v>
      </c>
      <c r="C266" s="281" t="s">
        <v>507</v>
      </c>
      <c r="D266" s="281" t="s">
        <v>508</v>
      </c>
      <c r="E266" s="282" t="s">
        <v>220</v>
      </c>
      <c r="F266" s="283">
        <v>3.4</v>
      </c>
      <c r="G266" s="284">
        <f t="shared" si="22"/>
        <v>105.39999999999999</v>
      </c>
      <c r="H266" s="285">
        <v>744</v>
      </c>
      <c r="I266" s="286">
        <f t="shared" si="23"/>
        <v>3.91</v>
      </c>
    </row>
    <row r="267" spans="1:9" ht="15.75" x14ac:dyDescent="0.25">
      <c r="A267" s="288" t="s">
        <v>556</v>
      </c>
      <c r="B267" s="281" t="s">
        <v>495</v>
      </c>
      <c r="C267" s="281" t="s">
        <v>509</v>
      </c>
      <c r="D267" s="281" t="s">
        <v>509</v>
      </c>
      <c r="E267" s="281" t="s">
        <v>222</v>
      </c>
      <c r="F267" s="283">
        <v>3.1</v>
      </c>
      <c r="G267" s="284">
        <f t="shared" si="22"/>
        <v>96.100000000000009</v>
      </c>
      <c r="H267" s="285">
        <v>636</v>
      </c>
      <c r="I267" s="286">
        <f t="shared" si="23"/>
        <v>3.57</v>
      </c>
    </row>
    <row r="268" spans="1:9" ht="15.75" x14ac:dyDescent="0.25">
      <c r="A268" s="288" t="s">
        <v>556</v>
      </c>
      <c r="B268" s="281" t="s">
        <v>495</v>
      </c>
      <c r="C268" s="281" t="s">
        <v>510</v>
      </c>
      <c r="D268" s="281" t="s">
        <v>510</v>
      </c>
      <c r="E268" s="281" t="s">
        <v>222</v>
      </c>
      <c r="F268" s="283">
        <v>3.1</v>
      </c>
      <c r="G268" s="284">
        <f t="shared" si="22"/>
        <v>96.100000000000009</v>
      </c>
      <c r="H268" s="285">
        <v>645</v>
      </c>
      <c r="I268" s="286">
        <f t="shared" si="23"/>
        <v>3.57</v>
      </c>
    </row>
    <row r="269" spans="1:9" ht="15.75" x14ac:dyDescent="0.25">
      <c r="A269" s="288" t="s">
        <v>556</v>
      </c>
      <c r="B269" s="281" t="s">
        <v>495</v>
      </c>
      <c r="C269" s="281" t="s">
        <v>511</v>
      </c>
      <c r="D269" s="281" t="s">
        <v>511</v>
      </c>
      <c r="E269" s="281" t="s">
        <v>222</v>
      </c>
      <c r="F269" s="283">
        <v>3.7</v>
      </c>
      <c r="G269" s="284">
        <f t="shared" si="22"/>
        <v>114.7</v>
      </c>
      <c r="H269" s="285">
        <v>793</v>
      </c>
      <c r="I269" s="286">
        <f t="shared" si="23"/>
        <v>4.26</v>
      </c>
    </row>
    <row r="270" spans="1:9" ht="15.75" x14ac:dyDescent="0.25">
      <c r="A270" s="288" t="s">
        <v>556</v>
      </c>
      <c r="B270" s="281" t="s">
        <v>495</v>
      </c>
      <c r="C270" s="281" t="s">
        <v>512</v>
      </c>
      <c r="D270" s="281" t="s">
        <v>512</v>
      </c>
      <c r="E270" s="281" t="s">
        <v>222</v>
      </c>
      <c r="F270" s="283">
        <v>3.8</v>
      </c>
      <c r="G270" s="284">
        <f t="shared" si="22"/>
        <v>117.8</v>
      </c>
      <c r="H270" s="285">
        <v>825</v>
      </c>
      <c r="I270" s="286">
        <f t="shared" si="23"/>
        <v>4.37</v>
      </c>
    </row>
    <row r="271" spans="1:9" ht="15.75" x14ac:dyDescent="0.25">
      <c r="A271" s="288" t="s">
        <v>556</v>
      </c>
      <c r="B271" s="281" t="s">
        <v>495</v>
      </c>
      <c r="C271" s="281" t="s">
        <v>513</v>
      </c>
      <c r="D271" s="281" t="s">
        <v>514</v>
      </c>
      <c r="E271" s="282" t="s">
        <v>220</v>
      </c>
      <c r="F271" s="283">
        <v>4</v>
      </c>
      <c r="G271" s="284">
        <f t="shared" si="22"/>
        <v>124</v>
      </c>
      <c r="H271" s="285">
        <v>795</v>
      </c>
      <c r="I271" s="286">
        <f t="shared" si="23"/>
        <v>4.5999999999999996</v>
      </c>
    </row>
    <row r="272" spans="1:9" ht="15.75" x14ac:dyDescent="0.25">
      <c r="A272" s="288" t="s">
        <v>556</v>
      </c>
      <c r="B272" s="281" t="s">
        <v>495</v>
      </c>
      <c r="C272" s="281" t="s">
        <v>515</v>
      </c>
      <c r="D272" s="281" t="s">
        <v>505</v>
      </c>
      <c r="E272" s="282" t="s">
        <v>220</v>
      </c>
      <c r="F272" s="283">
        <v>3.2</v>
      </c>
      <c r="G272" s="284">
        <f t="shared" si="22"/>
        <v>99.2</v>
      </c>
      <c r="H272" s="285">
        <v>673</v>
      </c>
      <c r="I272" s="286">
        <f t="shared" si="23"/>
        <v>3.68</v>
      </c>
    </row>
    <row r="273" spans="1:9" ht="15.75" x14ac:dyDescent="0.25">
      <c r="A273" s="288" t="s">
        <v>556</v>
      </c>
      <c r="B273" s="281" t="s">
        <v>495</v>
      </c>
      <c r="C273" s="281" t="s">
        <v>516</v>
      </c>
      <c r="D273" s="281" t="s">
        <v>516</v>
      </c>
      <c r="E273" s="281" t="s">
        <v>222</v>
      </c>
      <c r="F273" s="283">
        <v>3.8</v>
      </c>
      <c r="G273" s="284">
        <f t="shared" si="22"/>
        <v>117.8</v>
      </c>
      <c r="H273" s="285">
        <v>812</v>
      </c>
      <c r="I273" s="286">
        <f t="shared" si="23"/>
        <v>4.37</v>
      </c>
    </row>
    <row r="274" spans="1:9" ht="15.75" x14ac:dyDescent="0.25">
      <c r="A274" s="288" t="s">
        <v>556</v>
      </c>
      <c r="B274" s="281" t="s">
        <v>495</v>
      </c>
      <c r="C274" s="281" t="s">
        <v>517</v>
      </c>
      <c r="D274" s="281" t="s">
        <v>517</v>
      </c>
      <c r="E274" s="281" t="s">
        <v>222</v>
      </c>
      <c r="F274" s="283">
        <v>3.5</v>
      </c>
      <c r="G274" s="284">
        <f t="shared" si="22"/>
        <v>108.5</v>
      </c>
      <c r="H274" s="285">
        <v>772</v>
      </c>
      <c r="I274" s="286">
        <f t="shared" si="23"/>
        <v>4.03</v>
      </c>
    </row>
    <row r="275" spans="1:9" ht="15.75" x14ac:dyDescent="0.25">
      <c r="A275" s="288" t="s">
        <v>556</v>
      </c>
      <c r="B275" s="281" t="s">
        <v>495</v>
      </c>
      <c r="C275" s="281" t="s">
        <v>518</v>
      </c>
      <c r="D275" s="281" t="s">
        <v>517</v>
      </c>
      <c r="E275" s="282" t="s">
        <v>220</v>
      </c>
      <c r="F275" s="283">
        <v>3.5</v>
      </c>
      <c r="G275" s="284">
        <f t="shared" si="22"/>
        <v>108.5</v>
      </c>
      <c r="H275" s="285">
        <v>772</v>
      </c>
      <c r="I275" s="286">
        <f t="shared" si="23"/>
        <v>4.03</v>
      </c>
    </row>
    <row r="276" spans="1:9" ht="15.75" x14ac:dyDescent="0.25">
      <c r="A276" s="288" t="s">
        <v>556</v>
      </c>
      <c r="B276" s="281" t="s">
        <v>495</v>
      </c>
      <c r="C276" s="281" t="s">
        <v>519</v>
      </c>
      <c r="D276" s="281" t="s">
        <v>519</v>
      </c>
      <c r="E276" s="281" t="s">
        <v>222</v>
      </c>
      <c r="F276" s="283">
        <v>4</v>
      </c>
      <c r="G276" s="284">
        <f t="shared" si="22"/>
        <v>124</v>
      </c>
      <c r="H276" s="285">
        <v>855</v>
      </c>
      <c r="I276" s="286">
        <f t="shared" si="23"/>
        <v>4.5999999999999996</v>
      </c>
    </row>
    <row r="277" spans="1:9" ht="15.75" x14ac:dyDescent="0.25">
      <c r="A277" s="288" t="s">
        <v>556</v>
      </c>
      <c r="B277" s="281" t="s">
        <v>495</v>
      </c>
      <c r="C277" s="281" t="s">
        <v>514</v>
      </c>
      <c r="D277" s="281" t="s">
        <v>514</v>
      </c>
      <c r="E277" s="281" t="s">
        <v>222</v>
      </c>
      <c r="F277" s="283">
        <v>4</v>
      </c>
      <c r="G277" s="284">
        <f t="shared" si="22"/>
        <v>124</v>
      </c>
      <c r="H277" s="285">
        <v>795</v>
      </c>
      <c r="I277" s="286">
        <f t="shared" si="23"/>
        <v>4.5999999999999996</v>
      </c>
    </row>
    <row r="278" spans="1:9" ht="15.75" x14ac:dyDescent="0.25">
      <c r="A278" s="288" t="s">
        <v>556</v>
      </c>
      <c r="B278" s="281" t="s">
        <v>495</v>
      </c>
      <c r="C278" s="281" t="s">
        <v>503</v>
      </c>
      <c r="D278" s="281" t="s">
        <v>503</v>
      </c>
      <c r="E278" s="281" t="s">
        <v>222</v>
      </c>
      <c r="F278" s="283">
        <v>3.8</v>
      </c>
      <c r="G278" s="284">
        <f t="shared" si="22"/>
        <v>117.8</v>
      </c>
      <c r="H278" s="285">
        <v>809</v>
      </c>
      <c r="I278" s="286">
        <f t="shared" si="23"/>
        <v>4.37</v>
      </c>
    </row>
    <row r="279" spans="1:9" ht="15.75" x14ac:dyDescent="0.25">
      <c r="A279" s="288" t="s">
        <v>556</v>
      </c>
      <c r="B279" s="281" t="s">
        <v>495</v>
      </c>
      <c r="C279" s="281" t="s">
        <v>520</v>
      </c>
      <c r="D279" s="281" t="s">
        <v>520</v>
      </c>
      <c r="E279" s="281" t="s">
        <v>222</v>
      </c>
      <c r="F279" s="283">
        <v>3.8</v>
      </c>
      <c r="G279" s="284">
        <f t="shared" si="22"/>
        <v>117.8</v>
      </c>
      <c r="H279" s="285">
        <v>823</v>
      </c>
      <c r="I279" s="286">
        <f t="shared" si="23"/>
        <v>4.37</v>
      </c>
    </row>
    <row r="280" spans="1:9" ht="15.75" x14ac:dyDescent="0.25">
      <c r="A280" s="288" t="s">
        <v>556</v>
      </c>
      <c r="B280" s="281" t="s">
        <v>495</v>
      </c>
      <c r="C280" s="281" t="s">
        <v>521</v>
      </c>
      <c r="D280" s="281" t="s">
        <v>521</v>
      </c>
      <c r="E280" s="281" t="s">
        <v>222</v>
      </c>
      <c r="F280" s="283">
        <v>3.8</v>
      </c>
      <c r="G280" s="284">
        <f t="shared" si="22"/>
        <v>117.8</v>
      </c>
      <c r="H280" s="285">
        <v>811</v>
      </c>
      <c r="I280" s="286">
        <f t="shared" si="23"/>
        <v>4.37</v>
      </c>
    </row>
    <row r="281" spans="1:9" ht="15.75" x14ac:dyDescent="0.25">
      <c r="A281" s="288" t="s">
        <v>556</v>
      </c>
      <c r="B281" s="281" t="s">
        <v>495</v>
      </c>
      <c r="C281" s="281" t="s">
        <v>522</v>
      </c>
      <c r="D281" s="281" t="s">
        <v>504</v>
      </c>
      <c r="E281" s="282" t="s">
        <v>220</v>
      </c>
      <c r="F281" s="283">
        <v>3.1</v>
      </c>
      <c r="G281" s="284">
        <f t="shared" si="22"/>
        <v>96.100000000000009</v>
      </c>
      <c r="H281" s="285">
        <v>647</v>
      </c>
      <c r="I281" s="286">
        <f t="shared" si="23"/>
        <v>3.57</v>
      </c>
    </row>
    <row r="282" spans="1:9" ht="15.75" x14ac:dyDescent="0.25">
      <c r="A282" s="288" t="s">
        <v>556</v>
      </c>
      <c r="B282" s="281" t="s">
        <v>495</v>
      </c>
      <c r="C282" s="281" t="s">
        <v>523</v>
      </c>
      <c r="D282" s="281" t="s">
        <v>523</v>
      </c>
      <c r="E282" s="281" t="s">
        <v>222</v>
      </c>
      <c r="F282" s="283">
        <v>3.9</v>
      </c>
      <c r="G282" s="284">
        <f t="shared" ref="G282:G290" si="24">F282*$D$3</f>
        <v>120.89999999999999</v>
      </c>
      <c r="H282" s="285">
        <v>844</v>
      </c>
      <c r="I282" s="286">
        <f t="shared" ref="I282:I290" si="25">ROUND(F282*1.15,2)</f>
        <v>4.49</v>
      </c>
    </row>
    <row r="283" spans="1:9" ht="15.75" x14ac:dyDescent="0.25">
      <c r="A283" s="288" t="s">
        <v>556</v>
      </c>
      <c r="B283" s="281" t="s">
        <v>495</v>
      </c>
      <c r="C283" s="281" t="s">
        <v>524</v>
      </c>
      <c r="D283" s="281" t="s">
        <v>520</v>
      </c>
      <c r="E283" s="282" t="s">
        <v>220</v>
      </c>
      <c r="F283" s="283">
        <v>3.8</v>
      </c>
      <c r="G283" s="284">
        <f t="shared" si="24"/>
        <v>117.8</v>
      </c>
      <c r="H283" s="285">
        <v>823</v>
      </c>
      <c r="I283" s="286">
        <f t="shared" si="25"/>
        <v>4.37</v>
      </c>
    </row>
    <row r="284" spans="1:9" ht="15.75" x14ac:dyDescent="0.25">
      <c r="A284" s="288" t="s">
        <v>556</v>
      </c>
      <c r="B284" s="281" t="s">
        <v>495</v>
      </c>
      <c r="C284" s="281" t="s">
        <v>525</v>
      </c>
      <c r="D284" s="281" t="s">
        <v>525</v>
      </c>
      <c r="E284" s="281" t="s">
        <v>222</v>
      </c>
      <c r="F284" s="283">
        <v>3</v>
      </c>
      <c r="G284" s="284">
        <f t="shared" si="24"/>
        <v>93</v>
      </c>
      <c r="H284" s="285">
        <v>632</v>
      </c>
      <c r="I284" s="286">
        <f t="shared" si="25"/>
        <v>3.45</v>
      </c>
    </row>
    <row r="285" spans="1:9" ht="15.75" x14ac:dyDescent="0.25">
      <c r="A285" s="288" t="s">
        <v>556</v>
      </c>
      <c r="B285" s="281" t="s">
        <v>495</v>
      </c>
      <c r="C285" s="281" t="s">
        <v>526</v>
      </c>
      <c r="D285" s="281" t="s">
        <v>526</v>
      </c>
      <c r="E285" s="281" t="s">
        <v>222</v>
      </c>
      <c r="F285" s="283">
        <v>3.2</v>
      </c>
      <c r="G285" s="284">
        <f t="shared" si="24"/>
        <v>99.2</v>
      </c>
      <c r="H285" s="285">
        <v>662</v>
      </c>
      <c r="I285" s="286">
        <f t="shared" si="25"/>
        <v>3.68</v>
      </c>
    </row>
    <row r="286" spans="1:9" ht="15.75" x14ac:dyDescent="0.25">
      <c r="A286" s="288" t="s">
        <v>556</v>
      </c>
      <c r="B286" s="281" t="s">
        <v>495</v>
      </c>
      <c r="C286" s="281" t="s">
        <v>527</v>
      </c>
      <c r="D286" s="281" t="s">
        <v>528</v>
      </c>
      <c r="E286" s="282" t="s">
        <v>346</v>
      </c>
      <c r="F286" s="283">
        <v>3.2</v>
      </c>
      <c r="G286" s="284">
        <f t="shared" si="24"/>
        <v>99.2</v>
      </c>
      <c r="H286" s="285">
        <v>672</v>
      </c>
      <c r="I286" s="286">
        <f t="shared" si="25"/>
        <v>3.68</v>
      </c>
    </row>
    <row r="287" spans="1:9" ht="15.75" x14ac:dyDescent="0.25">
      <c r="A287" s="288" t="s">
        <v>556</v>
      </c>
      <c r="B287" s="281" t="s">
        <v>495</v>
      </c>
      <c r="C287" s="281" t="s">
        <v>529</v>
      </c>
      <c r="D287" s="281" t="s">
        <v>509</v>
      </c>
      <c r="E287" s="282" t="s">
        <v>220</v>
      </c>
      <c r="F287" s="283">
        <v>3.1</v>
      </c>
      <c r="G287" s="284">
        <f t="shared" si="24"/>
        <v>96.100000000000009</v>
      </c>
      <c r="H287" s="285">
        <v>636</v>
      </c>
      <c r="I287" s="286">
        <f t="shared" si="25"/>
        <v>3.57</v>
      </c>
    </row>
    <row r="288" spans="1:9" ht="15.75" x14ac:dyDescent="0.25">
      <c r="A288" s="288" t="s">
        <v>556</v>
      </c>
      <c r="B288" s="281" t="s">
        <v>495</v>
      </c>
      <c r="C288" s="281" t="s">
        <v>530</v>
      </c>
      <c r="D288" s="281" t="s">
        <v>530</v>
      </c>
      <c r="E288" s="281" t="s">
        <v>222</v>
      </c>
      <c r="F288" s="283">
        <v>3.9</v>
      </c>
      <c r="G288" s="284">
        <f t="shared" si="24"/>
        <v>120.89999999999999</v>
      </c>
      <c r="H288" s="285">
        <v>848</v>
      </c>
      <c r="I288" s="286">
        <f t="shared" si="25"/>
        <v>4.49</v>
      </c>
    </row>
    <row r="289" spans="1:9" ht="15.75" x14ac:dyDescent="0.25">
      <c r="A289" s="288" t="s">
        <v>556</v>
      </c>
      <c r="B289" s="281" t="s">
        <v>495</v>
      </c>
      <c r="C289" s="281" t="s">
        <v>531</v>
      </c>
      <c r="D289" s="281" t="s">
        <v>532</v>
      </c>
      <c r="E289" s="282" t="s">
        <v>220</v>
      </c>
      <c r="F289" s="283">
        <v>3.5</v>
      </c>
      <c r="G289" s="284">
        <f t="shared" si="24"/>
        <v>108.5</v>
      </c>
      <c r="H289" s="285">
        <v>745</v>
      </c>
      <c r="I289" s="286">
        <f t="shared" si="25"/>
        <v>4.03</v>
      </c>
    </row>
    <row r="290" spans="1:9" ht="15.75" x14ac:dyDescent="0.25">
      <c r="A290" s="288" t="s">
        <v>556</v>
      </c>
      <c r="B290" s="281" t="s">
        <v>495</v>
      </c>
      <c r="C290" s="281" t="s">
        <v>533</v>
      </c>
      <c r="D290" s="281" t="s">
        <v>533</v>
      </c>
      <c r="E290" s="281" t="s">
        <v>222</v>
      </c>
      <c r="F290" s="283">
        <v>3.9</v>
      </c>
      <c r="G290" s="284">
        <f t="shared" si="24"/>
        <v>120.89999999999999</v>
      </c>
      <c r="H290" s="285">
        <v>845</v>
      </c>
      <c r="I290" s="286">
        <f t="shared" si="25"/>
        <v>4.49</v>
      </c>
    </row>
    <row r="292" spans="1:9" x14ac:dyDescent="0.25">
      <c r="B292" s="278" t="s">
        <v>534</v>
      </c>
    </row>
    <row r="293" spans="1:9" x14ac:dyDescent="0.25">
      <c r="B293" s="287" t="s">
        <v>535</v>
      </c>
    </row>
    <row r="294" spans="1:9" x14ac:dyDescent="0.25">
      <c r="B294" s="287" t="s">
        <v>536</v>
      </c>
    </row>
    <row r="295" spans="1:9" x14ac:dyDescent="0.25">
      <c r="B295" s="287" t="s">
        <v>537</v>
      </c>
    </row>
    <row r="296" spans="1:9" x14ac:dyDescent="0.25">
      <c r="B296" s="287" t="s">
        <v>538</v>
      </c>
    </row>
    <row r="297" spans="1:9" x14ac:dyDescent="0.25">
      <c r="B297" s="287" t="s">
        <v>539</v>
      </c>
    </row>
    <row r="300" spans="1:9" x14ac:dyDescent="0.25">
      <c r="B300" s="291" t="s">
        <v>560</v>
      </c>
      <c r="C300" s="291" t="s">
        <v>561</v>
      </c>
    </row>
    <row r="301" spans="1:9" x14ac:dyDescent="0.25">
      <c r="B301" s="292" t="s">
        <v>562</v>
      </c>
      <c r="C301" s="293">
        <v>1</v>
      </c>
    </row>
    <row r="302" spans="1:9" x14ac:dyDescent="0.25">
      <c r="B302" s="294" t="s">
        <v>563</v>
      </c>
      <c r="C302" s="295">
        <v>1.1000000000000001</v>
      </c>
    </row>
    <row r="303" spans="1:9" x14ac:dyDescent="0.25">
      <c r="B303" s="294" t="s">
        <v>564</v>
      </c>
      <c r="C303" s="295">
        <v>1.1000000000000001</v>
      </c>
    </row>
    <row r="304" spans="1:9" x14ac:dyDescent="0.25">
      <c r="B304" s="294" t="s">
        <v>164</v>
      </c>
      <c r="C304" s="295">
        <v>1.05</v>
      </c>
    </row>
    <row r="305" spans="2:3" x14ac:dyDescent="0.25">
      <c r="B305" s="292" t="s">
        <v>565</v>
      </c>
      <c r="C305" s="293">
        <v>1.2</v>
      </c>
    </row>
    <row r="306" spans="2:3" x14ac:dyDescent="0.25">
      <c r="B306" s="294" t="s">
        <v>187</v>
      </c>
      <c r="C306" s="295">
        <v>0.75</v>
      </c>
    </row>
    <row r="307" spans="2:3" x14ac:dyDescent="0.25">
      <c r="B307" s="294" t="s">
        <v>566</v>
      </c>
      <c r="C307" s="295">
        <v>1.1000000000000001</v>
      </c>
    </row>
    <row r="308" spans="2:3" x14ac:dyDescent="0.25">
      <c r="B308" s="294" t="s">
        <v>567</v>
      </c>
      <c r="C308" s="295">
        <v>0.85</v>
      </c>
    </row>
    <row r="309" spans="2:3" x14ac:dyDescent="0.25">
      <c r="B309" s="294" t="s">
        <v>568</v>
      </c>
      <c r="C309" s="295">
        <v>1.05</v>
      </c>
    </row>
    <row r="310" spans="2:3" x14ac:dyDescent="0.25">
      <c r="B310" s="294" t="s">
        <v>165</v>
      </c>
      <c r="C310" s="295">
        <v>1</v>
      </c>
    </row>
    <row r="311" spans="2:3" x14ac:dyDescent="0.25">
      <c r="B311" s="292" t="s">
        <v>569</v>
      </c>
      <c r="C311" s="293">
        <v>0.8</v>
      </c>
    </row>
    <row r="312" spans="2:3" x14ac:dyDescent="0.25">
      <c r="B312" s="292" t="s">
        <v>570</v>
      </c>
      <c r="C312" s="293">
        <v>0.9</v>
      </c>
    </row>
    <row r="313" spans="2:3" x14ac:dyDescent="0.25">
      <c r="B313" s="292" t="s">
        <v>571</v>
      </c>
      <c r="C313" s="293">
        <v>0.9</v>
      </c>
    </row>
    <row r="314" spans="2:3" x14ac:dyDescent="0.25">
      <c r="B314" s="294" t="s">
        <v>572</v>
      </c>
      <c r="C314" s="295">
        <v>1</v>
      </c>
    </row>
    <row r="315" spans="2:3" x14ac:dyDescent="0.25">
      <c r="B315" s="294" t="s">
        <v>573</v>
      </c>
      <c r="C315" s="295">
        <v>0.9</v>
      </c>
    </row>
    <row r="316" spans="2:3" x14ac:dyDescent="0.25">
      <c r="B316" s="294" t="s">
        <v>574</v>
      </c>
      <c r="C316" s="295">
        <v>0.9</v>
      </c>
    </row>
    <row r="317" spans="2:3" x14ac:dyDescent="0.25">
      <c r="B317" s="292" t="s">
        <v>575</v>
      </c>
      <c r="C317" s="293">
        <v>0.95</v>
      </c>
    </row>
    <row r="318" spans="2:3" x14ac:dyDescent="0.25">
      <c r="B318" s="292" t="s">
        <v>576</v>
      </c>
      <c r="C318" s="293">
        <v>1.05</v>
      </c>
    </row>
    <row r="319" spans="2:3" x14ac:dyDescent="0.25">
      <c r="B319" s="294" t="s">
        <v>577</v>
      </c>
      <c r="C319" s="295">
        <v>1.05</v>
      </c>
    </row>
    <row r="320" spans="2:3" x14ac:dyDescent="0.25">
      <c r="B320" s="292" t="s">
        <v>578</v>
      </c>
      <c r="C320" s="293">
        <v>0.8</v>
      </c>
    </row>
    <row r="321" spans="2:3" x14ac:dyDescent="0.25">
      <c r="B321" s="292" t="s">
        <v>579</v>
      </c>
      <c r="C321" s="293">
        <v>0.95</v>
      </c>
    </row>
    <row r="322" spans="2:3" x14ac:dyDescent="0.25">
      <c r="B322" s="292" t="s">
        <v>580</v>
      </c>
      <c r="C322" s="293">
        <v>0.85</v>
      </c>
    </row>
    <row r="323" spans="2:3" x14ac:dyDescent="0.25">
      <c r="B323" s="294" t="s">
        <v>581</v>
      </c>
      <c r="C323" s="295">
        <v>1.1000000000000001</v>
      </c>
    </row>
    <row r="324" spans="2:3" x14ac:dyDescent="0.25">
      <c r="B324" s="294" t="s">
        <v>582</v>
      </c>
      <c r="C324" s="295">
        <v>0.75</v>
      </c>
    </row>
    <row r="325" spans="2:3" x14ac:dyDescent="0.25">
      <c r="B325" s="292" t="s">
        <v>583</v>
      </c>
      <c r="C325" s="293">
        <v>0.8</v>
      </c>
    </row>
    <row r="326" spans="2:3" x14ac:dyDescent="0.25">
      <c r="B326" s="292" t="s">
        <v>584</v>
      </c>
      <c r="C326" s="293">
        <v>1.05</v>
      </c>
    </row>
    <row r="327" spans="2:3" x14ac:dyDescent="0.25">
      <c r="B327" s="292" t="s">
        <v>585</v>
      </c>
      <c r="C327" s="293">
        <v>1.2</v>
      </c>
    </row>
    <row r="328" spans="2:3" x14ac:dyDescent="0.25">
      <c r="B328" s="294" t="s">
        <v>586</v>
      </c>
      <c r="C328" s="295">
        <v>0.75</v>
      </c>
    </row>
    <row r="329" spans="2:3" x14ac:dyDescent="0.25">
      <c r="B329" s="292" t="s">
        <v>587</v>
      </c>
      <c r="C329" s="293">
        <v>0.75</v>
      </c>
    </row>
    <row r="330" spans="2:3" x14ac:dyDescent="0.25">
      <c r="B330" s="294" t="s">
        <v>588</v>
      </c>
      <c r="C330" s="295">
        <v>1</v>
      </c>
    </row>
    <row r="331" spans="2:3" x14ac:dyDescent="0.25">
      <c r="B331" s="294" t="s">
        <v>589</v>
      </c>
      <c r="C331" s="295">
        <v>1</v>
      </c>
    </row>
    <row r="332" spans="2:3" x14ac:dyDescent="0.25">
      <c r="B332" s="292" t="s">
        <v>590</v>
      </c>
      <c r="C332" s="293">
        <v>0.9</v>
      </c>
    </row>
    <row r="333" spans="2:3" x14ac:dyDescent="0.25">
      <c r="B333" s="292" t="s">
        <v>591</v>
      </c>
      <c r="C333" s="293">
        <v>1.05</v>
      </c>
    </row>
    <row r="334" spans="2:3" x14ac:dyDescent="0.25">
      <c r="B334" s="294" t="s">
        <v>592</v>
      </c>
      <c r="C334" s="295">
        <v>0.75</v>
      </c>
    </row>
    <row r="335" spans="2:3" x14ac:dyDescent="0.25">
      <c r="B335" s="294" t="s">
        <v>593</v>
      </c>
      <c r="C335" s="295">
        <v>0.9</v>
      </c>
    </row>
    <row r="336" spans="2:3" x14ac:dyDescent="0.25">
      <c r="B336" s="294" t="s">
        <v>594</v>
      </c>
      <c r="C336" s="295">
        <v>1.1399999999999999</v>
      </c>
    </row>
    <row r="337" spans="2:3" x14ac:dyDescent="0.25">
      <c r="B337" s="292" t="s">
        <v>595</v>
      </c>
      <c r="C337" s="293">
        <v>1.1000000000000001</v>
      </c>
    </row>
    <row r="338" spans="2:3" x14ac:dyDescent="0.25">
      <c r="B338" s="294" t="s">
        <v>596</v>
      </c>
      <c r="C338" s="295">
        <v>0.55000000000000004</v>
      </c>
    </row>
    <row r="339" spans="2:3" x14ac:dyDescent="0.25">
      <c r="B339" s="294" t="s">
        <v>597</v>
      </c>
      <c r="C339" s="295">
        <v>0.8</v>
      </c>
    </row>
    <row r="340" spans="2:3" x14ac:dyDescent="0.25">
      <c r="B340" s="294" t="s">
        <v>598</v>
      </c>
      <c r="C340" s="295">
        <v>0.85</v>
      </c>
    </row>
    <row r="341" spans="2:3" x14ac:dyDescent="0.25">
      <c r="B341" s="294" t="s">
        <v>599</v>
      </c>
      <c r="C341" s="295">
        <v>1.1000000000000001</v>
      </c>
    </row>
    <row r="342" spans="2:3" x14ac:dyDescent="0.25">
      <c r="B342" s="294" t="s">
        <v>600</v>
      </c>
      <c r="C342" s="295">
        <v>0.9</v>
      </c>
    </row>
    <row r="343" spans="2:3" x14ac:dyDescent="0.25">
      <c r="B343" s="292" t="s">
        <v>601</v>
      </c>
      <c r="C343" s="293">
        <v>1.05</v>
      </c>
    </row>
    <row r="344" spans="2:3" x14ac:dyDescent="0.25">
      <c r="B344" s="292" t="s">
        <v>602</v>
      </c>
      <c r="C344" s="293">
        <v>1.1000000000000001</v>
      </c>
    </row>
    <row r="345" spans="2:3" x14ac:dyDescent="0.25">
      <c r="B345" s="294" t="s">
        <v>603</v>
      </c>
      <c r="C345" s="295">
        <v>0.75</v>
      </c>
    </row>
    <row r="346" spans="2:3" x14ac:dyDescent="0.25">
      <c r="B346" s="292" t="s">
        <v>604</v>
      </c>
      <c r="C346" s="293">
        <v>1.1000000000000001</v>
      </c>
    </row>
    <row r="347" spans="2:3" x14ac:dyDescent="0.25">
      <c r="B347" s="292" t="s">
        <v>605</v>
      </c>
      <c r="C347" s="293">
        <v>0.95</v>
      </c>
    </row>
    <row r="348" spans="2:3" x14ac:dyDescent="0.25">
      <c r="B348" s="292" t="s">
        <v>606</v>
      </c>
      <c r="C348" s="293">
        <v>1.2</v>
      </c>
    </row>
    <row r="349" spans="2:3" x14ac:dyDescent="0.25">
      <c r="B349" s="294" t="s">
        <v>607</v>
      </c>
      <c r="C349" s="295">
        <v>1</v>
      </c>
    </row>
    <row r="350" spans="2:3" x14ac:dyDescent="0.25">
      <c r="B350" s="294" t="s">
        <v>608</v>
      </c>
      <c r="C350" s="295">
        <v>0.8</v>
      </c>
    </row>
    <row r="351" spans="2:3" x14ac:dyDescent="0.25">
      <c r="B351" s="294" t="s">
        <v>609</v>
      </c>
      <c r="C351" s="295">
        <v>1</v>
      </c>
    </row>
    <row r="352" spans="2:3" x14ac:dyDescent="0.25">
      <c r="B352" s="294" t="s">
        <v>610</v>
      </c>
      <c r="C352" s="295">
        <v>0.4</v>
      </c>
    </row>
    <row r="353" spans="2:3" x14ac:dyDescent="0.25">
      <c r="B353" s="294" t="s">
        <v>611</v>
      </c>
      <c r="C353" s="295">
        <v>0.85</v>
      </c>
    </row>
    <row r="354" spans="2:3" x14ac:dyDescent="0.25">
      <c r="B354" s="292" t="s">
        <v>612</v>
      </c>
      <c r="C354" s="293">
        <v>0.75</v>
      </c>
    </row>
    <row r="355" spans="2:3" x14ac:dyDescent="0.25">
      <c r="B355" s="294" t="s">
        <v>613</v>
      </c>
      <c r="C355" s="295">
        <v>0.5</v>
      </c>
    </row>
  </sheetData>
  <autoFilter ref="B5:H290" xr:uid="{00000000-0009-0000-0000-000000000000}"/>
  <pageMargins left="0.75" right="0.75" top="1" bottom="1" header="0.511811023622047" footer="0.511811023622047"/>
  <pageSetup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742AA-48E2-4605-B1E6-04CA6CCAA6CA}">
  <sheetPr codeName="Hoja11"/>
  <dimension ref="A1:L37"/>
  <sheetViews>
    <sheetView workbookViewId="0"/>
  </sheetViews>
  <sheetFormatPr baseColWidth="10" defaultRowHeight="15" x14ac:dyDescent="0.25"/>
  <sheetData>
    <row r="1" spans="1:12" x14ac:dyDescent="0.25">
      <c r="A1" t="s">
        <v>559</v>
      </c>
      <c r="B1" t="s">
        <v>541</v>
      </c>
      <c r="C1" t="s">
        <v>542</v>
      </c>
      <c r="D1" t="s">
        <v>543</v>
      </c>
      <c r="E1" t="s">
        <v>544</v>
      </c>
      <c r="F1" t="s">
        <v>545</v>
      </c>
      <c r="G1" t="s">
        <v>546</v>
      </c>
      <c r="H1" t="s">
        <v>155</v>
      </c>
      <c r="I1" t="s">
        <v>551</v>
      </c>
      <c r="J1" t="s">
        <v>553</v>
      </c>
      <c r="K1" t="s">
        <v>555</v>
      </c>
      <c r="L1" t="s">
        <v>556</v>
      </c>
    </row>
    <row r="2" spans="1:12" x14ac:dyDescent="0.25">
      <c r="A2" t="s">
        <v>541</v>
      </c>
      <c r="B2" t="s">
        <v>218</v>
      </c>
      <c r="C2" t="s">
        <v>231</v>
      </c>
      <c r="D2" t="s">
        <v>250</v>
      </c>
      <c r="E2" t="s">
        <v>290</v>
      </c>
      <c r="F2" t="s">
        <v>327</v>
      </c>
      <c r="G2" t="s">
        <v>364</v>
      </c>
      <c r="H2" t="s">
        <v>145</v>
      </c>
      <c r="I2" t="s">
        <v>417</v>
      </c>
      <c r="J2" t="s">
        <v>454</v>
      </c>
      <c r="K2" t="s">
        <v>489</v>
      </c>
      <c r="L2" t="s">
        <v>501</v>
      </c>
    </row>
    <row r="3" spans="1:12" x14ac:dyDescent="0.25">
      <c r="A3" t="s">
        <v>542</v>
      </c>
      <c r="B3" t="s">
        <v>221</v>
      </c>
      <c r="C3" t="s">
        <v>232</v>
      </c>
      <c r="D3" t="s">
        <v>251</v>
      </c>
      <c r="E3" t="s">
        <v>292</v>
      </c>
      <c r="F3" t="s">
        <v>329</v>
      </c>
      <c r="G3" t="s">
        <v>365</v>
      </c>
      <c r="H3" t="s">
        <v>115</v>
      </c>
      <c r="I3" t="s">
        <v>419</v>
      </c>
      <c r="J3" t="s">
        <v>455</v>
      </c>
      <c r="K3" t="s">
        <v>491</v>
      </c>
      <c r="L3" t="s">
        <v>502</v>
      </c>
    </row>
    <row r="4" spans="1:12" x14ac:dyDescent="0.25">
      <c r="A4" t="s">
        <v>543</v>
      </c>
      <c r="B4" t="s">
        <v>223</v>
      </c>
      <c r="C4" t="s">
        <v>234</v>
      </c>
      <c r="D4" t="s">
        <v>252</v>
      </c>
      <c r="E4" t="s">
        <v>293</v>
      </c>
      <c r="F4" t="s">
        <v>330</v>
      </c>
      <c r="G4" t="s">
        <v>366</v>
      </c>
      <c r="H4" t="s">
        <v>396</v>
      </c>
      <c r="I4" t="s">
        <v>420</v>
      </c>
      <c r="J4" t="s">
        <v>456</v>
      </c>
      <c r="K4" t="s">
        <v>492</v>
      </c>
      <c r="L4" t="s">
        <v>504</v>
      </c>
    </row>
    <row r="5" spans="1:12" x14ac:dyDescent="0.25">
      <c r="A5" t="s">
        <v>544</v>
      </c>
      <c r="B5" t="s">
        <v>224</v>
      </c>
      <c r="C5" t="s">
        <v>235</v>
      </c>
      <c r="D5" t="s">
        <v>254</v>
      </c>
      <c r="E5" t="s">
        <v>295</v>
      </c>
      <c r="F5" t="s">
        <v>331</v>
      </c>
      <c r="G5" t="s">
        <v>368</v>
      </c>
      <c r="H5" t="s">
        <v>397</v>
      </c>
      <c r="I5" t="s">
        <v>421</v>
      </c>
      <c r="J5" t="s">
        <v>457</v>
      </c>
      <c r="K5" t="s">
        <v>493</v>
      </c>
      <c r="L5" t="s">
        <v>505</v>
      </c>
    </row>
    <row r="6" spans="1:12" x14ac:dyDescent="0.25">
      <c r="A6" t="s">
        <v>545</v>
      </c>
      <c r="B6" t="s">
        <v>225</v>
      </c>
      <c r="C6" t="s">
        <v>236</v>
      </c>
      <c r="D6" t="s">
        <v>255</v>
      </c>
      <c r="E6" t="s">
        <v>296</v>
      </c>
      <c r="F6" t="s">
        <v>332</v>
      </c>
      <c r="G6" t="s">
        <v>369</v>
      </c>
      <c r="H6" t="s">
        <v>398</v>
      </c>
      <c r="I6" t="s">
        <v>422</v>
      </c>
      <c r="J6" t="s">
        <v>458</v>
      </c>
      <c r="K6" t="s">
        <v>494</v>
      </c>
      <c r="L6" t="s">
        <v>506</v>
      </c>
    </row>
    <row r="7" spans="1:12" x14ac:dyDescent="0.25">
      <c r="A7" t="s">
        <v>546</v>
      </c>
      <c r="B7" t="s">
        <v>227</v>
      </c>
      <c r="C7" t="s">
        <v>237</v>
      </c>
      <c r="D7" t="s">
        <v>256</v>
      </c>
      <c r="E7" t="s">
        <v>297</v>
      </c>
      <c r="F7" t="s">
        <v>333</v>
      </c>
      <c r="G7" t="s">
        <v>370</v>
      </c>
      <c r="H7" t="s">
        <v>399</v>
      </c>
      <c r="I7" t="s">
        <v>423</v>
      </c>
      <c r="J7" t="s">
        <v>459</v>
      </c>
      <c r="K7" t="s">
        <v>495</v>
      </c>
      <c r="L7" t="s">
        <v>507</v>
      </c>
    </row>
    <row r="8" spans="1:12" x14ac:dyDescent="0.25">
      <c r="A8" t="s">
        <v>155</v>
      </c>
      <c r="B8" t="s">
        <v>228</v>
      </c>
      <c r="C8" t="s">
        <v>239</v>
      </c>
      <c r="D8" t="s">
        <v>257</v>
      </c>
      <c r="E8" t="s">
        <v>298</v>
      </c>
      <c r="F8" t="s">
        <v>334</v>
      </c>
      <c r="G8" t="s">
        <v>371</v>
      </c>
      <c r="H8" t="s">
        <v>400</v>
      </c>
      <c r="I8" t="s">
        <v>424</v>
      </c>
      <c r="J8" t="s">
        <v>460</v>
      </c>
      <c r="K8" t="s">
        <v>496</v>
      </c>
      <c r="L8" t="s">
        <v>509</v>
      </c>
    </row>
    <row r="9" spans="1:12" x14ac:dyDescent="0.25">
      <c r="A9" t="s">
        <v>551</v>
      </c>
      <c r="B9" t="s">
        <v>229</v>
      </c>
      <c r="C9" t="s">
        <v>240</v>
      </c>
      <c r="D9" t="s">
        <v>258</v>
      </c>
      <c r="E9" t="s">
        <v>299</v>
      </c>
      <c r="F9" t="s">
        <v>335</v>
      </c>
      <c r="G9" t="s">
        <v>372</v>
      </c>
      <c r="H9" t="s">
        <v>401</v>
      </c>
      <c r="I9" t="s">
        <v>425</v>
      </c>
      <c r="J9" t="s">
        <v>462</v>
      </c>
      <c r="K9" t="s">
        <v>497</v>
      </c>
      <c r="L9" t="s">
        <v>510</v>
      </c>
    </row>
    <row r="10" spans="1:12" x14ac:dyDescent="0.25">
      <c r="A10" t="s">
        <v>553</v>
      </c>
      <c r="B10" t="s">
        <v>230</v>
      </c>
      <c r="C10" t="s">
        <v>241</v>
      </c>
      <c r="D10" t="s">
        <v>259</v>
      </c>
      <c r="E10" t="s">
        <v>300</v>
      </c>
      <c r="F10" t="s">
        <v>336</v>
      </c>
      <c r="G10" t="s">
        <v>374</v>
      </c>
      <c r="H10" t="s">
        <v>402</v>
      </c>
      <c r="I10" t="s">
        <v>426</v>
      </c>
      <c r="J10" t="s">
        <v>463</v>
      </c>
      <c r="K10" t="s">
        <v>498</v>
      </c>
      <c r="L10" t="s">
        <v>511</v>
      </c>
    </row>
    <row r="11" spans="1:12" x14ac:dyDescent="0.25">
      <c r="A11" t="s">
        <v>555</v>
      </c>
      <c r="C11" t="s">
        <v>242</v>
      </c>
      <c r="D11" t="s">
        <v>260</v>
      </c>
      <c r="E11" t="s">
        <v>301</v>
      </c>
      <c r="F11" t="s">
        <v>337</v>
      </c>
      <c r="G11" t="s">
        <v>375</v>
      </c>
      <c r="H11" t="s">
        <v>404</v>
      </c>
      <c r="I11" t="s">
        <v>427</v>
      </c>
      <c r="J11" t="s">
        <v>464</v>
      </c>
      <c r="K11" t="s">
        <v>499</v>
      </c>
      <c r="L11" t="s">
        <v>512</v>
      </c>
    </row>
    <row r="12" spans="1:12" x14ac:dyDescent="0.25">
      <c r="A12" t="s">
        <v>556</v>
      </c>
      <c r="C12" t="s">
        <v>243</v>
      </c>
      <c r="D12" t="s">
        <v>261</v>
      </c>
      <c r="E12" t="s">
        <v>302</v>
      </c>
      <c r="F12" t="s">
        <v>338</v>
      </c>
      <c r="G12" t="s">
        <v>376</v>
      </c>
      <c r="H12" t="s">
        <v>405</v>
      </c>
      <c r="I12" t="s">
        <v>428</v>
      </c>
      <c r="J12" t="s">
        <v>465</v>
      </c>
      <c r="K12" t="s">
        <v>500</v>
      </c>
      <c r="L12" t="s">
        <v>513</v>
      </c>
    </row>
    <row r="13" spans="1:12" x14ac:dyDescent="0.25">
      <c r="C13" t="s">
        <v>245</v>
      </c>
      <c r="D13" t="s">
        <v>262</v>
      </c>
      <c r="E13" t="s">
        <v>303</v>
      </c>
      <c r="F13" t="s">
        <v>339</v>
      </c>
      <c r="G13" t="s">
        <v>377</v>
      </c>
      <c r="H13" t="s">
        <v>406</v>
      </c>
      <c r="I13" t="s">
        <v>429</v>
      </c>
      <c r="J13" t="s">
        <v>466</v>
      </c>
      <c r="K13" t="s">
        <v>490</v>
      </c>
      <c r="L13" t="s">
        <v>515</v>
      </c>
    </row>
    <row r="14" spans="1:12" x14ac:dyDescent="0.25">
      <c r="C14" t="s">
        <v>246</v>
      </c>
      <c r="D14" t="s">
        <v>264</v>
      </c>
      <c r="E14" t="s">
        <v>304</v>
      </c>
      <c r="F14" t="s">
        <v>340</v>
      </c>
      <c r="G14" t="s">
        <v>379</v>
      </c>
      <c r="H14" t="s">
        <v>407</v>
      </c>
      <c r="I14" t="s">
        <v>431</v>
      </c>
      <c r="J14" t="s">
        <v>467</v>
      </c>
      <c r="L14" t="s">
        <v>516</v>
      </c>
    </row>
    <row r="15" spans="1:12" x14ac:dyDescent="0.25">
      <c r="C15" t="s">
        <v>248</v>
      </c>
      <c r="D15" t="s">
        <v>265</v>
      </c>
      <c r="E15" t="s">
        <v>305</v>
      </c>
      <c r="F15" t="s">
        <v>341</v>
      </c>
      <c r="G15" t="s">
        <v>380</v>
      </c>
      <c r="H15" t="s">
        <v>408</v>
      </c>
      <c r="I15" t="s">
        <v>432</v>
      </c>
      <c r="J15" t="s">
        <v>468</v>
      </c>
      <c r="L15" t="s">
        <v>517</v>
      </c>
    </row>
    <row r="16" spans="1:12" x14ac:dyDescent="0.25">
      <c r="C16" t="s">
        <v>249</v>
      </c>
      <c r="D16" t="s">
        <v>266</v>
      </c>
      <c r="E16" t="s">
        <v>306</v>
      </c>
      <c r="F16" t="s">
        <v>342</v>
      </c>
      <c r="G16" t="s">
        <v>381</v>
      </c>
      <c r="H16" t="s">
        <v>409</v>
      </c>
      <c r="I16" t="s">
        <v>433</v>
      </c>
      <c r="J16" t="s">
        <v>469</v>
      </c>
      <c r="L16" t="s">
        <v>518</v>
      </c>
    </row>
    <row r="17" spans="4:12" x14ac:dyDescent="0.25">
      <c r="D17" t="s">
        <v>253</v>
      </c>
      <c r="E17" t="s">
        <v>308</v>
      </c>
      <c r="F17" t="s">
        <v>328</v>
      </c>
      <c r="G17" t="s">
        <v>382</v>
      </c>
      <c r="H17" t="s">
        <v>410</v>
      </c>
      <c r="I17" t="s">
        <v>434</v>
      </c>
      <c r="J17" t="s">
        <v>471</v>
      </c>
      <c r="L17" t="s">
        <v>519</v>
      </c>
    </row>
    <row r="18" spans="4:12" x14ac:dyDescent="0.25">
      <c r="D18" t="s">
        <v>268</v>
      </c>
      <c r="E18" t="s">
        <v>309</v>
      </c>
      <c r="F18" t="s">
        <v>344</v>
      </c>
      <c r="G18" t="s">
        <v>383</v>
      </c>
      <c r="H18" t="s">
        <v>411</v>
      </c>
      <c r="I18" t="s">
        <v>435</v>
      </c>
      <c r="J18" t="s">
        <v>473</v>
      </c>
      <c r="L18" t="s">
        <v>514</v>
      </c>
    </row>
    <row r="19" spans="4:12" x14ac:dyDescent="0.25">
      <c r="D19" t="s">
        <v>269</v>
      </c>
      <c r="E19" t="s">
        <v>310</v>
      </c>
      <c r="F19" t="s">
        <v>347</v>
      </c>
      <c r="G19" t="s">
        <v>384</v>
      </c>
      <c r="H19" t="s">
        <v>413</v>
      </c>
      <c r="I19" t="s">
        <v>436</v>
      </c>
      <c r="J19" t="s">
        <v>474</v>
      </c>
      <c r="L19" t="s">
        <v>503</v>
      </c>
    </row>
    <row r="20" spans="4:12" x14ac:dyDescent="0.25">
      <c r="D20" t="s">
        <v>270</v>
      </c>
      <c r="E20" t="s">
        <v>311</v>
      </c>
      <c r="F20" t="s">
        <v>348</v>
      </c>
      <c r="G20" t="s">
        <v>385</v>
      </c>
      <c r="H20" t="s">
        <v>414</v>
      </c>
      <c r="I20" t="s">
        <v>437</v>
      </c>
      <c r="J20" t="s">
        <v>475</v>
      </c>
      <c r="L20" t="s">
        <v>520</v>
      </c>
    </row>
    <row r="21" spans="4:12" x14ac:dyDescent="0.25">
      <c r="D21" t="s">
        <v>272</v>
      </c>
      <c r="E21" t="s">
        <v>312</v>
      </c>
      <c r="F21" t="s">
        <v>350</v>
      </c>
      <c r="G21" t="s">
        <v>386</v>
      </c>
      <c r="H21" t="s">
        <v>415</v>
      </c>
      <c r="I21" t="s">
        <v>438</v>
      </c>
      <c r="J21" t="s">
        <v>476</v>
      </c>
      <c r="L21" t="s">
        <v>521</v>
      </c>
    </row>
    <row r="22" spans="4:12" x14ac:dyDescent="0.25">
      <c r="D22" t="s">
        <v>273</v>
      </c>
      <c r="E22" t="s">
        <v>314</v>
      </c>
      <c r="F22" t="s">
        <v>351</v>
      </c>
      <c r="G22" t="s">
        <v>387</v>
      </c>
      <c r="H22" t="s">
        <v>416</v>
      </c>
      <c r="I22" t="s">
        <v>439</v>
      </c>
      <c r="J22" t="s">
        <v>477</v>
      </c>
      <c r="L22" t="s">
        <v>522</v>
      </c>
    </row>
    <row r="23" spans="4:12" x14ac:dyDescent="0.25">
      <c r="D23" t="s">
        <v>274</v>
      </c>
      <c r="E23" t="s">
        <v>315</v>
      </c>
      <c r="F23" t="s">
        <v>352</v>
      </c>
      <c r="G23" t="s">
        <v>388</v>
      </c>
      <c r="I23" t="s">
        <v>440</v>
      </c>
      <c r="J23" t="s">
        <v>461</v>
      </c>
      <c r="L23" t="s">
        <v>523</v>
      </c>
    </row>
    <row r="24" spans="4:12" x14ac:dyDescent="0.25">
      <c r="D24" t="s">
        <v>276</v>
      </c>
      <c r="E24" t="s">
        <v>316</v>
      </c>
      <c r="F24" t="s">
        <v>353</v>
      </c>
      <c r="G24" t="s">
        <v>389</v>
      </c>
      <c r="I24" t="s">
        <v>441</v>
      </c>
      <c r="J24" t="s">
        <v>478</v>
      </c>
      <c r="L24" t="s">
        <v>524</v>
      </c>
    </row>
    <row r="25" spans="4:12" x14ac:dyDescent="0.25">
      <c r="D25" t="s">
        <v>263</v>
      </c>
      <c r="E25" t="s">
        <v>317</v>
      </c>
      <c r="F25" t="s">
        <v>354</v>
      </c>
      <c r="G25" t="s">
        <v>390</v>
      </c>
      <c r="I25" t="s">
        <v>442</v>
      </c>
      <c r="J25" t="s">
        <v>479</v>
      </c>
      <c r="L25" t="s">
        <v>525</v>
      </c>
    </row>
    <row r="26" spans="4:12" x14ac:dyDescent="0.25">
      <c r="D26" t="s">
        <v>277</v>
      </c>
      <c r="E26" t="s">
        <v>318</v>
      </c>
      <c r="F26" t="s">
        <v>355</v>
      </c>
      <c r="G26" t="s">
        <v>391</v>
      </c>
      <c r="I26" t="s">
        <v>443</v>
      </c>
      <c r="J26" t="s">
        <v>480</v>
      </c>
      <c r="L26" t="s">
        <v>526</v>
      </c>
    </row>
    <row r="27" spans="4:12" x14ac:dyDescent="0.25">
      <c r="D27" t="s">
        <v>278</v>
      </c>
      <c r="E27" t="s">
        <v>319</v>
      </c>
      <c r="F27" t="s">
        <v>357</v>
      </c>
      <c r="G27" t="s">
        <v>378</v>
      </c>
      <c r="I27" t="s">
        <v>444</v>
      </c>
      <c r="J27" t="s">
        <v>453</v>
      </c>
      <c r="L27" t="s">
        <v>527</v>
      </c>
    </row>
    <row r="28" spans="4:12" x14ac:dyDescent="0.25">
      <c r="D28" t="s">
        <v>279</v>
      </c>
      <c r="E28" t="s">
        <v>320</v>
      </c>
      <c r="F28" t="s">
        <v>358</v>
      </c>
      <c r="G28" t="s">
        <v>392</v>
      </c>
      <c r="I28" t="s">
        <v>445</v>
      </c>
      <c r="J28" t="s">
        <v>482</v>
      </c>
      <c r="L28" t="s">
        <v>529</v>
      </c>
    </row>
    <row r="29" spans="4:12" x14ac:dyDescent="0.25">
      <c r="D29" t="s">
        <v>280</v>
      </c>
      <c r="E29" t="s">
        <v>321</v>
      </c>
      <c r="F29" t="s">
        <v>359</v>
      </c>
      <c r="G29" t="s">
        <v>393</v>
      </c>
      <c r="I29" t="s">
        <v>446</v>
      </c>
      <c r="J29" t="s">
        <v>483</v>
      </c>
      <c r="L29" t="s">
        <v>530</v>
      </c>
    </row>
    <row r="30" spans="4:12" x14ac:dyDescent="0.25">
      <c r="D30" t="s">
        <v>281</v>
      </c>
      <c r="E30" t="s">
        <v>322</v>
      </c>
      <c r="F30" t="s">
        <v>360</v>
      </c>
      <c r="G30" t="s">
        <v>394</v>
      </c>
      <c r="I30" t="s">
        <v>447</v>
      </c>
      <c r="J30" t="s">
        <v>485</v>
      </c>
      <c r="L30" t="s">
        <v>531</v>
      </c>
    </row>
    <row r="31" spans="4:12" x14ac:dyDescent="0.25">
      <c r="D31" t="s">
        <v>271</v>
      </c>
      <c r="E31" t="s">
        <v>323</v>
      </c>
      <c r="F31" t="s">
        <v>361</v>
      </c>
      <c r="G31" t="s">
        <v>395</v>
      </c>
      <c r="I31" t="s">
        <v>448</v>
      </c>
      <c r="J31" t="s">
        <v>486</v>
      </c>
      <c r="L31" t="s">
        <v>533</v>
      </c>
    </row>
    <row r="32" spans="4:12" x14ac:dyDescent="0.25">
      <c r="D32" t="s">
        <v>282</v>
      </c>
      <c r="E32" t="s">
        <v>324</v>
      </c>
      <c r="F32" t="s">
        <v>356</v>
      </c>
      <c r="I32" t="s">
        <v>450</v>
      </c>
      <c r="J32" t="s">
        <v>487</v>
      </c>
    </row>
    <row r="33" spans="4:10" x14ac:dyDescent="0.25">
      <c r="D33" t="s">
        <v>283</v>
      </c>
      <c r="E33" t="s">
        <v>289</v>
      </c>
      <c r="F33" t="s">
        <v>362</v>
      </c>
      <c r="I33" t="s">
        <v>451</v>
      </c>
      <c r="J33" t="s">
        <v>488</v>
      </c>
    </row>
    <row r="34" spans="4:10" x14ac:dyDescent="0.25">
      <c r="D34" t="s">
        <v>285</v>
      </c>
      <c r="E34" t="s">
        <v>325</v>
      </c>
      <c r="F34" t="s">
        <v>349</v>
      </c>
      <c r="I34" t="s">
        <v>452</v>
      </c>
    </row>
    <row r="35" spans="4:10" x14ac:dyDescent="0.25">
      <c r="D35" t="s">
        <v>286</v>
      </c>
      <c r="E35" t="s">
        <v>326</v>
      </c>
    </row>
    <row r="36" spans="4:10" x14ac:dyDescent="0.25">
      <c r="D36" t="s">
        <v>287</v>
      </c>
    </row>
    <row r="37" spans="4:10" x14ac:dyDescent="0.25">
      <c r="D37" t="s">
        <v>288</v>
      </c>
    </row>
  </sheetData>
  <pageMargins left="0.7" right="0.7" top="0.75" bottom="0.75" header="0.3" footer="0.3"/>
  <pageSetup scal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B59D7-1C3E-42E5-8A0E-8995A61C93E1}">
  <dimension ref="A1:F28"/>
  <sheetViews>
    <sheetView workbookViewId="0">
      <selection activeCell="F21" sqref="F21"/>
    </sheetView>
  </sheetViews>
  <sheetFormatPr baseColWidth="10" defaultRowHeight="15" x14ac:dyDescent="0.25"/>
  <cols>
    <col min="1" max="1" width="55.5703125" customWidth="1"/>
    <col min="2" max="6" width="22.28515625" customWidth="1"/>
  </cols>
  <sheetData>
    <row r="1" spans="1:6" ht="18.75" x14ac:dyDescent="0.3">
      <c r="A1" s="372" t="str">
        <f>" Conciliación de ventas: F29 (jul "&amp;LEFT('Flujo proyectado '!$E$7,4)&amp;" a jun "&amp;IF('Flujo proyectado '!$E$7="","",LEFT('Flujo proyectado '!$E$7,4)+1)&amp;") frente a venta "&amp;'Flujo proyectado '!$E$7&amp;" informada"</f>
        <v xml:space="preserve"> Conciliación de ventas: F29 (jul  a jun ) frente a venta  informada</v>
      </c>
    </row>
    <row r="2" spans="1:6" x14ac:dyDescent="0.25">
      <c r="A2" s="339" t="s">
        <v>658</v>
      </c>
    </row>
    <row r="4" spans="1:6" ht="48" customHeight="1" x14ac:dyDescent="0.25">
      <c r="A4" s="342" t="s">
        <v>659</v>
      </c>
      <c r="B4" s="342" t="s">
        <v>660</v>
      </c>
      <c r="C4" s="342" t="s">
        <v>661</v>
      </c>
      <c r="D4" s="342" t="s">
        <v>662</v>
      </c>
      <c r="E4" s="342" t="s">
        <v>663</v>
      </c>
      <c r="F4" s="342" t="s">
        <v>664</v>
      </c>
    </row>
    <row r="5" spans="1:6" x14ac:dyDescent="0.25">
      <c r="A5" s="624" t="str">
        <f>"jul-"&amp;LEFT('Flujo proyectado '!$E$7,4)</f>
        <v>jul-</v>
      </c>
      <c r="B5" s="337"/>
      <c r="C5" s="337"/>
      <c r="D5" s="337"/>
      <c r="E5" s="337"/>
      <c r="F5" s="337"/>
    </row>
    <row r="6" spans="1:6" x14ac:dyDescent="0.25">
      <c r="A6" s="624" t="str">
        <f>"ago-"&amp;LEFT('Flujo proyectado '!$E$7,4)</f>
        <v>ago-</v>
      </c>
      <c r="B6" s="337"/>
      <c r="C6" s="337"/>
      <c r="D6" s="337"/>
      <c r="E6" s="337"/>
      <c r="F6" s="337"/>
    </row>
    <row r="7" spans="1:6" x14ac:dyDescent="0.25">
      <c r="A7" s="624" t="str">
        <f>"sep-"&amp;LEFT('Flujo proyectado '!$E$7,4)</f>
        <v>sep-</v>
      </c>
      <c r="B7" s="337"/>
      <c r="C7" s="337"/>
      <c r="D7" s="337"/>
      <c r="E7" s="337"/>
      <c r="F7" s="337"/>
    </row>
    <row r="8" spans="1:6" x14ac:dyDescent="0.25">
      <c r="A8" s="624" t="str">
        <f>"oct-"&amp;LEFT('Flujo proyectado '!$E$7,4)</f>
        <v>oct-</v>
      </c>
      <c r="B8" s="337"/>
      <c r="C8" s="337"/>
      <c r="D8" s="337"/>
      <c r="E8" s="337"/>
      <c r="F8" s="337"/>
    </row>
    <row r="9" spans="1:6" x14ac:dyDescent="0.25">
      <c r="A9" s="624" t="str">
        <f>"nov-"&amp;LEFT('Flujo proyectado '!$E$7,4)</f>
        <v>nov-</v>
      </c>
      <c r="B9" s="337"/>
      <c r="C9" s="337"/>
      <c r="D9" s="337"/>
      <c r="E9" s="337"/>
      <c r="F9" s="337"/>
    </row>
    <row r="10" spans="1:6" x14ac:dyDescent="0.25">
      <c r="A10" s="624" t="str">
        <f>"dic-"&amp;LEFT('Flujo proyectado '!$E$7,4)</f>
        <v>dic-</v>
      </c>
      <c r="B10" s="337"/>
      <c r="C10" s="337"/>
      <c r="D10" s="337"/>
      <c r="E10" s="337"/>
      <c r="F10" s="337"/>
    </row>
    <row r="11" spans="1:6" x14ac:dyDescent="0.25">
      <c r="A11" s="624" t="str">
        <f>"ene-"&amp;IF('Flujo proyectado '!$E$7="","",LEFT('Flujo proyectado '!$E$7,4)+1)</f>
        <v>ene-</v>
      </c>
      <c r="B11" s="337"/>
      <c r="C11" s="337"/>
      <c r="D11" s="337"/>
      <c r="E11" s="337"/>
      <c r="F11" s="337"/>
    </row>
    <row r="12" spans="1:6" x14ac:dyDescent="0.25">
      <c r="A12" s="624" t="str">
        <f>"feb-"&amp;IF('Flujo proyectado '!$E$7="","",LEFT('Flujo proyectado '!$E$7,4)+1)</f>
        <v>feb-</v>
      </c>
      <c r="B12" s="337"/>
      <c r="C12" s="337"/>
      <c r="D12" s="337"/>
      <c r="E12" s="337"/>
      <c r="F12" s="337"/>
    </row>
    <row r="13" spans="1:6" x14ac:dyDescent="0.25">
      <c r="A13" s="624" t="str">
        <f>"mar-"&amp;IF('Flujo proyectado '!$E$7="","",LEFT('Flujo proyectado '!$E$7,4)+1)</f>
        <v>mar-</v>
      </c>
      <c r="B13" s="337"/>
      <c r="C13" s="337"/>
      <c r="D13" s="337"/>
      <c r="E13" s="337"/>
      <c r="F13" s="337"/>
    </row>
    <row r="14" spans="1:6" x14ac:dyDescent="0.25">
      <c r="A14" s="624" t="str">
        <f>"abr-"&amp;IF('Flujo proyectado '!$E$7="","",LEFT('Flujo proyectado '!$E$7,4)+1)</f>
        <v>abr-</v>
      </c>
      <c r="B14" s="337"/>
      <c r="C14" s="337"/>
      <c r="D14" s="337"/>
      <c r="E14" s="337"/>
      <c r="F14" s="337"/>
    </row>
    <row r="15" spans="1:6" x14ac:dyDescent="0.25">
      <c r="A15" s="624" t="str">
        <f>"may-"&amp;IF('Flujo proyectado '!$E$7="","",LEFT('Flujo proyectado '!$E$7,4)+1)</f>
        <v>may-</v>
      </c>
      <c r="B15" s="337"/>
      <c r="C15" s="337"/>
      <c r="D15" s="337"/>
      <c r="E15" s="337"/>
      <c r="F15" s="337"/>
    </row>
    <row r="16" spans="1:6" x14ac:dyDescent="0.25">
      <c r="A16" s="624" t="str">
        <f>"jun-"&amp;IF('Flujo proyectado '!$E$7="","",LEFT('Flujo proyectado '!$E$7,4)+1)</f>
        <v>jun-</v>
      </c>
      <c r="B16" s="337"/>
      <c r="C16" s="337"/>
      <c r="D16" s="337"/>
      <c r="E16" s="337"/>
      <c r="F16" s="337"/>
    </row>
    <row r="17" spans="1:6" x14ac:dyDescent="0.25">
      <c r="A17" s="383" t="s">
        <v>665</v>
      </c>
      <c r="B17" s="384">
        <f>SUM(B5:B16)</f>
        <v>0</v>
      </c>
      <c r="C17" s="384">
        <f>SUM(C5:C16)</f>
        <v>0</v>
      </c>
      <c r="D17" s="384">
        <f>SUM(D5:D16)</f>
        <v>0</v>
      </c>
      <c r="E17" s="384">
        <f>SUM(E5:E16)</f>
        <v>0</v>
      </c>
      <c r="F17" s="384">
        <f>SUM(F5:F16)</f>
        <v>0</v>
      </c>
    </row>
    <row r="19" spans="1:6" x14ac:dyDescent="0.25">
      <c r="A19" s="625" t="str">
        <f>"CONCILIACIÓN CON LA VENTA "&amp;'Flujo proyectado '!$E$7&amp;" INFORMADA"</f>
        <v>CONCILIACIÓN CON LA VENTA  INFORMADA</v>
      </c>
    </row>
    <row r="20" spans="1:6" x14ac:dyDescent="0.25">
      <c r="A20" s="341" t="s">
        <v>656</v>
      </c>
      <c r="B20" s="341" t="s">
        <v>666</v>
      </c>
      <c r="C20" s="341" t="s">
        <v>667</v>
      </c>
    </row>
    <row r="21" spans="1:6" x14ac:dyDescent="0.25">
      <c r="A21" t="str">
        <f>"Base imponible F29, jul "&amp;LEFT('Flujo proyectado '!$E$7,4)&amp;" a jun "&amp;IF('Flujo proyectado '!$E$7="","",LEFT('Flujo proyectado '!$E$7,4)+1)</f>
        <v xml:space="preserve">Base imponible F29, jul  a jun </v>
      </c>
      <c r="B21" s="358">
        <f>B17</f>
        <v>0</v>
      </c>
      <c r="C21" s="358" t="e">
        <f>B21/$B$26</f>
        <v>#DIV/0!</v>
      </c>
    </row>
    <row r="22" spans="1:6" x14ac:dyDescent="0.25">
      <c r="A22" t="str">
        <f>"Venta temporada "&amp;'Flujo proyectado '!$E$7&amp;" informada (Resultado)"</f>
        <v>Venta temporada  informada (Resultado)</v>
      </c>
      <c r="B22" s="359">
        <f>'Anexo 1 Resultado'!$G$6</f>
        <v>0</v>
      </c>
      <c r="C22" s="358" t="e">
        <f>B22/$B$26</f>
        <v>#DIV/0!</v>
      </c>
    </row>
    <row r="23" spans="1:6" x14ac:dyDescent="0.25">
      <c r="A23">
        <f>'Anexo 1 Resultado'!A5</f>
        <v>0</v>
      </c>
      <c r="B23" s="359">
        <f>'Anexo 1 Resultado'!$G$5</f>
        <v>0</v>
      </c>
      <c r="C23" s="358" t="e">
        <f>B23/$B$26</f>
        <v>#DIV/0!</v>
      </c>
    </row>
    <row r="24" spans="1:6" x14ac:dyDescent="0.25">
      <c r="A24" s="349" t="s">
        <v>668</v>
      </c>
      <c r="B24" s="360">
        <f>B21-B22</f>
        <v>0</v>
      </c>
      <c r="C24" s="360" t="e">
        <f>B24/$B$26</f>
        <v>#DIV/0!</v>
      </c>
    </row>
    <row r="25" spans="1:6" x14ac:dyDescent="0.25">
      <c r="A25" s="3" t="s">
        <v>635</v>
      </c>
      <c r="B25" s="377" t="e">
        <f>B24/B22</f>
        <v>#DIV/0!</v>
      </c>
      <c r="C25" s="3"/>
    </row>
    <row r="26" spans="1:6" x14ac:dyDescent="0.25">
      <c r="A26" t="s">
        <v>669</v>
      </c>
      <c r="B26" s="385">
        <f>'Anexo 1 Resultado'!$F$3</f>
        <v>0</v>
      </c>
    </row>
    <row r="28" spans="1:6" ht="78" customHeight="1" x14ac:dyDescent="0.25">
      <c r="A28" s="618"/>
      <c r="B28" s="619"/>
      <c r="C28" s="619"/>
      <c r="D28" s="619"/>
      <c r="E28" s="619"/>
      <c r="F28" s="619"/>
    </row>
  </sheetData>
  <mergeCells count="1">
    <mergeCell ref="A28:F28"/>
  </mergeCells>
  <pageMargins left="0.7" right="0.7" top="0.75" bottom="0.75" header="0.3" footer="0.3"/>
  <pageSetup scal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17</vt:i4>
      </vt:variant>
    </vt:vector>
  </HeadingPairs>
  <TitlesOfParts>
    <vt:vector size="32" baseType="lpstr">
      <vt:lpstr>Portada</vt:lpstr>
      <vt:lpstr>Recursos</vt:lpstr>
      <vt:lpstr>Inversión</vt:lpstr>
      <vt:lpstr>Plantaciones</vt:lpstr>
      <vt:lpstr>Flujo proyectado </vt:lpstr>
      <vt:lpstr>Supuestos</vt:lpstr>
      <vt:lpstr>Comentarios generales Opinion</vt:lpstr>
      <vt:lpstr>Anexo 1 Resultado</vt:lpstr>
      <vt:lpstr>Anexo 2 Ventas F29</vt:lpstr>
      <vt:lpstr>Anexo 3 Precios</vt:lpstr>
      <vt:lpstr>Anexo 4 Imágenes</vt:lpstr>
      <vt:lpstr>Opciones</vt:lpstr>
      <vt:lpstr>ETo</vt:lpstr>
      <vt:lpstr>Listas Validación</vt:lpstr>
      <vt:lpstr>Conciliación Ventas</vt:lpstr>
      <vt:lpstr>'Anexo 4 Imágenes'!Área_de_impresión</vt:lpstr>
      <vt:lpstr>Recursos!Área_de_impresión</vt:lpstr>
      <vt:lpstr>Supuestos!Área_de_impresión</vt:lpstr>
      <vt:lpstr>Comunas_III</vt:lpstr>
      <vt:lpstr>Comunas_IV</vt:lpstr>
      <vt:lpstr>Comunas_IX</vt:lpstr>
      <vt:lpstr>Comunas_RM</vt:lpstr>
      <vt:lpstr>Comunas_V</vt:lpstr>
      <vt:lpstr>Comunas_VI</vt:lpstr>
      <vt:lpstr>Comunas_VII</vt:lpstr>
      <vt:lpstr>Comunas_VIII</vt:lpstr>
      <vt:lpstr>Comunas_X</vt:lpstr>
      <vt:lpstr>Comunas_XIV</vt:lpstr>
      <vt:lpstr>Comunas_XVI</vt:lpstr>
      <vt:lpstr>ListaRegiones</vt:lpstr>
      <vt:lpstr>Supuestos!Títulos_a_imprimir</vt:lpstr>
      <vt:lpstr>version</vt:lpstr>
    </vt:vector>
  </TitlesOfParts>
  <Manager/>
  <Company>Fitogreen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Fitogreen</dc:creator>
  <cp:keywords/>
  <dc:description/>
  <cp:lastModifiedBy>Fitogreen</cp:lastModifiedBy>
  <cp:revision/>
  <cp:lastPrinted>2026-10-05T14:46:41Z</cp:lastPrinted>
  <dcterms:created xsi:type="dcterms:W3CDTF">2026-03-17T13:44:23Z</dcterms:created>
  <dcterms:modified xsi:type="dcterms:W3CDTF">2026-10-14T16:24:29Z</dcterms:modified>
  <cp:category/>
  <cp:contentStatus/>
</cp:coreProperties>
</file>