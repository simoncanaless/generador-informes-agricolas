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6" activeTab="0" autoFilterDateGrouping="1"/>
  </bookViews>
  <sheets>
    <sheet name="PORTADA" sheetId="1" state="visible" r:id="rId1"/>
    <sheet name="LEGAL" sheetId="2" state="visible" r:id="rId2"/>
    <sheet name="SUELOS  " sheetId="3" state="visible" r:id="rId3"/>
    <sheet name="AGUA " sheetId="4" state="visible" r:id="rId4"/>
    <sheet name="CONSTR" sheetId="5" state="visible" r:id="rId5"/>
    <sheet name="PLANTACION" sheetId="6" state="visible" r:id="rId6"/>
    <sheet name="RESUMEN VALOR" sheetId="7" state="visible" r:id="rId7"/>
    <sheet name="Fotografias 1" sheetId="8" state="visible" r:id="rId8"/>
    <sheet name="REF. PROPIEDADES " sheetId="9" state="visible" r:id="rId9"/>
    <sheet name="REF. Canal " sheetId="10" state="visible" r:id="rId10"/>
    <sheet name="suelos" sheetId="11" state="visible" r:id="rId11"/>
    <sheet name="derechos de agua " sheetId="12" state="visible" r:id="rId12"/>
    <sheet name="plantas" sheetId="13" state="visible" r:id="rId13"/>
    <sheet name="PLANT" sheetId="14" state="visible" r:id="rId14"/>
  </sheet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>{1,2,3,4;5,6,7,8;9,10,11,12;13,14,15,16}</definedName>
    <definedName name="_________________________________________________________________Hp3">{1,2,3,4;5,6,7,8;9,10,11,12;13,14,15,16}</definedName>
    <definedName name="_______________________________________________________________Hp3">{1,2,3,4;5,6,7,8;9,10,11,12;13,14,15,16}</definedName>
    <definedName name="_______________________________________________Hp3">{1,2,3,4;5,6,7,8;9,10,11,12;13,14,15,16}</definedName>
    <definedName name="_______________________________________________Hp3_1">{1,2,3,4;5,6,7,8;9,10,11,12;13,14,15,16}</definedName>
    <definedName name="______________________________________________Hp3">{1,2,3,4;5,6,7,8;9,10,11,12;13,14,15,16}</definedName>
    <definedName name="_____________________________________________Hp3">{1,2,3,4;5,6,7,8;9,10,11,12;13,14,15,16}</definedName>
    <definedName name="___________________________________________Hp3">{1,2,3,4;5,6,7,8;9,10,11,12;13,14,15,16}</definedName>
    <definedName name="__________________________________________Hp3">{1,2,3,4;5,6,7,8;9,10,11,12;13,14,15,16}</definedName>
    <definedName name="________________________________________Hp3">{1,2,3,4;5,6,7,8;9,10,11,12;13,14,15,16}</definedName>
    <definedName name="_____________________________________Hp3">{1,2,3,4;5,6,7,8;9,10,11,12;13,14,15,16}</definedName>
    <definedName name="____________________________________Hp3">{1,2,3,4;5,6,7,8;9,10,11,12;13,14,15,16}</definedName>
    <definedName name="____________________________________Hp3_1">{1,2,3,4;5,6,7,8;9,10,11,12;13,14,15,16}</definedName>
    <definedName name="___________________________________Hp3">{1,2,3,4;5,6,7,8;9,10,11,12;13,14,15,16}</definedName>
    <definedName name="_________________PAG2">#REF!</definedName>
    <definedName name="_________________PAG3">#REF!</definedName>
    <definedName name="_________________PAG7">#REF!</definedName>
    <definedName name="________________PAG2">#REF!</definedName>
    <definedName name="________________PAG3">#REF!</definedName>
    <definedName name="________________PAG7">#REF!</definedName>
    <definedName name="_______________cla2">#REF!</definedName>
    <definedName name="_______________PAG2">#REF!</definedName>
    <definedName name="_______________PAG3">#REF!</definedName>
    <definedName name="_______________PAG7">#REF!</definedName>
    <definedName name="______________cla2">#REF!</definedName>
    <definedName name="______________PAG2">#REF!</definedName>
    <definedName name="______________PAG3">#REF!</definedName>
    <definedName name="______________PAG7">#REF!</definedName>
    <definedName name="_____________cla2">#REF!</definedName>
    <definedName name="_____________PAG2">#REF!</definedName>
    <definedName name="_____________PAG3">#REF!</definedName>
    <definedName name="_____________PAG7">#REF!</definedName>
    <definedName name="_____________R">#REF!</definedName>
    <definedName name="____________cla2">#REF!</definedName>
    <definedName name="____________PAG2">#REF!</definedName>
    <definedName name="____________PAG3">#REF!</definedName>
    <definedName name="____________PAG7">#REF!</definedName>
    <definedName name="____________R">#REF!</definedName>
    <definedName name="___________cla2">#REF!</definedName>
    <definedName name="___________PAG2">#REF!</definedName>
    <definedName name="___________PAG3">#REF!</definedName>
    <definedName name="___________PAG7">#REF!</definedName>
    <definedName name="___________R">#REF!</definedName>
    <definedName name="__________cla2">#REF!</definedName>
    <definedName name="__________PAG2">#REF!</definedName>
    <definedName name="__________PAG3">#REF!</definedName>
    <definedName name="__________PAG7">#REF!</definedName>
    <definedName name="__________R">#REF!</definedName>
    <definedName name="_________cla2">#REF!</definedName>
    <definedName name="_________PAG2">#REF!</definedName>
    <definedName name="_________PAG3">#REF!</definedName>
    <definedName name="_________PAG7">#REF!</definedName>
    <definedName name="_________R">#REF!</definedName>
    <definedName name="________cla2">#REF!</definedName>
    <definedName name="________PAG2">#REF!</definedName>
    <definedName name="________PAG3">#REF!</definedName>
    <definedName name="________PAG7">#REF!</definedName>
    <definedName name="________R">#REF!</definedName>
    <definedName name="_______cla2">#REF!</definedName>
    <definedName name="_______PAG2">#REF!</definedName>
    <definedName name="_______PAG3">#REF!</definedName>
    <definedName name="_______PAG7">#REF!</definedName>
    <definedName name="_______R">#REF!</definedName>
    <definedName name="______B2003" hidden="1">{#N/A,#N/A,FALSE,"ESTUDIO1"}</definedName>
    <definedName name="______cla2">#REF!</definedName>
    <definedName name="______PAG2">#REF!</definedName>
    <definedName name="______PAG3">#REF!</definedName>
    <definedName name="______PAG7">#REF!</definedName>
    <definedName name="______R">#REF!</definedName>
    <definedName name="_____cla2">#REF!</definedName>
    <definedName name="_____GAN1">#REF!</definedName>
    <definedName name="_____GAN2">#REF!</definedName>
    <definedName name="_____n9">#REF!</definedName>
    <definedName name="_____PAG2">#REF!</definedName>
    <definedName name="_____PAG3">#REF!</definedName>
    <definedName name="_____PAG7">#REF!</definedName>
    <definedName name="_____R">#REF!</definedName>
    <definedName name="____B2003" hidden="1">{#N/A,#N/A,FALSE,"ESTUDIO1"}</definedName>
    <definedName name="____cla2">#REF!</definedName>
    <definedName name="____GAN1">#REF!</definedName>
    <definedName name="____GAN2">#REF!</definedName>
    <definedName name="____n9">#REF!</definedName>
    <definedName name="____PAG2">#REF!</definedName>
    <definedName name="____PAG3">#REF!</definedName>
    <definedName name="____PAG7">#REF!</definedName>
    <definedName name="____R">#REF!</definedName>
    <definedName name="___cla2">#REF!</definedName>
    <definedName name="___F">#REF!</definedName>
    <definedName name="___GAN1">#REF!</definedName>
    <definedName name="___GAN2">#REF!</definedName>
    <definedName name="___n9">#REF!</definedName>
    <definedName name="___PAG2">#REF!</definedName>
    <definedName name="___PAG3">#REF!</definedName>
    <definedName name="___PAG7">#REF!</definedName>
    <definedName name="___R">#REF!</definedName>
    <definedName name="___tc06">#REF!</definedName>
    <definedName name="__6___123Graph_AGRAFICO_2" hidden="1">#REF!</definedName>
    <definedName name="__B2003" hidden="1">{#N/A,#N/A,FALSE,"ESTUDIO1"}</definedName>
    <definedName name="__BAL1">#REF!</definedName>
    <definedName name="__BAL2">#REF!</definedName>
    <definedName name="__BAL3">#REF!</definedName>
    <definedName name="__BAL4">#REF!</definedName>
    <definedName name="__BAL5">#REF!</definedName>
    <definedName name="__cla2">#REF!</definedName>
    <definedName name="__GAN1">#REF!</definedName>
    <definedName name="__GAN2">#REF!</definedName>
    <definedName name="__Hp3">{1,2,3,4;5,6,7,8;9,10,11,12;13,14,15,16}</definedName>
    <definedName name="__IntlFixup" hidden="1">TRUE</definedName>
    <definedName name="__n9">#REF!</definedName>
    <definedName name="__Ñ">#REF!</definedName>
    <definedName name="__PAG2">#REF!</definedName>
    <definedName name="__PAG3">#REF!</definedName>
    <definedName name="__PAG7">#REF!</definedName>
    <definedName name="__R">#REF!</definedName>
    <definedName name="__tc06">#REF!</definedName>
    <definedName name="__TC1">#REF!</definedName>
    <definedName name="__TC10">#REF!</definedName>
    <definedName name="__TC11">#REF!</definedName>
    <definedName name="__TC12">#REF!</definedName>
    <definedName name="__TC2">#REF!</definedName>
    <definedName name="__TC3">#REF!</definedName>
    <definedName name="__TC4">#REF!</definedName>
    <definedName name="__TC5">#REF!</definedName>
    <definedName name="__TC6">#REF!</definedName>
    <definedName name="__TC7">#REF!</definedName>
    <definedName name="__TC8">#REF!</definedName>
    <definedName name="__TC9">#REF!</definedName>
    <definedName name="__xlnm.Print_Area_1">#REF!</definedName>
    <definedName name="_1">#REF!</definedName>
    <definedName name="_1.A">#REF!</definedName>
    <definedName name="_1.B">#REF!</definedName>
    <definedName name="_1.C">#REF!</definedName>
    <definedName name="_1.D">#REF!</definedName>
    <definedName name="_1.E">#REF!</definedName>
    <definedName name="_1.F">#REF!</definedName>
    <definedName name="_1____123Graph_ACHART_1" hidden="1">#REF!</definedName>
    <definedName name="_10R">#REF!</definedName>
    <definedName name="_10S">#REF!</definedName>
    <definedName name="_10T">#REF!</definedName>
    <definedName name="_10U">#REF!</definedName>
    <definedName name="_10V">#REF!</definedName>
    <definedName name="_10W">#REF!</definedName>
    <definedName name="_10Z">#REF!</definedName>
    <definedName name="_11CT">#REF!</definedName>
    <definedName name="_11S">#REF!</definedName>
    <definedName name="_11T">#REF!</definedName>
    <definedName name="_11U">#REF!</definedName>
    <definedName name="_11V">#REF!</definedName>
    <definedName name="_11W">#REF!</definedName>
    <definedName name="_11Z">#REF!</definedName>
    <definedName name="_12___123Graph_BGRAFICO_2" hidden="1">#REF!</definedName>
    <definedName name="_12S">#REF!</definedName>
    <definedName name="_12T">#REF!</definedName>
    <definedName name="_12U">#REF!</definedName>
    <definedName name="_12V">#REF!</definedName>
    <definedName name="_12W">#REF!</definedName>
    <definedName name="_12Z">#REF!</definedName>
    <definedName name="_13S">#REF!</definedName>
    <definedName name="_13T">#REF!</definedName>
    <definedName name="_13U">#REF!</definedName>
    <definedName name="_13V">#REF!</definedName>
    <definedName name="_13W">#REF!</definedName>
    <definedName name="_13Z">#REF!</definedName>
    <definedName name="_15__123Graph_ACHART_1" hidden="1">#REF!</definedName>
    <definedName name="_19__123Graph_AGRAFICO_2" hidden="1">#REF!</definedName>
    <definedName name="_1CT">#REF!</definedName>
    <definedName name="_1IMP">#REF!</definedName>
    <definedName name="_1INV">#REF!</definedName>
    <definedName name="_1MIN">#REF!</definedName>
    <definedName name="_1S">#REF!</definedName>
    <definedName name="_1T">#REF!</definedName>
    <definedName name="_1U">#REF!</definedName>
    <definedName name="_1V">#REF!</definedName>
    <definedName name="_1W">#REF!</definedName>
    <definedName name="_1Z">#REF!</definedName>
    <definedName name="_2">#REF!</definedName>
    <definedName name="_2.A">#REF!</definedName>
    <definedName name="_2.B">#REF!</definedName>
    <definedName name="_2.C">#REF!</definedName>
    <definedName name="_2.D">#REF!</definedName>
    <definedName name="_2.E">#REF!</definedName>
    <definedName name="_2.F">#REF!</definedName>
    <definedName name="_2____123Graph_AGRAFICO_2" hidden="1">#REF!</definedName>
    <definedName name="_21CT">#REF!</definedName>
    <definedName name="_22__123Graph_BCHART_1" hidden="1">#REF!</definedName>
    <definedName name="_26__123Graph_BGRAFICO_2" hidden="1">#REF!</definedName>
    <definedName name="_2CT">#REF!</definedName>
    <definedName name="_2IMP">#REF!</definedName>
    <definedName name="_2INV">#REF!</definedName>
    <definedName name="_2MIN">#REF!</definedName>
    <definedName name="_2R">#REF!</definedName>
    <definedName name="_2S">#REF!</definedName>
    <definedName name="_2T">#REF!</definedName>
    <definedName name="_2U">#REF!</definedName>
    <definedName name="_2V">#REF!</definedName>
    <definedName name="_2W">#REF!</definedName>
    <definedName name="_2Z">#REF!</definedName>
    <definedName name="_3">#REF!</definedName>
    <definedName name="_3.A">#REF!</definedName>
    <definedName name="_3.B">#REF!</definedName>
    <definedName name="_3.C">#REF!</definedName>
    <definedName name="_3.D">#REF!</definedName>
    <definedName name="_3.E">#REF!</definedName>
    <definedName name="_3.F">#REF!</definedName>
    <definedName name="_3____123Graph_BCHART_1" hidden="1">#REF!</definedName>
    <definedName name="_3___123Graph_ACHART_1" hidden="1">#REF!</definedName>
    <definedName name="_31CT">#REF!</definedName>
    <definedName name="_32CT">#REF!</definedName>
    <definedName name="_3A">#REF!</definedName>
    <definedName name="_3CT">#REF!</definedName>
    <definedName name="_3IMP">#REF!</definedName>
    <definedName name="_3INV">#REF!</definedName>
    <definedName name="_3MIN">#REF!</definedName>
    <definedName name="_3R">#REF!</definedName>
    <definedName name="_3S">#REF!</definedName>
    <definedName name="_3T">#REF!</definedName>
    <definedName name="_3U">#REF!</definedName>
    <definedName name="_3V">#REF!</definedName>
    <definedName name="_3W">#REF!</definedName>
    <definedName name="_3Z">#REF!</definedName>
    <definedName name="_4">#REF!</definedName>
    <definedName name="_4.A">#REF!</definedName>
    <definedName name="_4.B">#REF!</definedName>
    <definedName name="_4.C">#REF!</definedName>
    <definedName name="_4.D">#REF!</definedName>
    <definedName name="_4.E">#REF!</definedName>
    <definedName name="_4.F">#REF!</definedName>
    <definedName name="_4____123Graph_BGRAFICO_2" hidden="1">#REF!</definedName>
    <definedName name="_41CT">#REF!</definedName>
    <definedName name="_42CT">#REF!</definedName>
    <definedName name="_4CT">#REF!</definedName>
    <definedName name="_4IMP">#REF!</definedName>
    <definedName name="_4INV">#REF!</definedName>
    <definedName name="_4MIN">#REF!</definedName>
    <definedName name="_4R">#REF!</definedName>
    <definedName name="_4S">#REF!</definedName>
    <definedName name="_4T">#REF!</definedName>
    <definedName name="_4U">#REF!</definedName>
    <definedName name="_4V">#REF!</definedName>
    <definedName name="_4W">#REF!</definedName>
    <definedName name="_4Z">#REF!</definedName>
    <definedName name="_5">#REF!</definedName>
    <definedName name="_5.A">#REF!</definedName>
    <definedName name="_5.B">#REF!</definedName>
    <definedName name="_5.C">#REF!</definedName>
    <definedName name="_5.D">#REF!</definedName>
    <definedName name="_5.E">#REF!</definedName>
    <definedName name="_5.F">#REF!</definedName>
    <definedName name="_5___123Graph_ACHART_1" hidden="1">#REF!</definedName>
    <definedName name="_5_2_01_01WV">#REF!</definedName>
    <definedName name="_51CT">#REF!</definedName>
    <definedName name="_5CT">#REF!</definedName>
    <definedName name="_5IMP">#REF!</definedName>
    <definedName name="_5INV">#REF!</definedName>
    <definedName name="_5MIN">#REF!</definedName>
    <definedName name="_5R">#REF!</definedName>
    <definedName name="_5S">#REF!</definedName>
    <definedName name="_5T">#REF!</definedName>
    <definedName name="_5U">#REF!</definedName>
    <definedName name="_5V">#REF!</definedName>
    <definedName name="_5W">#REF!</definedName>
    <definedName name="_5Z">#REF!</definedName>
    <definedName name="_6">#REF!</definedName>
    <definedName name="_6.A">#REF!</definedName>
    <definedName name="_6.B">#REF!</definedName>
    <definedName name="_6.C">#REF!</definedName>
    <definedName name="_6.D">#REF!</definedName>
    <definedName name="_6.E">#REF!</definedName>
    <definedName name="_6.F">#REF!</definedName>
    <definedName name="_6___123Graph_AGRAFICO_2" hidden="1">#REF!</definedName>
    <definedName name="_61CT">#REF!</definedName>
    <definedName name="_6B">#REF!</definedName>
    <definedName name="_6CT">#REF!</definedName>
    <definedName name="_6IMP">#REF!</definedName>
    <definedName name="_6INV">#REF!</definedName>
    <definedName name="_6MIN">#REF!</definedName>
    <definedName name="_6R">#REF!</definedName>
    <definedName name="_6S">#REF!</definedName>
    <definedName name="_6T">#REF!</definedName>
    <definedName name="_6U">#REF!</definedName>
    <definedName name="_6V">#REF!</definedName>
    <definedName name="_6W">#REF!</definedName>
    <definedName name="_6Z">#REF!</definedName>
    <definedName name="_7___123Graph_BCHART_1" hidden="1">#REF!</definedName>
    <definedName name="_71CT">#REF!</definedName>
    <definedName name="_7CT">#REF!</definedName>
    <definedName name="_7R">#REF!</definedName>
    <definedName name="_7S">#REF!</definedName>
    <definedName name="_7T">#REF!</definedName>
    <definedName name="_7U">#REF!</definedName>
    <definedName name="_7V">#REF!</definedName>
    <definedName name="_7W">#REF!</definedName>
    <definedName name="_7Z">#REF!</definedName>
    <definedName name="_8___123Graph_BGRAFICO_2" hidden="1">#REF!</definedName>
    <definedName name="_81CT">#REF!</definedName>
    <definedName name="_82CT">#REF!</definedName>
    <definedName name="_8CT">#REF!</definedName>
    <definedName name="_8R">#REF!</definedName>
    <definedName name="_8S">#REF!</definedName>
    <definedName name="_8T">#REF!</definedName>
    <definedName name="_8U">#REF!</definedName>
    <definedName name="_8V">#REF!</definedName>
    <definedName name="_8W">#REF!</definedName>
    <definedName name="_8Z">#REF!</definedName>
    <definedName name="_9___123Graph_BCHART_1" hidden="1">#REF!</definedName>
    <definedName name="_91CT">#REF!</definedName>
    <definedName name="_92CT">#REF!</definedName>
    <definedName name="_9C">#REF!</definedName>
    <definedName name="_9CT">#REF!</definedName>
    <definedName name="_9R">#REF!</definedName>
    <definedName name="_9S">#REF!</definedName>
    <definedName name="_9T">#REF!</definedName>
    <definedName name="_9U">#REF!</definedName>
    <definedName name="_9V">#REF!</definedName>
    <definedName name="_9W">#REF!</definedName>
    <definedName name="_9Z">#REF!</definedName>
    <definedName name="_a" hidden="1">#REF!</definedName>
    <definedName name="_A_44">#REF!</definedName>
    <definedName name="_A1">#REF!</definedName>
    <definedName name="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CC2">#REF!</definedName>
    <definedName name="_ACC3">#REF!</definedName>
    <definedName name="_ACC4">#REF!</definedName>
    <definedName name="_ACC5">#REF!</definedName>
    <definedName name="_B2003" hidden="1">{#N/A,#N/A,FALSE,"ESTUDIO1"}</definedName>
    <definedName name="_BAL1">#REF!</definedName>
    <definedName name="_BAL2">#REF!</definedName>
    <definedName name="_BAL3">#REF!</definedName>
    <definedName name="_BAL4">#REF!</definedName>
    <definedName name="_BAL5">#REF!</definedName>
    <definedName name="_CAP1">#REF!</definedName>
    <definedName name="_CAP2">#REF!</definedName>
    <definedName name="_CAP3">#REF!</definedName>
    <definedName name="_CAP4">#REF!</definedName>
    <definedName name="_CAP5">#REF!</definedName>
    <definedName name="_cla2">#REF!</definedName>
    <definedName name="_COR1">#REF!</definedName>
    <definedName name="_COR2">#REF!</definedName>
    <definedName name="_COR3">#REF!</definedName>
    <definedName name="_COR4">#REF!</definedName>
    <definedName name="_COR5">#REF!</definedName>
    <definedName name="_d" hidden="1">#REF!</definedName>
    <definedName name="_DEP2">#REF!</definedName>
    <definedName name="_DEP3">#REF!</definedName>
    <definedName name="_DEP4">#REF!</definedName>
    <definedName name="_DEP5">#REF!</definedName>
    <definedName name="_DFG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Dist_Bin" hidden="1">#REF!</definedName>
    <definedName name="_Dist_Values" hidden="1">#REF!</definedName>
    <definedName name="_DIV2">#REF!</definedName>
    <definedName name="_DIV3">#REF!</definedName>
    <definedName name="_DIV4">#REF!</definedName>
    <definedName name="_DIV5">#REF!</definedName>
    <definedName name="_F">#REF!</definedName>
    <definedName name="_Fill" hidden="1">#REF!</definedName>
    <definedName name="_ftn1_14">#REF!</definedName>
    <definedName name="_ftn1_15">#REF!</definedName>
    <definedName name="_ftnref2">#REF!</definedName>
    <definedName name="_GAN1">#REF!</definedName>
    <definedName name="_GAN2">#REF!</definedName>
    <definedName name="_Hp3">{1,2,3,4;5,6,7,8;9,10,11,12;13,14,15,16}</definedName>
    <definedName name="_IEX1">#REF!</definedName>
    <definedName name="_IEX2">#REF!</definedName>
    <definedName name="_IEX3">#REF!</definedName>
    <definedName name="_IEX4">#REF!</definedName>
    <definedName name="_IEX5">#REF!</definedName>
    <definedName name="_IMI1">#REF!</definedName>
    <definedName name="_IMI2">#REF!</definedName>
    <definedName name="_IMI3">#REF!</definedName>
    <definedName name="_IMI4">#REF!</definedName>
    <definedName name="_IMI5">#REF!</definedName>
    <definedName name="_IMP1">#REF!</definedName>
    <definedName name="_IMP2">#REF!</definedName>
    <definedName name="_IMP3">#REF!</definedName>
    <definedName name="_IMP4">#REF!</definedName>
    <definedName name="_IMP5">#REF!</definedName>
    <definedName name="_INV1">#REF!</definedName>
    <definedName name="_INV2">#REF!</definedName>
    <definedName name="_INV3">#REF!</definedName>
    <definedName name="_INV4">#REF!</definedName>
    <definedName name="_INV5">#REF!</definedName>
    <definedName name="_JU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ey1" hidden="1">#REF!</definedName>
    <definedName name="_Key2" hidden="1">#REF!</definedName>
    <definedName name="_kj1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LAR1">#REF!</definedName>
    <definedName name="_LAR2">#REF!</definedName>
    <definedName name="_LAR3">#REF!</definedName>
    <definedName name="_LAR4">#REF!</definedName>
    <definedName name="_LAR5">#REF!</definedName>
    <definedName name="_MIN1">#REF!</definedName>
    <definedName name="_MIN2">#REF!</definedName>
    <definedName name="_MIN3">#REF!</definedName>
    <definedName name="_MIN4">#REF!</definedName>
    <definedName name="_MIN5">#REF!</definedName>
    <definedName name="_n9">#REF!</definedName>
    <definedName name="_NOM1">#REF!</definedName>
    <definedName name="_NOM2">#REF!</definedName>
    <definedName name="_NOM3">#REF!</definedName>
    <definedName name="_NOM4">#REF!</definedName>
    <definedName name="_NOM5">#REF!</definedName>
    <definedName name="_OP1">#REF!</definedName>
    <definedName name="_OP2">#REF!</definedName>
    <definedName name="_OP3">#REF!</definedName>
    <definedName name="_OP4">#REF!</definedName>
    <definedName name="_OP5">#REF!</definedName>
    <definedName name="_OP6">#REF!</definedName>
    <definedName name="_OPE1">#REF!</definedName>
    <definedName name="_OPE2">#REF!</definedName>
    <definedName name="_OPE3">#REF!</definedName>
    <definedName name="_OPE4">#REF!</definedName>
    <definedName name="_OPE5">#REF!</definedName>
    <definedName name="_Order1">255</definedName>
    <definedName name="_Order2">255</definedName>
    <definedName name="_PAG2">#REF!</definedName>
    <definedName name="_PAG3">#REF!</definedName>
    <definedName name="_PAG7">#REF!</definedName>
    <definedName name="_Parse_In" hidden="1">#REF!</definedName>
    <definedName name="_R">#REF!</definedName>
    <definedName name="_REC1">#REF!</definedName>
    <definedName name="_REC2">#REF!</definedName>
    <definedName name="_RG1">#REF!</definedName>
    <definedName name="_RG2">#REF!</definedName>
    <definedName name="_RG3">#REF!</definedName>
    <definedName name="_RG4">#REF!</definedName>
    <definedName name="_RG5">#REF!</definedName>
    <definedName name="_RG6">#REF!</definedName>
    <definedName name="_s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c06">#REF!</definedName>
    <definedName name="_TC1">#REF!</definedName>
    <definedName name="_TC10">#REF!</definedName>
    <definedName name="_TC11">#REF!</definedName>
    <definedName name="_TC12">#REF!</definedName>
    <definedName name="_TC2">#REF!</definedName>
    <definedName name="_TC3">#REF!</definedName>
    <definedName name="_TC4">#REF!</definedName>
    <definedName name="_TC5">#REF!</definedName>
    <definedName name="_TC6">#REF!</definedName>
    <definedName name="_TC7">#REF!</definedName>
    <definedName name="_TC8">#REF!</definedName>
    <definedName name="_TC9">#REF!</definedName>
    <definedName name="_us1">#REF!</definedName>
    <definedName name="_VD01">#REF!</definedName>
    <definedName name="_VD1">#REF!</definedName>
    <definedName name="_VD10">#REF!</definedName>
    <definedName name="_VD11">#REF!</definedName>
    <definedName name="_VD2">#REF!</definedName>
    <definedName name="_VD3">#REF!</definedName>
    <definedName name="_VD4">#REF!</definedName>
    <definedName name="_VD5">#REF!</definedName>
    <definedName name="_VD6">#REF!</definedName>
    <definedName name="_VD7">#REF!</definedName>
    <definedName name="_VD8">#REF!</definedName>
    <definedName name="_VD9">#REF!</definedName>
    <definedName name="_WD1">#REF!</definedName>
    <definedName name="_WD10">#REF!</definedName>
    <definedName name="_WD11">#REF!</definedName>
    <definedName name="_WD12">#REF!</definedName>
    <definedName name="_WD13">#REF!</definedName>
    <definedName name="_WD14">#REF!</definedName>
    <definedName name="_WD2">#REF!</definedName>
    <definedName name="_WD3">#REF!</definedName>
    <definedName name="_WD4">#REF!</definedName>
    <definedName name="_WD5">#REF!</definedName>
    <definedName name="_WD6">#REF!</definedName>
    <definedName name="_WD7">#REF!</definedName>
    <definedName name="_WD8">#REF!</definedName>
    <definedName name="_WD9">#REF!</definedName>
    <definedName name="_X">#REF!</definedName>
    <definedName name="_XD1">#REF!</definedName>
    <definedName name="_XD10">#REF!</definedName>
    <definedName name="_XD11">#REF!</definedName>
    <definedName name="_XD12">#REF!</definedName>
    <definedName name="_XD13">#REF!</definedName>
    <definedName name="_XD14">#REF!</definedName>
    <definedName name="_XD2">#REF!</definedName>
    <definedName name="_XD3">#REF!</definedName>
    <definedName name="_XD4">#REF!</definedName>
    <definedName name="_XD5">#REF!</definedName>
    <definedName name="_XD6">#REF!</definedName>
    <definedName name="_XD7">#REF!</definedName>
    <definedName name="_XD8">#REF!</definedName>
    <definedName name="_XD9">#REF!</definedName>
    <definedName name="_YD1">#REF!</definedName>
    <definedName name="_YD10">#REF!</definedName>
    <definedName name="_YD11">#REF!</definedName>
    <definedName name="_YD12">#REF!</definedName>
    <definedName name="_YD13">#REF!</definedName>
    <definedName name="_YD14">#REF!</definedName>
    <definedName name="_YD2">#REF!</definedName>
    <definedName name="_YD3">#REF!</definedName>
    <definedName name="_YD4">#REF!</definedName>
    <definedName name="_YD5">#REF!</definedName>
    <definedName name="_YD6">#REF!</definedName>
    <definedName name="_YD7">#REF!</definedName>
    <definedName name="_YD8">#REF!</definedName>
    <definedName name="_YD9">#REF!</definedName>
    <definedName name="_ZD1">#REF!</definedName>
    <definedName name="_ZD10">#REF!</definedName>
    <definedName name="_ZD11">#REF!</definedName>
    <definedName name="_ZD12">#REF!</definedName>
    <definedName name="_ZD13">#REF!</definedName>
    <definedName name="_ZD14">#REF!</definedName>
    <definedName name="_ZD2">#REF!</definedName>
    <definedName name="_ZD3">#REF!</definedName>
    <definedName name="_ZD4">#REF!</definedName>
    <definedName name="_ZD5">#REF!</definedName>
    <definedName name="_ZD6">#REF!</definedName>
    <definedName name="_ZD7">#REF!</definedName>
    <definedName name="_ZD8">#REF!</definedName>
    <definedName name="_ZD9">#REF!</definedName>
    <definedName name="A">#REF!</definedName>
    <definedName name="A_impresion_IM">#REF!</definedName>
    <definedName name="A_impresión_IM">#REF!</definedName>
    <definedName name="A_IMPRESIÓN_IM_74">#REF!</definedName>
    <definedName name="aa">#REF!</definedName>
    <definedName name="aaa">#REF!</definedName>
    <definedName name="aaaa" hidden="1">#REF!</definedName>
    <definedName name="aaaaa">#REF!</definedName>
    <definedName name="aaaaaa">#REF!</definedName>
    <definedName name="AAAAAAA" hidden="1">{#N/A,#N/A,FALSE,"ESTUDIO1"}</definedName>
    <definedName name="aaaaaaaaa">#REF!</definedName>
    <definedName name="aaaaaaaaaaa" hidden="1">#REF!</definedName>
    <definedName name="aaaaaaaaaaaa">#REF!</definedName>
    <definedName name="aaaaaaaaaaaaaa" hidden="1">#REF!</definedName>
    <definedName name="aaaaaaaaaaaaaaaaaaa" hidden="1">#REF!</definedName>
    <definedName name="aaaaaaaaaaaaaaaaaaaa" hidden="1">#REF!</definedName>
    <definedName name="aaaaaaaaaaaaaaaaaaaaaa">#REF!</definedName>
    <definedName name="acera">#REF!</definedName>
    <definedName name="ACF">#REF!</definedName>
    <definedName name="ACH">#REF!</definedName>
    <definedName name="activación">#REF!</definedName>
    <definedName name="actividad">#REF!</definedName>
    <definedName name="ACTIVOS">#REF!</definedName>
    <definedName name="ACTIVOS.PREDIO">#REF!</definedName>
    <definedName name="ACUALIT">#REF!</definedName>
    <definedName name="ADM.PROD">#REF!</definedName>
    <definedName name="ADMIN">#REF!</definedName>
    <definedName name="administrador">#REF!</definedName>
    <definedName name="administrador1">#REF!</definedName>
    <definedName name="administrador2">#REF!</definedName>
    <definedName name="AE" hidden="1">{#N/A,#N/A,FALSE,"DICFIN"}</definedName>
    <definedName name="AES">#REF!</definedName>
    <definedName name="afex">#REF!</definedName>
    <definedName name="AgroUniCol">#REF!</definedName>
    <definedName name="agua">#REF!</definedName>
    <definedName name="AJUSTE">#REF!</definedName>
    <definedName name="akløjfshlk">#REF!</definedName>
    <definedName name="akløjfshlk_58">#REF!</definedName>
    <definedName name="ALTONTETMF">#REF!</definedName>
    <definedName name="AMORTIZAC">#REF!</definedName>
    <definedName name="amt">#REF!</definedName>
    <definedName name="ANALISIS.RIESGO">#REF!</definedName>
    <definedName name="Analista_DO">#REF!</definedName>
    <definedName name="Analsta_Capacitación">#REF!</definedName>
    <definedName name="ANEXO">#REF!</definedName>
    <definedName name="ANEXO_1">#REF!</definedName>
    <definedName name="ANEXO1">#REF!</definedName>
    <definedName name="anexo2">#REF!</definedName>
    <definedName name="anexo3">#REF!</definedName>
    <definedName name="anexo4">#REF!</definedName>
    <definedName name="ANEXOTECNICO">#REF!</definedName>
    <definedName name="angela">#REF!</definedName>
    <definedName name="angela_2012">#REF!</definedName>
    <definedName name="angeles" hidden="1">{#N/A,#N/A,FALSE,"DICTEC"}</definedName>
    <definedName name="angelita_2012">#REF!</definedName>
    <definedName name="Annual_interest_rate">#REF!</definedName>
    <definedName name="ANT">#REF!</definedName>
    <definedName name="ANTECED.CRED">#REF!</definedName>
    <definedName name="Anteced.Credito">#REF!</definedName>
    <definedName name="ANTECEDENTES">#REF!</definedName>
    <definedName name="ANTIGUO">#REF!</definedName>
    <definedName name="ANUAL">#REF!</definedName>
    <definedName name="ANUAL2">#REF!</definedName>
    <definedName name="ANUAL3">#REF!</definedName>
    <definedName name="ANUAL4">#REF!</definedName>
    <definedName name="ANUAL5">#REF!</definedName>
    <definedName name="ANUAL6">#REF!</definedName>
    <definedName name="año">#REF!</definedName>
    <definedName name="Año_Nac._Prod.">#REF!</definedName>
    <definedName name="AÑOCALENDARIO">#REF!</definedName>
    <definedName name="años">#REF!</definedName>
    <definedName name="APIZ">#REF!</definedName>
    <definedName name="APORTACION">#REF!</definedName>
    <definedName name="APZ_17">#REF!</definedName>
    <definedName name="AR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ARB">#REF!</definedName>
    <definedName name="AREA_DE_IMPRE01">#REF!</definedName>
    <definedName name="AREA_DE_IMPRE02">#REF!</definedName>
    <definedName name="AREA_DE_IMPRE03">#REF!</definedName>
    <definedName name="AREA_DE_IMPRE04">#REF!</definedName>
    <definedName name="AREA_DE_IMPRE05">#REF!</definedName>
    <definedName name="AREA_DE_IMPRE06">#REF!</definedName>
    <definedName name="AREA_DE_IMPRE07">#REF!</definedName>
    <definedName name="AREA_DE_IMPRESI">#REF!</definedName>
    <definedName name="ARESCOND">#REF!</definedName>
    <definedName name="ARRASTRE">#REF!</definedName>
    <definedName name="arrastre1">#REF!</definedName>
    <definedName name="arrastre2">#REF!</definedName>
    <definedName name="arrastre3">#REF!</definedName>
    <definedName name="arrastre4">#REF!</definedName>
    <definedName name="arrastre5">#REF!</definedName>
    <definedName name="arrastre6">#REF!</definedName>
    <definedName name="AS">#REF!</definedName>
    <definedName name="AS2DocOpenMode">"AS2DocumentEdit"</definedName>
    <definedName name="AS2HasNoAutoHeaderFooter" hidden="1">" "</definedName>
    <definedName name="AS2NamedRange" hidden="1">9</definedName>
    <definedName name="AS2ReportLS" hidden="1">1</definedName>
    <definedName name="AS2SyncStepLS" hidden="1">0</definedName>
    <definedName name="AS2TickmarkLS" hidden="1">#REF!</definedName>
    <definedName name="AS2TickmarkLS_2" hidden="1">#REF!</definedName>
    <definedName name="AS2VersionLS" hidden="1">300</definedName>
    <definedName name="asdasd">#REF!</definedName>
    <definedName name="asdasda">#REF!</definedName>
    <definedName name="asdasdads">#REF!</definedName>
    <definedName name="asdasdas">#REF!</definedName>
    <definedName name="asdasdasasf">#REF!</definedName>
    <definedName name="asdasdasdsad">#REF!</definedName>
    <definedName name="asdsadasdas">#REF!</definedName>
    <definedName name="ASERCA">#REF!</definedName>
    <definedName name="Asistente_de_finanzas__F">#REF!</definedName>
    <definedName name="Asistente_Social_1">#REF!</definedName>
    <definedName name="Asistente_Social_2">#REF!</definedName>
    <definedName name="Asistente_tesoreria__Elvis_San_Martin">#REF!</definedName>
    <definedName name="ASPECFINANC2">#REF!</definedName>
    <definedName name="AUTORIZACIÓN">#REF!</definedName>
    <definedName name="Auxiliar_Tesoreria__Edinson_Muñoz_P.">#REF!</definedName>
    <definedName name="av">#REF!</definedName>
    <definedName name="AVALUO1">#REF!</definedName>
    <definedName name="AVALUO10">#REF!</definedName>
    <definedName name="AVALUO11">#REF!</definedName>
    <definedName name="AVALUO12">#REF!</definedName>
    <definedName name="AVALUO13">#REF!</definedName>
    <definedName name="AVALUO14">#REF!</definedName>
    <definedName name="AVALUO15">#REF!</definedName>
    <definedName name="AVALUO16">#REF!</definedName>
    <definedName name="AVALUO17">#REF!</definedName>
    <definedName name="AVALUO18">#REF!</definedName>
    <definedName name="AVALUO2">#REF!</definedName>
    <definedName name="AVALUO3">#REF!</definedName>
    <definedName name="AVALUO4">#REF!</definedName>
    <definedName name="AVALUO5">#REF!</definedName>
    <definedName name="AVALUO6">#REF!</definedName>
    <definedName name="AVALUO7">#REF!</definedName>
    <definedName name="AVALUO8">#REF!</definedName>
    <definedName name="AVALUO9">#REF!</definedName>
    <definedName name="AVDS">#REF!</definedName>
    <definedName name="AVENA" hidden="1">{#N/A,#N/A,FALSE,"ESTUDIO1"}</definedName>
    <definedName name="AVIO">#REF!</definedName>
    <definedName name="azerty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b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_IMPRESION_IM">#REF!</definedName>
    <definedName name="bal" hidden="1">{#N/A,#N/A,FALSE,"DICFIN";#N/A,#N/A,FALSE,"SINTESIS";#N/A,#N/A,FALSE,"PROYFIN";#N/A,#N/A,FALSE,"DICTEC";#N/A,#N/A,FALSE,"ESTUDIO1"}</definedName>
    <definedName name="BALANCE">#REF!</definedName>
    <definedName name="BALANCE_1">#REF!</definedName>
    <definedName name="BALANCE_2">#REF!</definedName>
    <definedName name="BALANCES">#REF!</definedName>
    <definedName name="balanse">#REF!</definedName>
    <definedName name="balanse_58">#REF!</definedName>
    <definedName name="BALEDO">#REF!</definedName>
    <definedName name="BalType" hidden="1">TRUE</definedName>
    <definedName name="Bancojulio2013">{1,2,3,4;5,6,7,8;9,10,11,12;13,14,15,16}</definedName>
    <definedName name="BASE">#REF!</definedName>
    <definedName name="BASE2" hidden="1">{#N/A,#N/A,FALSE,"DICFIN"}</definedName>
    <definedName name="BASE3" hidden="1">{#N/A,#N/A,FALSE,"DICFIN"}</definedName>
    <definedName name="base4">#REF!</definedName>
    <definedName name="basedatos">#REF!</definedName>
    <definedName name="_xlnm.Database">#REF!</definedName>
    <definedName name="BaseGral." hidden="1">{#N/A,#N/A,FALSE,"SINTESIS"}</definedName>
    <definedName name="BASEI">#REF!</definedName>
    <definedName name="BASICA">L2C1:L85C6</definedName>
    <definedName name="BBB">IF(#REF!&lt;&gt;"",MIN(#REF!,Pmt_to_use-#REF!),"")</definedName>
    <definedName name="BE_Fixed">#REF!</definedName>
    <definedName name="BE_Revenue">#REF!</definedName>
    <definedName name="BE_Total">#REF!</definedName>
    <definedName name="BE_Variable">#REF!</definedName>
    <definedName name="Beg.Bal">IF(#REF!&lt;&gt;"",#REF!,"")</definedName>
    <definedName name="BENEFICIARIOS">#REF!</definedName>
    <definedName name="BF">#REF!</definedName>
    <definedName name="BFLUJOEFECTIVO">#REF!</definedName>
    <definedName name="bg" hidden="1">#REF!</definedName>
    <definedName name="BG_Del" hidden="1">15</definedName>
    <definedName name="BG_Ins" hidden="1">4</definedName>
    <definedName name="BG_Mod" hidden="1">6</definedName>
    <definedName name="bl" hidden="1">{#N/A,#N/A,FALSE,"ESTUDIO1"}</definedName>
    <definedName name="BLPH1" hidden="1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OAT_K">#REF!</definedName>
    <definedName name="BOAT_M">#REF!</definedName>
    <definedName name="BOAT_MJ">#REF!</definedName>
    <definedName name="BODEGA">#REF!</definedName>
    <definedName name="bono">#REF!</definedName>
    <definedName name="BORR">#REF!</definedName>
    <definedName name="borrador">#REF!</definedName>
    <definedName name="branch">#REF!</definedName>
    <definedName name="Brøvig">#REF!</definedName>
    <definedName name="Brøvig_58">#REF!</definedName>
    <definedName name="BUILL">#REF!</definedName>
    <definedName name="BulkPack">#REF!</definedName>
    <definedName name="BUSA">#REF!</definedName>
    <definedName name="Búsqueda_en_MS_Query">#REF!</definedName>
    <definedName name="C.OP.GANADO">#REF!</definedName>
    <definedName name="CAB">#REF!</definedName>
    <definedName name="cadena">#REF!</definedName>
    <definedName name="CAJA1">#REF!</definedName>
    <definedName name="CAJA2">#REF!</definedName>
    <definedName name="CAJA3">#REF!</definedName>
    <definedName name="CAJA4">#REF!</definedName>
    <definedName name="CAJA5">#REF!</definedName>
    <definedName name="Cajas1°Año1">#REF!</definedName>
    <definedName name="Cajas1°Año2">#REF!</definedName>
    <definedName name="Cajas1°Año3">#REF!</definedName>
    <definedName name="Cajas1°Año4">#REF!</definedName>
    <definedName name="Cajas1°Año5">#REF!</definedName>
    <definedName name="Cajas2°Año1">#REF!</definedName>
    <definedName name="Cajas2°Año2">#REF!</definedName>
    <definedName name="Cajas2°Año3">#REF!</definedName>
    <definedName name="Cajas2°Año4">#REF!</definedName>
    <definedName name="Cajas2°Año5">#REF!</definedName>
    <definedName name="Cajas20LbsTarima">#REF!</definedName>
    <definedName name="Cajas3°Año1">#REF!</definedName>
    <definedName name="Cajas3°Año2">#REF!</definedName>
    <definedName name="Cajas3°Año3">#REF!</definedName>
    <definedName name="Cajas3°Año4">#REF!</definedName>
    <definedName name="Cajas3°Año5">#REF!</definedName>
    <definedName name="Cajas9LbsTarima">#REF!</definedName>
    <definedName name="CajasPallet1°">#REF!</definedName>
    <definedName name="CajasPallet2°">#REF!</definedName>
    <definedName name="Calculated_payment">#REF!</definedName>
    <definedName name="calefaccion">#REF!</definedName>
    <definedName name="calidad">#REF!</definedName>
    <definedName name="CALIFICACION">#REF!</definedName>
    <definedName name="CALIPROY1">#REF!</definedName>
    <definedName name="CALIPROY2">#REF!</definedName>
    <definedName name="calzada">#REF!</definedName>
    <definedName name="CAMARA">#REF!</definedName>
    <definedName name="CAMBIO">#REF!</definedName>
    <definedName name="CAP_TRAB">#REF!</definedName>
    <definedName name="CAP_TRABAJO">#REF!</definedName>
    <definedName name="capcont">#REF!</definedName>
    <definedName name="capital2011">#REF!</definedName>
    <definedName name="capital2012">#REF!</definedName>
    <definedName name="capital2013">#REF!</definedName>
    <definedName name="capital2014">#REF!</definedName>
    <definedName name="capital2015">#REF!</definedName>
    <definedName name="capital2016">#REF!</definedName>
    <definedName name="CapitalInicial">#REF!</definedName>
    <definedName name="CAPITALTRABAJO">#REF!</definedName>
    <definedName name="CAPTRAB">#REF!</definedName>
    <definedName name="CAPTRAB01">#REF!</definedName>
    <definedName name="CapTrabajo">#REF!</definedName>
    <definedName name="CAR">#REF!</definedName>
    <definedName name="caracteristica">#REF!</definedName>
    <definedName name="Cargos_por_frio_y_manejo">#REF!</definedName>
    <definedName name="CARGRU">#REF!</definedName>
    <definedName name="CARGRUP3">#REF!</definedName>
    <definedName name="CARGRUPX">#REF!</definedName>
    <definedName name="CARMODI1">#REF!</definedName>
    <definedName name="CARMODI2">#REF!</definedName>
    <definedName name="carolina">#REF!</definedName>
    <definedName name="CASINO">#REF!</definedName>
    <definedName name="CATALOGO">#REF!</definedName>
    <definedName name="CAUDALES">#REF!</definedName>
    <definedName name="CB">#REF!</definedName>
    <definedName name="cc">#REF!</definedName>
    <definedName name="cca">#REF!</definedName>
    <definedName name="cccccc">#REF!</definedName>
    <definedName name="ccer">#REF!</definedName>
    <definedName name="CCN">#REF!</definedName>
    <definedName name="CECOS">#REF!</definedName>
    <definedName name="cedu.xls" hidden="1">{#N/A,#N/A,FALSE,"DICFIN";#N/A,#N/A,FALSE,"SINTESIS";#N/A,#N/A,FALSE,"PROYFIN";#N/A,#N/A,FALSE,"DICTEC";#N/A,#N/A,FALSE,"ESTUDIO1"}</definedName>
    <definedName name="cedula" hidden="1">{#N/A,#N/A,FALSE,"DICTEC"}</definedName>
    <definedName name="cedula.xls" hidden="1">{#N/A,#N/A,FALSE,"PROYFIN"}</definedName>
    <definedName name="Celulares">#REF!</definedName>
    <definedName name="CENTRO_DE_COSTO">#REF!</definedName>
    <definedName name="CERCO">#REF!</definedName>
    <definedName name="cerco1">#REF!</definedName>
    <definedName name="cerco2">#REF!</definedName>
    <definedName name="Cerezos">#REF!</definedName>
    <definedName name="CERTIFICACIONES">#REF!</definedName>
    <definedName name="CHORIT">#REF!</definedName>
    <definedName name="CHORITOS">#REF!</definedName>
    <definedName name="CicloSuelo">#REF!</definedName>
    <definedName name="CINCO">#REF!</definedName>
    <definedName name="cipx">#REF!</definedName>
    <definedName name="CIQWBGuid" hidden="1">"Modelo padrão (anual) Final_v1204.xlsx"</definedName>
    <definedName name="CIQWBInfo" hidden="1">"{ ""CIQVersion"":""9.49.2423.4439"" }"</definedName>
    <definedName name="CL_13">#REF!</definedName>
    <definedName name="CL_14">#REF!</definedName>
    <definedName name="CL_15">#REF!</definedName>
    <definedName name="CL_16">#REF!</definedName>
    <definedName name="CL_17">#REF!</definedName>
    <definedName name="CL_18">#REF!</definedName>
    <definedName name="CL_19">#REF!</definedName>
    <definedName name="CL_20">#REF!</definedName>
    <definedName name="CL_21">#REF!</definedName>
    <definedName name="CLA">#REF!</definedName>
    <definedName name="ClamsChamberlain">#REF!</definedName>
    <definedName name="ClamshellPack">#REF!</definedName>
    <definedName name="ClamsRedella">#REF!</definedName>
    <definedName name="clase">#REF!</definedName>
    <definedName name="clasificaciondinamica">#REF!</definedName>
    <definedName name="CLIENTE">#REF!</definedName>
    <definedName name="closet">#REF!</definedName>
    <definedName name="COBERTURA">#REF!</definedName>
    <definedName name="codceco">#REF!</definedName>
    <definedName name="codigo">#REF!</definedName>
    <definedName name="COIHUIN">#REF!</definedName>
    <definedName name="COMENT.TEC">#REF!</definedName>
    <definedName name="COMERCIO">#REF!</definedName>
    <definedName name="Comisión_exportador">#REF!</definedName>
    <definedName name="Comisión_recibidor">#REF!</definedName>
    <definedName name="ComisiónChamberlain">#REF!</definedName>
    <definedName name="ComisiónComercialización">#REF!</definedName>
    <definedName name="ComisiónDistribuidor">#REF!</definedName>
    <definedName name="ComisiónRedella">#REF!</definedName>
    <definedName name="complemento">#REF!</definedName>
    <definedName name="Compromiso">#REF!</definedName>
    <definedName name="COMUNA">#REF!</definedName>
    <definedName name="COMUNAS">#REF!</definedName>
    <definedName name="CONCENTRACOSTO">#REF!</definedName>
    <definedName name="CONDICION">#REF!</definedName>
    <definedName name="conjunto">#REF!</definedName>
    <definedName name="conservacion">#REF!</definedName>
    <definedName name="construccion">#REF!</definedName>
    <definedName name="CONT.CALIDAD">#REF!</definedName>
    <definedName name="Contador">#REF!</definedName>
    <definedName name="Contador_General">#REF!</definedName>
    <definedName name="contador1">5</definedName>
    <definedName name="contador2">5</definedName>
    <definedName name="Contribution_margin">#REF!</definedName>
    <definedName name="COPIA" hidden="1">{#N/A,#N/A,FALSE,"SINTESIS"}</definedName>
    <definedName name="COS">#REF!</definedName>
    <definedName name="COSCANTA1">#REF!</definedName>
    <definedName name="COSCANTA2">#REF!</definedName>
    <definedName name="COSECHA">#REF!</definedName>
    <definedName name="COSHONEY1">#REF!</definedName>
    <definedName name="COSHONEY2">#REF!</definedName>
    <definedName name="COSTATMF">#REF!</definedName>
    <definedName name="COSTHONEYBLANCO">#REF!</definedName>
    <definedName name="Costo_Const1">#REF!</definedName>
    <definedName name="Costo_Const2">#REF!</definedName>
    <definedName name="COSTO_FINANCIER">#REF!</definedName>
    <definedName name="costo_financiero">#REF!</definedName>
    <definedName name="COSTO_UNITARIO">#REF!</definedName>
    <definedName name="Costo_Urb">#REF!</definedName>
    <definedName name="COSTO2">#REF!</definedName>
    <definedName name="CostoAduana">#REF!</definedName>
    <definedName name="CostoAduanal">#REF!</definedName>
    <definedName name="CostoAgroquímicos">#REF!</definedName>
    <definedName name="CostoCajaEmpaque">#REF!</definedName>
    <definedName name="CostoClamshell">#REF!</definedName>
    <definedName name="CostoEsquinero">#REF!</definedName>
    <definedName name="CostoEsquineroPallet">#REF!</definedName>
    <definedName name="CostoEtiquetaClamshell">#REF!</definedName>
    <definedName name="CostoEtiquetaPallet">#REF!</definedName>
    <definedName name="CostoFertilizante">#REF!</definedName>
    <definedName name="CostoFleje">#REF!</definedName>
    <definedName name="CostoFlejePallet">#REF!</definedName>
    <definedName name="CostoFleteMcAllen">#REF!</definedName>
    <definedName name="CostoFleteNogales">#REF!</definedName>
    <definedName name="CostoGrapaClavoPallet">#REF!</definedName>
    <definedName name="CostoGrapayClavos">#REF!</definedName>
    <definedName name="COSTOHA">#REF!</definedName>
    <definedName name="COSTOM">#REF!</definedName>
    <definedName name="CostoMantAño1">#REF!</definedName>
    <definedName name="CostoMantAño2...">#REF!</definedName>
    <definedName name="CostoPlántula">#REF!</definedName>
    <definedName name="CostoRafia">#REF!</definedName>
    <definedName name="COSTOS">#REF!</definedName>
    <definedName name="COSTOS_OPERAC">#REF!</definedName>
    <definedName name="CostoSemilla">#REF!</definedName>
    <definedName name="CostosFijos">#REF!</definedName>
    <definedName name="CostoSustrato">#REF!</definedName>
    <definedName name="CostoTarima">#REF!</definedName>
    <definedName name="CostoTransporte">#REF!</definedName>
    <definedName name="costoventausd">#REF!</definedName>
    <definedName name="COVENANTS">#REF!</definedName>
    <definedName name="cq">#REF!</definedName>
    <definedName name="crece">#REF!</definedName>
    <definedName name="crecvtas">#REF!</definedName>
    <definedName name="CREDITO1">#REF!</definedName>
    <definedName name="CREDITO2">#REF!</definedName>
    <definedName name="CREDITO3">#REF!</definedName>
    <definedName name="CREDMENSUAL">#REF!</definedName>
    <definedName name="crops">#REF!</definedName>
    <definedName name="CROQ">#REF!</definedName>
    <definedName name="CROQUIS">#REF!</definedName>
    <definedName name="CTNOP">#REF!</definedName>
    <definedName name="CUAD38">#REF!</definedName>
    <definedName name="CUAD39">#REF!</definedName>
    <definedName name="CUAD40">#REF!</definedName>
    <definedName name="CUAD41">#REF!</definedName>
    <definedName name="CUADRO_DE_MINISTRACIONES">#REF!</definedName>
    <definedName name="cuatro" hidden="1">{#N/A,#N/A,FALSE,"PROYFIN"}</definedName>
    <definedName name="CUENCA">#REF!</definedName>
    <definedName name="cuenta">#REF!</definedName>
    <definedName name="Cuestionario_de_crédito">#REF!</definedName>
    <definedName name="CULTIVOS">#REF!</definedName>
    <definedName name="culturas">#REF!</definedName>
    <definedName name="Cum.Interest">IF(#REF!&lt;&gt;"",#REF!+#REF!,"")</definedName>
    <definedName name="cuota1">#REF!</definedName>
    <definedName name="cuota15">#REF!</definedName>
    <definedName name="cuota2">#REF!</definedName>
    <definedName name="cuota25">#REF!</definedName>
    <definedName name="cuota3">#REF!</definedName>
    <definedName name="cuota35">#REF!</definedName>
    <definedName name="cuotam51">#REF!</definedName>
    <definedName name="CURP">#REF!</definedName>
    <definedName name="cuva">#REF!</definedName>
    <definedName name="cvpesimista">#REF!</definedName>
    <definedName name="d" hidden="1">{#N/A,#N/A,FALSE,"SINTESIS"}</definedName>
    <definedName name="D_CULT">#REF!</definedName>
    <definedName name="DAE" hidden="1">{#N/A,#N/A,FALSE,"SINTESIS"}</definedName>
    <definedName name="DATA">#REF!</definedName>
    <definedName name="DATA1">#REF!</definedName>
    <definedName name="DATE1">#REF!</definedName>
    <definedName name="DATE2">#REF!</definedName>
    <definedName name="DATE3">#REF!</definedName>
    <definedName name="DATE4">#REF!</definedName>
    <definedName name="DATE5">#REF!</definedName>
    <definedName name="DATE6">#REF!</definedName>
    <definedName name="DATOS">#REF!,#REF!,#REF!,#REF!,#REF!</definedName>
    <definedName name="DATOS.GRALES.">#REF!</definedName>
    <definedName name="DCTOTECUNICO">#REF!</definedName>
    <definedName name="dd" hidden="1">#REF!</definedName>
    <definedName name="ddddddddd">#REF!</definedName>
    <definedName name="DensidadPlantación">#REF!</definedName>
    <definedName name="DEPCENTMF">#REF!</definedName>
    <definedName name="DEPTO.">#REF!</definedName>
    <definedName name="DERECHO">#REF!</definedName>
    <definedName name="DES._HATO">#REF!</definedName>
    <definedName name="DESAR.CULTIVOS">#REF!</definedName>
    <definedName name="DESARROLLO_HATO">#REF!</definedName>
    <definedName name="descripcion">#REF!</definedName>
    <definedName name="DESCULT">#REF!</definedName>
    <definedName name="Desfase_Ingresos">#REF!</definedName>
    <definedName name="DESGLOSE2">#REF!,#REF!</definedName>
    <definedName name="DEVA">#REF!</definedName>
    <definedName name="dia">#REF!</definedName>
    <definedName name="día">#REF!</definedName>
    <definedName name="DIAGNOSTICO">#REF!</definedName>
    <definedName name="dias_mes">#REF!</definedName>
    <definedName name="DIETA">#REF!</definedName>
    <definedName name="DIFERENCIAS">#REF!</definedName>
    <definedName name="DifeTC">#REF!</definedName>
    <definedName name="DifTC">#REF!</definedName>
    <definedName name="direccion">#REF!</definedName>
    <definedName name="DISTADMON">#REF!</definedName>
    <definedName name="DISTRCOSTOCHINO">#REF!</definedName>
    <definedName name="dividendos2011">#REF!</definedName>
    <definedName name="dividendos2012">#REF!</definedName>
    <definedName name="dividendos2013">#REF!</definedName>
    <definedName name="dividendos2014">#REF!</definedName>
    <definedName name="dividendos2015">#REF!</definedName>
    <definedName name="dividendos2016">#REF!</definedName>
    <definedName name="DO" hidden="1">{#N/A,#N/A,FALSE,"DICFIN"}</definedName>
    <definedName name="DOC.TEC.UNICO">#REF!</definedName>
    <definedName name="DOC_UNICO">#REF!</definedName>
    <definedName name="DOCUNI">#REF!</definedName>
    <definedName name="dolar">#REF!</definedName>
    <definedName name="dos" hidden="1">{#N/A,#N/A,FALSE,"DICFIN";#N/A,#N/A,FALSE,"SINTESIS";#N/A,#N/A,FALSE,"PROYFIN";#N/A,#N/A,FALSE,"DICTEC";#N/A,#N/A,FALSE,"ESTUDIO1"}</definedName>
    <definedName name="dsd" hidden="1">"CAVD7SCWJ2AXAA0RJGKFLUFZV"</definedName>
    <definedName name="dsds" hidden="1">#REF!</definedName>
    <definedName name="dsfsdfds">#REF!</definedName>
    <definedName name="DTU">#REF!</definedName>
    <definedName name="DTU_">#REF!</definedName>
    <definedName name="DVL">#REF!</definedName>
    <definedName name="e" hidden="1">#REF!</definedName>
    <definedName name="E_IND_PROD">#REF!</definedName>
    <definedName name="EB">#REF!</definedName>
    <definedName name="EDORESULTADOS">#REF!</definedName>
    <definedName name="EDOS_RES">#REF!</definedName>
    <definedName name="ee">#REF!</definedName>
    <definedName name="eee">#REF!</definedName>
    <definedName name="eee.xls" hidden="1">{#N/A,#N/A,FALSE,"DICFIN";#N/A,#N/A,FALSE,"SINTESIS";#N/A,#N/A,FALSE,"PROYFIN";#N/A,#N/A,FALSE,"DICTEC";#N/A,#N/A,FALSE,"ESTUDIO1"}</definedName>
    <definedName name="EEEEEE" hidden="1">{#N/A,#N/A,FALSE,"DICFIN"}</definedName>
    <definedName name="EERRTRAN">#REF!</definedName>
    <definedName name="EfectivoInicial">#REF!</definedName>
    <definedName name="egfdsgfdsg">#REF!</definedName>
    <definedName name="EIENDELR">#REF!</definedName>
    <definedName name="EIENDELR_58">#REF!</definedName>
    <definedName name="Ejemplo_de_Ramificación">#REF!</definedName>
    <definedName name="Ejemplo_deRamificación">#REF!</definedName>
    <definedName name="EJERCICIO">#REF!</definedName>
    <definedName name="electricidad">#REF!</definedName>
    <definedName name="elimah">#REF!</definedName>
    <definedName name="elimah_58">#REF!</definedName>
    <definedName name="elimdof">#REF!</definedName>
    <definedName name="elimdof_58">#REF!</definedName>
    <definedName name="elimdofind">#REF!</definedName>
    <definedName name="elimdofind_58">#REF!</definedName>
    <definedName name="elimifitjar">#REF!</definedName>
    <definedName name="elimifitjar_58">#REF!</definedName>
    <definedName name="eliminasjon">#REF!</definedName>
    <definedName name="eliminasjon_58">#REF!</definedName>
    <definedName name="eliminfitjar">#REF!</definedName>
    <definedName name="eliminfitjar_44">#REF!</definedName>
    <definedName name="email_admin">#REF!</definedName>
    <definedName name="Ending.Balance">IF(#REF!&lt;&gt;"",#REF!-#REF!,"")</definedName>
    <definedName name="enero1123">#REF!</definedName>
    <definedName name="Entered_payment">#REF!</definedName>
    <definedName name="Errores">#REF!</definedName>
    <definedName name="ESJT">#REF!</definedName>
    <definedName name="ESJT17">#REF!</definedName>
    <definedName name="ESPECIE">#REF!</definedName>
    <definedName name="ESPINOZA">#REF!</definedName>
    <definedName name="EST.COSTO.P">#REF!</definedName>
    <definedName name="ESTADO">#REF!</definedName>
    <definedName name="Estafeta__A">#REF!</definedName>
    <definedName name="EstatusCalidad">#REF!</definedName>
    <definedName name="ESTRATIF.P">#REF!</definedName>
    <definedName name="Estratificacion">#REF!</definedName>
    <definedName name="Etapas">#REF!</definedName>
    <definedName name="eur">#REF!</definedName>
    <definedName name="euro">#REF!</definedName>
    <definedName name="EVAL1">#REF!</definedName>
    <definedName name="EVAL2">#REF!</definedName>
    <definedName name="EVAL3">#REF!</definedName>
    <definedName name="EVALUACION_4">#REF!</definedName>
    <definedName name="EVALUACION_5">#REF!</definedName>
    <definedName name="Evaluando_Año">#REF!</definedName>
    <definedName name="EWRGS" hidden="1">#REF!</definedName>
    <definedName name="Excel_BuiltIn_Print_Area">#REF!</definedName>
    <definedName name="exterior">#REF!</definedName>
    <definedName name="F_MEM_CALC">#REF!</definedName>
    <definedName name="fasdfdsaf">#REF!</definedName>
    <definedName name="FD">Payments_per_year*Term_in_years</definedName>
    <definedName name="FDHHG">IF(#REF!&lt;&gt;"",DATE(YEAR(First_payment_due),MONTH(First_payment_due)+(#REF!-1)*12/Payments_per_year,DAY(First_payment_due)),"")</definedName>
    <definedName name="FDO_INTERNO">#REF!</definedName>
    <definedName name="FE">#REF!</definedName>
    <definedName name="FECHA">#REF!</definedName>
    <definedName name="Fecha_CierreMensual">#REF!</definedName>
    <definedName name="FECHA_DE_CONSTITUCION">#REF!</definedName>
    <definedName name="FECHA1">#REF!</definedName>
    <definedName name="FECHA10">#REF!</definedName>
    <definedName name="FECHA2">#REF!</definedName>
    <definedName name="FECHA20">#REF!</definedName>
    <definedName name="FECHA3">#REF!</definedName>
    <definedName name="FECHA30">#REF!</definedName>
    <definedName name="FECHA4">#REF!</definedName>
    <definedName name="FECHA40">#REF!</definedName>
    <definedName name="FECHA5">#REF!</definedName>
    <definedName name="FECHA50">#REF!</definedName>
    <definedName name="FECHA6">#REF!</definedName>
    <definedName name="FECHA60">#REF!</definedName>
    <definedName name="fegamay5">#REF!</definedName>
    <definedName name="FERNANDO">#REF!</definedName>
    <definedName name="fff">#REF!</definedName>
    <definedName name="ffff" hidden="1">{#N/A,#N/A,FALSE,"DICTEC"}</definedName>
    <definedName name="fg">#REF!</definedName>
    <definedName name="FH" hidden="1">{#N/A,#N/A,FALSE,"DICFIN"}</definedName>
    <definedName name="_xlnm.Data_Form">#REF!</definedName>
    <definedName name="FIJO1">#REF!</definedName>
    <definedName name="FIJO2">#REF!</definedName>
    <definedName name="FIJO3">#REF!</definedName>
    <definedName name="FIJO4">#REF!</definedName>
    <definedName name="FIJO5">#REF!</definedName>
    <definedName name="Final">{1,2,3,4;5,6,7,8;9,10,11,12;13,14,15,16}</definedName>
    <definedName name="FINANZAS">#REF!</definedName>
    <definedName name="firma_1">#REF!</definedName>
    <definedName name="firma_2">#REF!</definedName>
    <definedName name="First_payment_due">#REF!</definedName>
    <definedName name="First_payment_no">#REF!</definedName>
    <definedName name="FISHMEAL_A">#REF!</definedName>
    <definedName name="fixed">#REF!</definedName>
    <definedName name="FIXED_ADM">#REF!</definedName>
    <definedName name="Fixed_expenses">#REF!</definedName>
    <definedName name="FIXED_GS">#REF!</definedName>
    <definedName name="FIXED_GS_2">#REF!</definedName>
    <definedName name="FIXED_GS_54">#REF!</definedName>
    <definedName name="FIXED_GS_58">#REF!</definedName>
    <definedName name="FIXED_GS_61">#REF!</definedName>
    <definedName name="FIXED_K">#REF!</definedName>
    <definedName name="FIXED_K_2">#REF!</definedName>
    <definedName name="FIXED_M">#REF!</definedName>
    <definedName name="FIXED_M_2">#REF!</definedName>
    <definedName name="FIXED_MJ">#REF!</definedName>
    <definedName name="FIXED_MJ_2">#REF!</definedName>
    <definedName name="FIXED_RESUME">#REF!</definedName>
    <definedName name="fjjashfja" hidden="1">#REF!</definedName>
    <definedName name="Flete_aereo">#REF!</definedName>
    <definedName name="Flete_maritimo">#REF!</definedName>
    <definedName name="FLU_AÑO1">#REF!</definedName>
    <definedName name="FLU_AÑO2">#REF!</definedName>
    <definedName name="FLUJ1">#REF!</definedName>
    <definedName name="FLUJO">#REF!</definedName>
    <definedName name="FLUJO_AÑO2">#REF!</definedName>
    <definedName name="FLUJO_AÑO3">#REF!</definedName>
    <definedName name="FLUJO_AÑO4">#REF!</definedName>
    <definedName name="FLUJO_AÑO5">#REF!</definedName>
    <definedName name="FLUJO_AÑO6">#REF!</definedName>
    <definedName name="FLUJO_EFE">#REF!</definedName>
    <definedName name="flujo_efe_siembras">#REF!</definedName>
    <definedName name="flujo_efe_socas">#REF!</definedName>
    <definedName name="FLUJO_EFECTIVO">#REF!</definedName>
    <definedName name="flujo1" hidden="1">{#N/A,#N/A,FALSE,"ESTUDIO1"}</definedName>
    <definedName name="flujos_efe_siemb">#REF!</definedName>
    <definedName name="flujos_efe_siemba">#REF!</definedName>
    <definedName name="FNF">#REF!</definedName>
    <definedName name="forma" hidden="1">{#N/A,#N/A,FALSE,"DICTEC"}</definedName>
    <definedName name="FORMATOBALANCE">#REF!</definedName>
    <definedName name="FORRAJE">#REF!</definedName>
    <definedName name="FORRAJEC">#REF!</definedName>
    <definedName name="FORRAJES1">#REF!</definedName>
    <definedName name="FORRAJES2">#REF!</definedName>
    <definedName name="FORRAJES3">#REF!</definedName>
    <definedName name="forta" hidden="1">{#N/A,#N/A,FALSE,"DICTEC"}</definedName>
    <definedName name="Fots" hidden="1">#REF!</definedName>
    <definedName name="FT">#REF!</definedName>
    <definedName name="Función_Personalizada__Cálculo_de_una_Distancia">#REF!</definedName>
    <definedName name="FUNDO">#REF!</definedName>
    <definedName name="FX">#REF!</definedName>
    <definedName name="G">#REF!</definedName>
    <definedName name="G2_MINIST_AMORT">#REF!</definedName>
    <definedName name="GAdm">#REF!</definedName>
    <definedName name="GAN">#REF!</definedName>
    <definedName name="gara1">#REF!</definedName>
    <definedName name="gara2">#REF!</definedName>
    <definedName name="gara3">#REF!</definedName>
    <definedName name="gara51">#REF!</definedName>
    <definedName name="gara52">#REF!</definedName>
    <definedName name="gara53">#REF!</definedName>
    <definedName name="gas">#REF!</definedName>
    <definedName name="Gasolina">#REF!</definedName>
    <definedName name="GASTOS_GANADO">#REF!</definedName>
    <definedName name="GastosNoDeducibles">#REF!</definedName>
    <definedName name="Gastosvend">#REF!</definedName>
    <definedName name="GATIA">#REF!</definedName>
    <definedName name="general">{1,2,3,4;5,6,7,8;9,10,11,12;13,14,15,16}</definedName>
    <definedName name="Gerente_Abastecimiento">#REF!</definedName>
    <definedName name="Gerente_Control_de_Gestión">#REF!</definedName>
    <definedName name="Gerente_Personas">#REF!</definedName>
    <definedName name="Gerente_Riego__Honorarios">#REF!</definedName>
    <definedName name="GG">#REF!</definedName>
    <definedName name="GGTPSVTA">#REF!</definedName>
    <definedName name="gh">#REF!</definedName>
    <definedName name="GJELDEGENKAPITAL">#REF!</definedName>
    <definedName name="GJELDEGENKAPITAL_58">#REF!</definedName>
    <definedName name="Go_Fixed_ext">#REF!</definedName>
    <definedName name="Go_Fixed_own_bonus">#REF!</definedName>
    <definedName name="Go_Holiday">#REF!</definedName>
    <definedName name="Go_Lunches">#REF!</definedName>
    <definedName name="Go_Moviliz">#REF!</definedName>
    <definedName name="Grabacion">#REF!</definedName>
    <definedName name="_xlnm.Recorder">#REF!</definedName>
    <definedName name="Grabacion1">#REF!</definedName>
    <definedName name="Grabacion2">#REF!</definedName>
    <definedName name="Grabación2">#REF!</definedName>
    <definedName name="Grabacion3">#REF!</definedName>
    <definedName name="Grabacion4">#REF!</definedName>
    <definedName name="Grabacion5">#REF!</definedName>
    <definedName name="GRACIA">#REF!</definedName>
    <definedName name="GrpAcct1" hidden="1">"5611"</definedName>
    <definedName name="GrpAcct2" hidden="1">"5612"</definedName>
    <definedName name="GrpLevel" hidden="1">2</definedName>
    <definedName name="gtsvtanal">#REF!</definedName>
    <definedName name="guzm" hidden="1">{#N/A,#N/A,FALSE,"DICTEC"}</definedName>
    <definedName name="GUZMA" hidden="1">{#N/A,#N/A,FALSE,"DICTEC"}</definedName>
    <definedName name="GUZMAN" hidden="1">{#N/A,#N/A,FALSE,"DICTEC"}</definedName>
    <definedName name="GVtas">#REF!</definedName>
    <definedName name="h">#REF!</definedName>
    <definedName name="H_C_PROCREA1">#REF!</definedName>
    <definedName name="H_C_PROCREA2">#REF!</definedName>
    <definedName name="H1A">#REF!</definedName>
    <definedName name="ha">#REF!</definedName>
    <definedName name="HAS">#REF!</definedName>
    <definedName name="HATO">#REF!</definedName>
    <definedName name="HERRERA">#REF!</definedName>
    <definedName name="hj">#REF!</definedName>
    <definedName name="HOJA">#REF!</definedName>
    <definedName name="HOJA_1">#REF!</definedName>
    <definedName name="HOJA1">#REF!</definedName>
    <definedName name="hoja10">#REF!</definedName>
    <definedName name="HOJA2">#REF!</definedName>
    <definedName name="HOJA3">#REF!</definedName>
    <definedName name="HOJA4">#REF!</definedName>
    <definedName name="hoja4v">#REF!</definedName>
    <definedName name="HOJA5">#REF!</definedName>
    <definedName name="hoja6">#REF!</definedName>
    <definedName name="hoja7">#REF!</definedName>
    <definedName name="hoja8">#REF!</definedName>
    <definedName name="hoja9">#REF!</definedName>
    <definedName name="Honorarios">#REF!</definedName>
    <definedName name="hoy" hidden="1">#REF!</definedName>
    <definedName name="HTML_CodePage" hidden="1">1252</definedName>
    <definedName name="HTML_Control" hidden="1">{"'BHN Mensal'!$A$8:$D$8"}</definedName>
    <definedName name="HTML_Description" hidden="1">""</definedName>
    <definedName name="HTML_Email" hidden="1">""</definedName>
    <definedName name="HTML_Header" hidden="1">"BHN Mensal"</definedName>
    <definedName name="HTML_LastUpdate" hidden="1">"26/12/97"</definedName>
    <definedName name="HTML_LineAfter" hidden="1">FALSE</definedName>
    <definedName name="HTML_LineBefore" hidden="1">FALSE</definedName>
    <definedName name="HTML_Name" hidden="1">"Fisica"</definedName>
    <definedName name="HTML_OBDlg2" hidden="1">TRUE</definedName>
    <definedName name="HTML_OBDlg4" hidden="1">TRUE</definedName>
    <definedName name="HTML_OS" hidden="1">0</definedName>
    <definedName name="HTML_PathFile" hidden="1">"C:\GlaucoR\MyHTML.htm"</definedName>
    <definedName name="HTML_PathFileMac" hidden="1">"Macintosh HD:Web Site “~adamodar”:pc:datasets:MyHTML.html"</definedName>
    <definedName name="HTML_Title" hidden="1">"BHnorm"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">#REF!,#REF!</definedName>
    <definedName name="ICOSTOS">#REF!</definedName>
    <definedName name="ID">#REF!</definedName>
    <definedName name="idsolicitud">#REF!</definedName>
    <definedName name="iii">#REF!</definedName>
    <definedName name="iiio" hidden="1">#REF!</definedName>
    <definedName name="IMKMNJ" hidden="1">#REF!</definedName>
    <definedName name="imp">#REF!</definedName>
    <definedName name="imprevistos">#REF!</definedName>
    <definedName name="impto">#REF!</definedName>
    <definedName name="Impuesto_aduana">#REF!</definedName>
    <definedName name="INC">#REF!</definedName>
    <definedName name="INCOME">#REF!</definedName>
    <definedName name="income1">#REF!</definedName>
    <definedName name="INDIC_ANALISIS">#REF!</definedName>
    <definedName name="INE_2">#REF!</definedName>
    <definedName name="INF">#REF!</definedName>
    <definedName name="INF.COMPLE.CULT">#REF!</definedName>
    <definedName name="INF_ADI2">#REF!,#REF!,#REF!,#REF!,#REF!,#REF!,#REF!,#REF!,#REF!,#REF!</definedName>
    <definedName name="INFIN1">#REF!</definedName>
    <definedName name="INFIN2">#REF!</definedName>
    <definedName name="Inflación">#REF!</definedName>
    <definedName name="INFORM.">#REF!</definedName>
    <definedName name="INFRESPALDORESULTADO">#REF!</definedName>
    <definedName name="Ing_12">#REF!</definedName>
    <definedName name="Ingeniero_Control_de_Gestión">#REF!</definedName>
    <definedName name="Ingeniero_Control_de_Gestión_1">#REF!</definedName>
    <definedName name="Ingeniero_Control_de_Gestión_2">#REF!</definedName>
    <definedName name="Ingeniero_Control_de_Gestión_3">#REF!</definedName>
    <definedName name="INGPECUARIO">#REF!</definedName>
    <definedName name="INGRESO">#REF!</definedName>
    <definedName name="INGRESOS">#REF!</definedName>
    <definedName name="INICIO">#REF!</definedName>
    <definedName name="INNPUTTEIENDELER">#REF!</definedName>
    <definedName name="INNPUTTEIENDELER_44">#REF!</definedName>
    <definedName name="INNPUTTEIENDELER_54">#REF!</definedName>
    <definedName name="INNPUTTEIENDELER_61">#REF!</definedName>
    <definedName name="INPUT">#REF!</definedName>
    <definedName name="Insumos">#REF!</definedName>
    <definedName name="INTEGRA">#REF!</definedName>
    <definedName name="interes">#REF!</definedName>
    <definedName name="Interest">#N/A</definedName>
    <definedName name="interior">#REF!</definedName>
    <definedName name="InternalDrive_Rates">#REF!</definedName>
    <definedName name="inv">#REF!</definedName>
    <definedName name="INVENt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1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1_1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2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ARIO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ARIO_1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RSION">#REF!</definedName>
    <definedName name="InvInicial">#REF!</definedName>
    <definedName name="invsubsecuente1">#REF!</definedName>
    <definedName name="invsubsecuente2">#REF!</definedName>
    <definedName name="invsubsecuente3">#REF!</definedName>
    <definedName name="invsubsecuente4">#REF!</definedName>
    <definedName name="invsubsecuente5">#REF!</definedName>
    <definedName name="InvTotalActivos">#REF!</definedName>
    <definedName name="IO_Rates">#REF!</definedName>
    <definedName name="ipc">#REF!</definedName>
    <definedName name="IPC_13">#REF!</definedName>
    <definedName name="IPC_14">#REF!</definedName>
    <definedName name="IPC_15">#REF!</definedName>
    <definedName name="IPC_16">#REF!</definedName>
    <definedName name="IPC_17">#REF!</definedName>
    <definedName name="IPC_18">#REF!</definedName>
    <definedName name="IPC_19">#REF!</definedName>
    <definedName name="IPC_20">#REF!</definedName>
    <definedName name="IPC_21">#REF!</definedName>
    <definedName name="IPRECIO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43556.4620717593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IQB_BOOKMARK_COUNT" hidden="1">3</definedName>
    <definedName name="IQB_BOOKMARK_LOCATION_1" hidden="1">#REF!</definedName>
    <definedName name="IRENDI">#REF!</definedName>
    <definedName name="ISUDFHISDUF" hidden="1">#REF!</definedName>
    <definedName name="IV">#REF!</definedName>
    <definedName name="iva">#REF!</definedName>
    <definedName name="J">#REF!</definedName>
    <definedName name="Jefe_Bienestar_y_Servicio">#REF!</definedName>
    <definedName name="Jefe_de_administracion__A">#REF!</definedName>
    <definedName name="Jefe_de_Casinos">#REF!</definedName>
    <definedName name="Jefe_de_Compensaciones_y_Estudios">#REF!</definedName>
    <definedName name="Jefe_de_Operación_y_Servicios_TI">#REF!</definedName>
    <definedName name="Jefe_de_Presupuesto">#REF!</definedName>
    <definedName name="Jefe_de_tesoreria__Daniel_Peña_P.">#REF!</definedName>
    <definedName name="Jefe_DO___Capacitación">#REF!</definedName>
    <definedName name="Jefe_Prevención_de_Riesgos">#REF!</definedName>
    <definedName name="jj">#REF!</definedName>
    <definedName name="jjjjj">#REF!</definedName>
    <definedName name="jjjjjjjjj">#REF!</definedName>
    <definedName name="jjjjjjjjjj">#REF!</definedName>
    <definedName name="jjjjjjjjjjjj" hidden="1">#REF!</definedName>
    <definedName name="JO" hidden="1">{#N/A,#N/A,FALSE,"DICFIN"}</definedName>
    <definedName name="jorge">#REF!</definedName>
    <definedName name="k">#REF!</definedName>
    <definedName name="K_PROYCULTEEFF">#REF!</definedName>
    <definedName name="kfmrdj">#REF!,#REF!</definedName>
    <definedName name="KgAño1">#REF!</definedName>
    <definedName name="KgAño2">#REF!</definedName>
    <definedName name="KgAño3">#REF!</definedName>
    <definedName name="KgAño4">#REF!</definedName>
    <definedName name="KgAño5">#REF!</definedName>
    <definedName name="Kgmcuadrado">#REF!</definedName>
    <definedName name="kk" hidden="1">#REF!</definedName>
    <definedName name="KONTROLL">#REF!</definedName>
    <definedName name="KONTROLL_58">#REF!</definedName>
    <definedName name="kontstrøm">#REF!</definedName>
    <definedName name="kontstrøm_58">#REF!</definedName>
    <definedName name="kw">#REF!</definedName>
    <definedName name="l" hidden="1">#REF!</definedName>
    <definedName name="L_DET_K_FLU">#REF!</definedName>
    <definedName name="LA" hidden="1">{#N/A,#N/A,FALSE,"DICFIN"}</definedName>
    <definedName name="labores_siemb_pesos">#REF!</definedName>
    <definedName name="LÅN">#REF!</definedName>
    <definedName name="LÅN_44">#REF!</definedName>
    <definedName name="le" hidden="1">{#N/A,#N/A,FALSE,"DICTEC"}</definedName>
    <definedName name="Less_Conservative">#REF!</definedName>
    <definedName name="ley">#REF!</definedName>
    <definedName name="Librasen1Kg">#REF!</definedName>
    <definedName name="LIM_13">#REF!</definedName>
    <definedName name="LIM_14">#REF!</definedName>
    <definedName name="LIM_15">#REF!</definedName>
    <definedName name="LIM_16">#REF!</definedName>
    <definedName name="LIM_17">#REF!</definedName>
    <definedName name="LIM_18">#REF!</definedName>
    <definedName name="LIM_19">#REF!</definedName>
    <definedName name="LIM_20">#REF!</definedName>
    <definedName name="LIM_21">#REF!</definedName>
    <definedName name="LIMITES">#REF!</definedName>
    <definedName name="LIQ">#REF!</definedName>
    <definedName name="Lista">{1,2,3,4;5,6,7,8;9,10,11,12;13,14,15,16}</definedName>
    <definedName name="Lista_1">{1,2,3,4;5,6,7,8;9,10,11,12;13,14,15,16}</definedName>
    <definedName name="LISTSERV08" hidden="1">{#N/A,#N/A,FALSE,"DICFIN"}</definedName>
    <definedName name="LIUHSDFKJG" hidden="1">1</definedName>
    <definedName name="lk">#REF!</definedName>
    <definedName name="ll">#REF!</definedName>
    <definedName name="Llamada_a_la_API_ArchivoReproducirWAV">#REF!</definedName>
    <definedName name="Llamada_la_API_ObtenerCadCadPrivado">#REF!</definedName>
    <definedName name="Llamada_laAPI_ObtenerCadPrivadoa">#REF!</definedName>
    <definedName name="lll">#REF!</definedName>
    <definedName name="llll" hidden="1">#REF!</definedName>
    <definedName name="llllll">#REF!</definedName>
    <definedName name="lllllllll">#REF!</definedName>
    <definedName name="llllllllll">#REF!</definedName>
    <definedName name="llllllllllll" hidden="1">#REF!</definedName>
    <definedName name="llllllllllllllll">#REF!</definedName>
    <definedName name="lllllllllllllllll">#REF!</definedName>
    <definedName name="llllllllllllllllll">#REF!</definedName>
    <definedName name="llllllllllllllllllll" hidden="1">#REF!</definedName>
    <definedName name="llllllllllllllllllllll" hidden="1">#REF!</definedName>
    <definedName name="lllllllllllllllllllllll">#REF!</definedName>
    <definedName name="lllllllllllllllllllllllll" hidden="1">#REF!</definedName>
    <definedName name="lllllllllllllllllllllllllll">#REF!</definedName>
    <definedName name="LO" hidden="1">{#N/A,#N/A,FALSE,"DICTEC"}</definedName>
    <definedName name="Loan_amount">#REF!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oseChamberlain">#REF!</definedName>
    <definedName name="LooseRedella">#REF!</definedName>
    <definedName name="LuzAdmon">#REF!</definedName>
    <definedName name="luzrancho">#REF!</definedName>
    <definedName name="m">#REF!</definedName>
    <definedName name="MACROS">#REF!</definedName>
    <definedName name="Mag" hidden="1">{#N/A,#N/A,FALSE,"DICFIN";#N/A,#N/A,FALSE,"SINTESIS";#N/A,#N/A,FALSE,"PROYFIN";#N/A,#N/A,FALSE,"DICTEC";#N/A,#N/A,FALSE,"ESTUDIO1"}</definedName>
    <definedName name="Magaly" hidden="1">{#N/A,#N/A,FALSE,"SINTESIS"}</definedName>
    <definedName name="MAIZ_SM">#REF!</definedName>
    <definedName name="MaizGMF">#REF!</definedName>
    <definedName name="MANTENC.">#REF!</definedName>
    <definedName name="MAQUILAS">#REF!</definedName>
    <definedName name="Maquinaria">#REF!</definedName>
    <definedName name="MATANZA">#REF!</definedName>
    <definedName name="Materiales_y_servicios">#REF!</definedName>
    <definedName name="matriz">#REF!</definedName>
    <definedName name="matriz1123">#REF!</definedName>
    <definedName name="MBruto">#REF!</definedName>
    <definedName name="memoria">#REF!</definedName>
    <definedName name="MEMORIA_COSTOS">#REF!</definedName>
    <definedName name="Memory_Rates">#REF!</definedName>
    <definedName name="MENSUAL">#REF!</definedName>
    <definedName name="MENU0">#REF!</definedName>
    <definedName name="MENU1">#REF!</definedName>
    <definedName name="MENU10">#REF!</definedName>
    <definedName name="MENU2">#REF!</definedName>
    <definedName name="MENU21">#REF!</definedName>
    <definedName name="MENU3">#REF!</definedName>
    <definedName name="MENU4">#REF!</definedName>
    <definedName name="MENU5">#REF!</definedName>
    <definedName name="MENU6">#REF!</definedName>
    <definedName name="MENU61">#REF!</definedName>
    <definedName name="MENU7">#REF!</definedName>
    <definedName name="MENU8">#REF!</definedName>
    <definedName name="MENU9">#REF!</definedName>
    <definedName name="MERCADO">#REF!</definedName>
    <definedName name="merverdiah">#REF!</definedName>
    <definedName name="merverdiah_54">#REF!</definedName>
    <definedName name="merverdiah_61">#REF!</definedName>
    <definedName name="merverdifitjar">#REF!</definedName>
    <definedName name="merverdifitjar_54">#REF!</definedName>
    <definedName name="merverdifitjar_61">#REF!</definedName>
    <definedName name="mes_">#REF!</definedName>
    <definedName name="Mes_fin_Const">#REF!</definedName>
    <definedName name="Mes_fin_Urb">#REF!</definedName>
    <definedName name="Mes_Fin_Vent1">#REF!</definedName>
    <definedName name="Mes_Fin_Vent2">#REF!</definedName>
    <definedName name="Mes_Ini_Vent1">#REF!</definedName>
    <definedName name="Mes_Ini_Vent2">#REF!</definedName>
    <definedName name="Mes_Inicio_Const">#REF!</definedName>
    <definedName name="Mes_Inicio_Urb">#REF!</definedName>
    <definedName name="Meses_Const">#REF!</definedName>
    <definedName name="Meses_Etapa">#REF!</definedName>
    <definedName name="meses_financiamiento">#REF!</definedName>
    <definedName name="Meses_Urb">#REF!</definedName>
    <definedName name="MF">#REF!</definedName>
    <definedName name="MG">#REF!</definedName>
    <definedName name="MINIST">#REF!</definedName>
    <definedName name="mm">#REF!</definedName>
    <definedName name="mmm">#REF!</definedName>
    <definedName name="mmmm" hidden="1">#REF!</definedName>
    <definedName name="mmmmmm" hidden="1">#REF!</definedName>
    <definedName name="mmmmmmmmmm" hidden="1">#REF!</definedName>
    <definedName name="mmmmmmmmmmmm">#REF!</definedName>
    <definedName name="mmmmmmmmmmmmm">#REF!</definedName>
    <definedName name="Mo">#REF!</definedName>
    <definedName name="moa" hidden="1">{#N/A,#N/A,FALSE,"DICFIN"}</definedName>
    <definedName name="MODELOS">#REF!</definedName>
    <definedName name="Moneda">#REF!</definedName>
    <definedName name="Monedas">#REF!</definedName>
    <definedName name="MONTO">#REF!</definedName>
    <definedName name="MONTO_MENSUAL">#REF!</definedName>
    <definedName name="MontoPrestamo">#REF!</definedName>
    <definedName name="mueble">#REF!</definedName>
    <definedName name="Municipio">#REF!</definedName>
    <definedName name="N._ALIMENTACION">#REF!</definedName>
    <definedName name="N_Unidades1">#REF!</definedName>
    <definedName name="N_Unidades2">#REF!</definedName>
    <definedName name="NAME1">#REF!</definedName>
    <definedName name="NAME2">#REF!</definedName>
    <definedName name="NAME3">#REF!</definedName>
    <definedName name="NAME4">#REF!</definedName>
    <definedName name="NAME5">#REF!</definedName>
    <definedName name="NAME6">#REF!</definedName>
    <definedName name="NATURALEZA">#REF!</definedName>
    <definedName name="NES">#REF!</definedName>
    <definedName name="NoDeducibles">#REF!</definedName>
    <definedName name="NOM">#REF!</definedName>
    <definedName name="nom_cliente">#REF!</definedName>
    <definedName name="nom_tasador">#REF!</definedName>
    <definedName name="Nombre">#REF!</definedName>
    <definedName name="Nombre_Cuenta_de_Activos">#REF!</definedName>
    <definedName name="nomes">#REF!</definedName>
    <definedName name="NoMesesCiclo">#REF!</definedName>
    <definedName name="NORMAL">#REF!</definedName>
    <definedName name="nota1">#REF!</definedName>
    <definedName name="nota10">#REF!</definedName>
    <definedName name="nota11">#REF!</definedName>
    <definedName name="nota12">#REF!</definedName>
    <definedName name="nota14">#REF!</definedName>
    <definedName name="nota15">#REF!</definedName>
    <definedName name="nota16">#REF!</definedName>
    <definedName name="nota2">#REF!</definedName>
    <definedName name="nota3">#REF!</definedName>
    <definedName name="nota4">#REF!</definedName>
    <definedName name="nota5">#REF!</definedName>
    <definedName name="nota7">#REF!</definedName>
    <definedName name="nota8">#REF!</definedName>
    <definedName name="nota9">#REF!</definedName>
    <definedName name="NOTACELDA0">#REF!</definedName>
    <definedName name="NOTACELDA1">#REF!</definedName>
    <definedName name="NOTACELDA2">#REF!</definedName>
    <definedName name="NOTACELDA3">#REF!</definedName>
    <definedName name="NOTACELDA4">#REF!</definedName>
    <definedName name="NOTACELDA5">#REF!</definedName>
    <definedName name="NOTACELDA6">#REF!</definedName>
    <definedName name="NOTE1">#REF!</definedName>
    <definedName name="NOTE1_58">#REF!</definedName>
    <definedName name="note3">#REF!</definedName>
    <definedName name="note3_58">#REF!</definedName>
    <definedName name="note4">#REF!</definedName>
    <definedName name="note4_58">#REF!</definedName>
    <definedName name="note5">#REF!</definedName>
    <definedName name="note5_58">#REF!</definedName>
    <definedName name="note6">#REF!</definedName>
    <definedName name="note6_58">#REF!</definedName>
    <definedName name="note7">#REF!</definedName>
    <definedName name="note7_58">#REF!</definedName>
    <definedName name="NR">#REF!</definedName>
    <definedName name="NSF">#REF!</definedName>
    <definedName name="NSI">#REF!</definedName>
    <definedName name="nueve" hidden="1">{#N/A,#N/A,FALSE,"ESTUDIO1"}</definedName>
    <definedName name="Numero">#REF!</definedName>
    <definedName name="Número">#REF!</definedName>
    <definedName name="NumofGrpAccts" hidden="1">2</definedName>
    <definedName name="ñ" hidden="1">#REF!</definedName>
    <definedName name="ññ">#REF!</definedName>
    <definedName name="ññññ">#REF!</definedName>
    <definedName name="ñññññ">#REF!</definedName>
    <definedName name="ññññññ" hidden="1">#REF!</definedName>
    <definedName name="o">#REF!</definedName>
    <definedName name="ocho" hidden="1">{#N/A,#N/A,FALSE,"DICTEC"}</definedName>
    <definedName name="OCO">#REF!</definedName>
    <definedName name="OIJSDFI" hidden="1">#REF!</definedName>
    <definedName name="oo" hidden="1">#REF!</definedName>
    <definedName name="ooo">#REF!</definedName>
    <definedName name="oooo" hidden="1">#REF!</definedName>
    <definedName name="ooooooooo">#REF!</definedName>
    <definedName name="oooooooooooo">#REF!</definedName>
    <definedName name="oooooooooooooooo">#REF!</definedName>
    <definedName name="ooooooooooooooooooooo">#REF!</definedName>
    <definedName name="OPINION">#REF!</definedName>
    <definedName name="orden" hidden="1">{#N/A,#N/A,FALSE,"DICTEC"}</definedName>
    <definedName name="orden2">#REF!</definedName>
    <definedName name="OtrosGastosAdmon">#REF!</definedName>
    <definedName name="OVERSIKT_PR.30_9_97">#REF!</definedName>
    <definedName name="OVERSIKT_PR.30_9_97_58">#REF!</definedName>
    <definedName name="oxigeno">#REF!</definedName>
    <definedName name="P">#REF!</definedName>
    <definedName name="P.T.P._1">#REF!</definedName>
    <definedName name="P.T.P._2">#REF!</definedName>
    <definedName name="P.T.P._3">#REF!</definedName>
    <definedName name="P.T.P._4">#REF!</definedName>
    <definedName name="P.T.P.1">#REF!</definedName>
    <definedName name="P.T.P.2">#REF!</definedName>
    <definedName name="P.T.P.3">#REF!</definedName>
    <definedName name="P.T.P.4">#REF!</definedName>
    <definedName name="P.VENTASYCOSTOS">#REF!</definedName>
    <definedName name="PAG.8">#REF!</definedName>
    <definedName name="PAG.9">#REF!</definedName>
    <definedName name="PAGO">#REF!</definedName>
    <definedName name="PagoChamberlain">#REF!</definedName>
    <definedName name="PagoFijo">#REF!</definedName>
    <definedName name="PagoRedella">#REF!</definedName>
    <definedName name="PAGOS">#REF!</definedName>
    <definedName name="Pagos_por_año">#REF!</definedName>
    <definedName name="pame">#REF!</definedName>
    <definedName name="pamela">#REF!</definedName>
    <definedName name="ParticipaciónChamberlain">#REF!</definedName>
    <definedName name="ParticipaciónRedella">#REF!</definedName>
    <definedName name="PASIVO.PREDIO">#REF!</definedName>
    <definedName name="PASIVOS">#REF!</definedName>
    <definedName name="PATIO">#REF!</definedName>
    <definedName name="payment.Num">#N/A</definedName>
    <definedName name="Payments_per_year">#REF!</definedName>
    <definedName name="PB">#REF!</definedName>
    <definedName name="PÇ" hidden="1">#REF!</definedName>
    <definedName name="PE">{1,2,3,4;5,6,7,8;9,10,11,12;13,14,15,16}</definedName>
    <definedName name="PE_1">{1,2,3,4;5,6,7,8;9,10,11,12;13,14,15,16}</definedName>
    <definedName name="Pepillo">"Pepillo"</definedName>
    <definedName name="Periodic_rate">Annual_interest_rate/Payments_per_year</definedName>
    <definedName name="permiso">#REF!</definedName>
    <definedName name="Personal_aseo_casa_administracion__Elsa_Lagos">#REF!</definedName>
    <definedName name="Personal_aseo_casa_administracion__Luis_Bustos">#REF!</definedName>
    <definedName name="Pie">#REF!</definedName>
    <definedName name="PLAN.F.EXP.">#REF!</definedName>
    <definedName name="plansap">#REF!</definedName>
    <definedName name="plansjf">#REF!</definedName>
    <definedName name="Plantas_por_hectarea">#REF!</definedName>
    <definedName name="planvdn">#REF!</definedName>
    <definedName name="Play">656277505</definedName>
    <definedName name="PLAZO">#REF!</definedName>
    <definedName name="Plazo_años">#REF!</definedName>
    <definedName name="Pmt_to_use">#REF!</definedName>
    <definedName name="PNV">#REF!</definedName>
    <definedName name="PNV_17">#REF!</definedName>
    <definedName name="po" hidden="1">#REF!</definedName>
    <definedName name="PolíticadeVentas">#REF!</definedName>
    <definedName name="PolíticaPagoMateriaPrima">#REF!</definedName>
    <definedName name="porcentaje">#REF!</definedName>
    <definedName name="PorcentajeEmpaque">#REF!</definedName>
    <definedName name="PorcentajeMOFinCiclo">#REF!</definedName>
    <definedName name="PorcentajeMOInicioEmp">#REF!</definedName>
    <definedName name="POSEEREGISTROS">#REF!</definedName>
    <definedName name="pp">#REF!</definedName>
    <definedName name="ppe">#REF!</definedName>
    <definedName name="PPEInicial">#REF!</definedName>
    <definedName name="ppp" hidden="1">#REF!</definedName>
    <definedName name="pppp">#REF!</definedName>
    <definedName name="pppppppp">#REF!</definedName>
    <definedName name="pptoV16">#REF!</definedName>
    <definedName name="PPTOV16ORD">#REF!</definedName>
    <definedName name="Practual">#REF!</definedName>
    <definedName name="practual2">#REF!</definedName>
    <definedName name="PREAUTORIZACIÓN">#REF!</definedName>
    <definedName name="precio_de_venta">#REF!</definedName>
    <definedName name="Precioantiguo">#REF!</definedName>
    <definedName name="PrecioCaja15Lb">#REF!</definedName>
    <definedName name="PrecioLbClam">#REF!</definedName>
    <definedName name="PrecioLbLoose">#REF!</definedName>
    <definedName name="PrecioNacional">#REF!</definedName>
    <definedName name="PrecioPromCaja1°">#REF!</definedName>
    <definedName name="PrecioPromCaja2°">#REF!</definedName>
    <definedName name="PrecioPromCaja3°">#REF!</definedName>
    <definedName name="PREÇO">#REF!</definedName>
    <definedName name="PREDIO1">#REF!</definedName>
    <definedName name="Premiosvend">#REF!</definedName>
    <definedName name="pres_oct_2012">#REF!</definedName>
    <definedName name="PRESENTA">#REF!</definedName>
    <definedName name="PREVIAGOSTO" hidden="1">{"'BHN Mensal'!$A$8:$D$8"}</definedName>
    <definedName name="prexton">#REF!</definedName>
    <definedName name="PRIM">#REF!</definedName>
    <definedName name="prin_74">#REF!</definedName>
    <definedName name="Principal">IF(#REF!&lt;&gt;"",MIN(#REF!,Pmt_to_use-#REF!),"")</definedName>
    <definedName name="PRINT_AREA">#REF!</definedName>
    <definedName name="Print_Area_MI">#REF!</definedName>
    <definedName name="pro">#REF!</definedName>
    <definedName name="PROCAMPO">#REF!</definedName>
    <definedName name="PROD.">#REF!</definedName>
    <definedName name="ProdSemanalLbs">#REF!</definedName>
    <definedName name="produccion2">#REF!/12</definedName>
    <definedName name="ProduccionTotal">#REF!</definedName>
    <definedName name="ProduccionxSemana">#REF!</definedName>
    <definedName name="Productividad_por_planta">#REF!</definedName>
    <definedName name="PRODUCTOR">#REF!</definedName>
    <definedName name="PROG_ACT_ASES_1">#REF!</definedName>
    <definedName name="PROG_ACT_ASES_2">#REF!</definedName>
    <definedName name="PROG_ACT_ASES3">#REF!</definedName>
    <definedName name="prog_ventas_siemb">#REF!</definedName>
    <definedName name="PROGATI">#REF!</definedName>
    <definedName name="Projecao">#REF!</definedName>
    <definedName name="PROP1">#REF!</definedName>
    <definedName name="PROP10">#REF!</definedName>
    <definedName name="PROP11">#REF!</definedName>
    <definedName name="PROP12">#REF!</definedName>
    <definedName name="PROP13">#REF!</definedName>
    <definedName name="PROP14">#REF!</definedName>
    <definedName name="PROP15">#REF!</definedName>
    <definedName name="PROP16">#REF!</definedName>
    <definedName name="PROP17">#REF!</definedName>
    <definedName name="PROP18">#REF!</definedName>
    <definedName name="PROP2">#REF!</definedName>
    <definedName name="PROP3">#REF!</definedName>
    <definedName name="PROP4">#REF!</definedName>
    <definedName name="PROP5">#REF!</definedName>
    <definedName name="PROP6">#REF!</definedName>
    <definedName name="PROP7">#REF!</definedName>
    <definedName name="PROP8">#REF!</definedName>
    <definedName name="PROP9">#REF!</definedName>
    <definedName name="PROY._FINANC.">#REF!</definedName>
    <definedName name="PROY._VENTAS">#REF!</definedName>
    <definedName name="PROY_FIN">#REF!</definedName>
    <definedName name="PROY_FIN_SALIDA">#REF!</definedName>
    <definedName name="PROY_V_C">#REF!</definedName>
    <definedName name="PROY_V_COST">#REF!</definedName>
    <definedName name="PROYECCION">#REF!</definedName>
    <definedName name="PROYECCION.FIN">#REF!</definedName>
    <definedName name="proyecciones">#REF!</definedName>
    <definedName name="proyectado">#REF!</definedName>
    <definedName name="proyecto">#REF!</definedName>
    <definedName name="PROYFIN">#REF!</definedName>
    <definedName name="PROYFINANC">#REF!</definedName>
    <definedName name="prueba">{1,2,3,4;5,6,7,8;9,10,11,12;13,14,15,16}</definedName>
    <definedName name="PV">#REF!</definedName>
    <definedName name="PX">#REF!</definedName>
    <definedName name="q" hidden="1">#REF!</definedName>
    <definedName name="qewrqwerq" hidden="1">#REF!</definedName>
    <definedName name="qq" hidden="1">#REF!</definedName>
    <definedName name="qqq" hidden="1">#REF!</definedName>
    <definedName name="qqqqq">#REF!</definedName>
    <definedName name="qqqqqq">#REF!</definedName>
    <definedName name="qqqqqqqq">#REF!</definedName>
    <definedName name="qqqqqqqqqqqq">#REF!</definedName>
    <definedName name="qqqqqqqqqqqqqq" hidden="1">#REF!</definedName>
    <definedName name="qqqqqqqqqqqqqqq">#REF!</definedName>
    <definedName name="qqqqqqqqqqqqqqqqq">#REF!</definedName>
    <definedName name="Question1">#REF!</definedName>
    <definedName name="Quintales">#REF!</definedName>
    <definedName name="QW" hidden="1">{#N/A,#N/A,FALSE,"DICTEC"}</definedName>
    <definedName name="qwee" hidden="1">#REF!</definedName>
    <definedName name="qwerqerqwerqwer" hidden="1">10</definedName>
    <definedName name="RACIONES1">#REF!</definedName>
    <definedName name="RACIONES2">#REF!</definedName>
    <definedName name="Rango">#REF!</definedName>
    <definedName name="RANGO1">#REF!</definedName>
    <definedName name="RANGO10">#REF!</definedName>
    <definedName name="RANGO11">#REF!</definedName>
    <definedName name="rango1123">#REF!</definedName>
    <definedName name="RANGO12">#REF!</definedName>
    <definedName name="RANGO13">#REF!</definedName>
    <definedName name="RANGO14">#REF!</definedName>
    <definedName name="RANGO15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GO9">#REF!</definedName>
    <definedName name="RAUL" hidden="1">{#N/A,#N/A,FALSE,"DICFIN"}</definedName>
    <definedName name="RAWFISH_A">#REF!</definedName>
    <definedName name="RAWFISH_B">#REF!</definedName>
    <definedName name="RAWFISH_C">#REF!</definedName>
    <definedName name="re" hidden="1">{#N/A,#N/A,FALSE,"DICTEC"}</definedName>
    <definedName name="real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EBAÑO">#REF!</definedName>
    <definedName name="REC_NEG">#REF!</definedName>
    <definedName name="reconverión">#REF!</definedName>
    <definedName name="reconversión">#REF!</definedName>
    <definedName name="REDESCONT1">#REF!</definedName>
    <definedName name="REDESCONT2">#REF!</definedName>
    <definedName name="REDESCONT3">#REF!</definedName>
    <definedName name="Reemplazo_Vacaciones">#REF!</definedName>
    <definedName name="ref">#REF!</definedName>
    <definedName name="reffff">#REF!</definedName>
    <definedName name="Refka">#REF!</definedName>
    <definedName name="REGION">#REF!</definedName>
    <definedName name="REGNSKAP">#REF!</definedName>
    <definedName name="REGNSKAP_44">#REF!</definedName>
    <definedName name="REGRESO">#REF!</definedName>
    <definedName name="relacion1">#REF!</definedName>
    <definedName name="relacion2">#REF!</definedName>
    <definedName name="Remun">#REF!</definedName>
    <definedName name="REN">#REF!</definedName>
    <definedName name="rend">#REF!</definedName>
    <definedName name="rendimiento">#REF!</definedName>
    <definedName name="RentaInvernaderos">#REF!</definedName>
    <definedName name="RES.ACT.PAS">#REF!</definedName>
    <definedName name="RESCONT">#REF!</definedName>
    <definedName name="RESCONT3">#REF!</definedName>
    <definedName name="RESULTADO1">#REF!,#REF!,#REF!,#REF!,#REF!,#REF!,#REF!,#REF!,#REF!,#REF!,#REF!,#REF!,#REF!,#REF!,#REF!</definedName>
    <definedName name="RESULTADO2">#REF!,#REF!,#REF!,#REF!,#REF!,#REF!,#REF!,#REF!,#REF!,#REF!,#REF!</definedName>
    <definedName name="resultat">#REF!</definedName>
    <definedName name="resultat_58">#REF!</definedName>
    <definedName name="RESUMEN">#REF!</definedName>
    <definedName name="ResumenActivos">#REF!</definedName>
    <definedName name="Revenue_increments">#REF!</definedName>
    <definedName name="rewqwr" hidden="1">#REF!</definedName>
    <definedName name="RF_Const">#REF!</definedName>
    <definedName name="RF_Urb">#REF!</definedName>
    <definedName name="RFC">#REF!</definedName>
    <definedName name="RIEGO">#REF!</definedName>
    <definedName name="RIESGO">#REF!</definedName>
    <definedName name="RM">#REF!</definedName>
    <definedName name="rocuant">#REF!</definedName>
    <definedName name="Roger" hidden="1">"                                                                                                                                                                                                                                                            38"</definedName>
    <definedName name="Rol">#REF!</definedName>
    <definedName name="RowLevel" hidden="1">1</definedName>
    <definedName name="rqweqewee" hidden="1">#REF!</definedName>
    <definedName name="rqwerqwe" hidden="1">1</definedName>
    <definedName name="rr">#REF!</definedName>
    <definedName name="RRR" hidden="1">{#N/A,#N/A,FALSE,"DICFIN"}</definedName>
    <definedName name="RRRR" hidden="1">{#N/A,#N/A,FALSE,"DICFIN"}</definedName>
    <definedName name="rrrrrrrr" hidden="1">{#N/A,#N/A,FALSE,"DICFIN"}</definedName>
    <definedName name="RTC">#REF!</definedName>
    <definedName name="RTYC">#REF!</definedName>
    <definedName name="rut_cliente">#REF!</definedName>
    <definedName name="rut_tasador">#REF!</definedName>
    <definedName name="s" hidden="1">{#N/A,#N/A,FALSE,"DICFIN";#N/A,#N/A,FALSE,"SINTESIS";#N/A,#N/A,FALSE,"PROYFIN";#N/A,#N/A,FALSE,"DICTEC";#N/A,#N/A,FALSE,"ESTUDIO1"}</definedName>
    <definedName name="sadasdasdasd">#REF!</definedName>
    <definedName name="safdasdasd">#REF!</definedName>
    <definedName name="saldominimo">#REF!</definedName>
    <definedName name="saldos_2006">#REF!</definedName>
    <definedName name="SALIR">#REF!</definedName>
    <definedName name="SAMMENDRAG">#REF!</definedName>
    <definedName name="SAMMENDRAG_58">#REF!</definedName>
    <definedName name="SAPBEXrevision" hidden="1">12</definedName>
    <definedName name="SAPBEXsysID" hidden="1">"PBW"</definedName>
    <definedName name="SAPBEXwbID" hidden="1">"D3BBKPGX4X9H8641C48JQ0QYA"</definedName>
    <definedName name="SB">#REF!</definedName>
    <definedName name="SB_17">#REF!</definedName>
    <definedName name="sdfdsfdsf">#REF!</definedName>
    <definedName name="SDFIGUSDHGOIJ" hidden="1">#REF!</definedName>
    <definedName name="Secretaria___A">#REF!</definedName>
    <definedName name="seis" hidden="1">{#N/A,#N/A,FALSE,"DICFIN";#N/A,#N/A,FALSE,"SINTESIS";#N/A,#N/A,FALSE,"PROYFIN";#N/A,#N/A,FALSE,"DICTEC";#N/A,#N/A,FALSE,"ESTUDIO1"}</definedName>
    <definedName name="SemanasCorte">#REF!</definedName>
    <definedName name="SEMESTRAL">#REF!</definedName>
    <definedName name="SEN">#REF!</definedName>
    <definedName name="SENSIB">#REF!</definedName>
    <definedName name="SENSIB_1">#REF!</definedName>
    <definedName name="SENSIB_2">#REF!</definedName>
    <definedName name="SENSIBILIDAD">#REF!</definedName>
    <definedName name="Sensibilizado">#REF!</definedName>
    <definedName name="sensible">#REF!</definedName>
    <definedName name="sensilizado">#REF!</definedName>
    <definedName name="sep.balance" hidden="1">{#N/A,#N/A,FALSE,"SINTESIS"}</definedName>
    <definedName name="sf">#REF!</definedName>
    <definedName name="Show.Date">IF(#REF!&lt;&gt;"",DATE(YEAR(First_payment_due),MONTH(First_payment_due)+(#REF!-1)*12/Payments_per_year,DAY(First_payment_due)),"")</definedName>
    <definedName name="SIDUFGHK" hidden="1">#REF!</definedName>
    <definedName name="SIEBAN">#REF!</definedName>
    <definedName name="siete" hidden="1">{#N/A,#N/A,FALSE,"DICFIN"}</definedName>
    <definedName name="SII">#REF!</definedName>
    <definedName name="SIN_PROYECTO">#REF!</definedName>
    <definedName name="sino">#REF!</definedName>
    <definedName name="SINTESIS">#REF!</definedName>
    <definedName name="SISTEMACONDUCCION">#REF!</definedName>
    <definedName name="SistemaRiego">#REF!</definedName>
    <definedName name="SJA">#REF!</definedName>
    <definedName name="SJA_17">#REF!</definedName>
    <definedName name="SJF">#REF!</definedName>
    <definedName name="SJF.2017">#REF!</definedName>
    <definedName name="SJF.2019">#REF!</definedName>
    <definedName name="SJG">#REF!</definedName>
    <definedName name="SJG_17">#REF!</definedName>
    <definedName name="SJT">#REF!</definedName>
    <definedName name="Slicer_Etiq_Ccosto_Cod">#N/A</definedName>
    <definedName name="Slicer_Etiq_Ccosto_Nombre">#N/A</definedName>
    <definedName name="Slicer_Etiq_Sistema">#N/A</definedName>
    <definedName name="SMCH">#REF!</definedName>
    <definedName name="SMG">#REF!</definedName>
    <definedName name="SMSNssS" hidden="1">{#N/A,#N/A,FALSE,"DICFIN"}</definedName>
    <definedName name="SocioActivo">#REF!</definedName>
    <definedName name="SOCIOS">IF(#REF!&lt;&gt;"",#REF!*#REF!,"")</definedName>
    <definedName name="SOCIOS1">#REF!</definedName>
    <definedName name="SODFIGHJ" hidden="1">#REF!</definedName>
    <definedName name="SODFIGUJSOL" hidden="1">#REF!</definedName>
    <definedName name="SODFIJGSLDFI" hidden="1">1</definedName>
    <definedName name="SODIFGJ" hidden="1">#REF!</definedName>
    <definedName name="solcrep1">#REF!</definedName>
    <definedName name="solcrep2">#REF!</definedName>
    <definedName name="solera">#REF!</definedName>
    <definedName name="solic">#REF!</definedName>
    <definedName name="solver_adj" hidden="1">#REF!,#REF!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3</definedName>
    <definedName name="solver_nwt" hidden="1">1</definedName>
    <definedName name="solver_pre" hidden="1">0.000001</definedName>
    <definedName name="solver_rel1" hidden="1">1</definedName>
    <definedName name="solver_rel2" hidden="1">3</definedName>
    <definedName name="solver_rel3" hidden="1">2</definedName>
    <definedName name="solver_rhs1" hidden="1">100%</definedName>
    <definedName name="solver_rhs2" hidden="1">0%</definedName>
    <definedName name="solver_rhs3" hidden="1">449.88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7444.79</definedName>
    <definedName name="SORGO.GMF">#REF!</definedName>
    <definedName name="spesbalanse">#REF!</definedName>
    <definedName name="spesbalanse_58">#REF!</definedName>
    <definedName name="spesresultat">#REF!</definedName>
    <definedName name="spesresultat_58">#REF!</definedName>
    <definedName name="SPESRESULTAT95">#REF!</definedName>
    <definedName name="SPESRESULTAT95_44">#REF!</definedName>
    <definedName name="SPESRESULTAT95_54">#REF!</definedName>
    <definedName name="SPESRESULTAT95_61">#REF!</definedName>
    <definedName name="spf">#REF!</definedName>
    <definedName name="SS">#REF!</definedName>
    <definedName name="sss">#REF!</definedName>
    <definedName name="st">#REF!</definedName>
    <definedName name="Subgerente_de_Calidad">#REF!</definedName>
    <definedName name="Subgerente_de_Desarrollo">#REF!</definedName>
    <definedName name="Subgerente_de_Finanzas">#REF!</definedName>
    <definedName name="Subgerente_de_Sistemas">#REF!</definedName>
    <definedName name="Subrutina">#REF!</definedName>
    <definedName name="sucursal">#REF!</definedName>
    <definedName name="sueldo">#REF!</definedName>
    <definedName name="SueldoAgrAprend">#REF!</definedName>
    <definedName name="SueldoAlmacén">#REF!</definedName>
    <definedName name="SueldoAsesoriaTecnica">#REF!</definedName>
    <definedName name="SueldoAuxAdmon">#REF!</definedName>
    <definedName name="SueldoCompras">#REF!</definedName>
    <definedName name="SueldoContador">#REF!</definedName>
    <definedName name="SueldoEmpacadoras">#REF!</definedName>
    <definedName name="SueldoFumigadores">#REF!</definedName>
    <definedName name="SueldoGGeneral">#REF!</definedName>
    <definedName name="SueldoGrower">#REF!</definedName>
    <definedName name="SueldoJefaHect">#REF!</definedName>
    <definedName name="SueldoJefeEmpaque">#REF!</definedName>
    <definedName name="SueldoJefeMant">#REF!</definedName>
    <definedName name="SueldoJefeSanidadVegetal">#REF!</definedName>
    <definedName name="SueldoJornal">#REF!</definedName>
    <definedName name="SueldoMantElectMec">#REF!</definedName>
    <definedName name="SueldoMantenimiento">#REF!</definedName>
    <definedName name="SueldoMantInstalaciones">#REF!</definedName>
    <definedName name="SueldoMonitoreador">#REF!</definedName>
    <definedName name="SueldoObreroProd">#REF!</definedName>
    <definedName name="SueldoRiegoCabezal">#REF!</definedName>
    <definedName name="SueldoRiegoFuguero">#REF!</definedName>
    <definedName name="SueldoSupervisor">#REF!</definedName>
    <definedName name="SueldoSupervisroFitosanidad">#REF!</definedName>
    <definedName name="SueldoTecAgrónomo">#REF!</definedName>
    <definedName name="SueldoTractorista">#REF!</definedName>
    <definedName name="SueldoVelador">#REF!</definedName>
    <definedName name="Sup_Producción">#REF!</definedName>
    <definedName name="SUPER1">#REF!</definedName>
    <definedName name="SUPER10">#REF!</definedName>
    <definedName name="SUPER11">#REF!</definedName>
    <definedName name="SUPER12">#REF!</definedName>
    <definedName name="SUPER13">#REF!</definedName>
    <definedName name="SUPER14">#REF!</definedName>
    <definedName name="SUPER15">#REF!</definedName>
    <definedName name="SUPER16">#REF!</definedName>
    <definedName name="SUPER17">#REF!</definedName>
    <definedName name="SUPER18">#REF!</definedName>
    <definedName name="SUPER2">#REF!</definedName>
    <definedName name="SUPER3">#REF!</definedName>
    <definedName name="SUPER4">#REF!</definedName>
    <definedName name="SUPER5">#REF!</definedName>
    <definedName name="SUPER6">#REF!</definedName>
    <definedName name="SUPER7">#REF!</definedName>
    <definedName name="SUPER8">#REF!</definedName>
    <definedName name="SUPER9">#REF!</definedName>
    <definedName name="SUPERFCANTIDAD">#REF!</definedName>
    <definedName name="SUPERFICIE1">#REF!</definedName>
    <definedName name="SuperficiexNave">#REF!</definedName>
    <definedName name="SUPERV.">#REF!</definedName>
    <definedName name="SUPLEMENTACION">#REF!</definedName>
    <definedName name="suplementacionc">#REF!</definedName>
    <definedName name="t">#REF!</definedName>
    <definedName name="tabla" hidden="1">{#N/A,#N/A,FALSE,"ESTUDIO1"}</definedName>
    <definedName name="TABLA.AMORT">#REF!</definedName>
    <definedName name="Tabla1">#REF!</definedName>
    <definedName name="tabla2">#REF!</definedName>
    <definedName name="Tabla3">#REF!</definedName>
    <definedName name="tablacostototal16">#REF!</definedName>
    <definedName name="tabladatosprod">#REF!</definedName>
    <definedName name="tabladecostototal">#REF!</definedName>
    <definedName name="tabladeventasmensuales">#REF!</definedName>
    <definedName name="tabladeventasmensuales16">#REF!</definedName>
    <definedName name="tablaprod16">#REF!</definedName>
    <definedName name="tablapt16">#REF!</definedName>
    <definedName name="TABLAVIO">#REF!</definedName>
    <definedName name="Table_beg_bal">#REF!</definedName>
    <definedName name="Table_Fixed">#REF!</definedName>
    <definedName name="Table_prior_interest">#REF!</definedName>
    <definedName name="Table_Revenue">#REF!</definedName>
    <definedName name="Table_total">#REF!</definedName>
    <definedName name="Table_Variable">#REF!</definedName>
    <definedName name="TAM">#REF!</definedName>
    <definedName name="TAMAÑO">#REF!</definedName>
    <definedName name="TAMORT">#REF!</definedName>
    <definedName name="Tape_Rates">#REF!</definedName>
    <definedName name="Tarimas48ft">#REF!</definedName>
    <definedName name="Tarimas53ft">#REF!</definedName>
    <definedName name="TarimasTrailer20Lbs">#REF!</definedName>
    <definedName name="TarimasTrailer9Lbs">#REF!</definedName>
    <definedName name="Tasa">#REF!</definedName>
    <definedName name="tasa_interes_mensual">#REF!</definedName>
    <definedName name="Tasa_Periódica">#REF!/12</definedName>
    <definedName name="tasaanuallplazo">#REF!</definedName>
    <definedName name="TasaCrecVentas">#REF!</definedName>
    <definedName name="tasacreditocp">#REF!</definedName>
    <definedName name="TasaImpuestos">#REF!</definedName>
    <definedName name="tasainvcortoplazo">#REF!</definedName>
    <definedName name="TasaMensual">#REF!</definedName>
    <definedName name="TBdbName" hidden="1">"88D5BF544BE111D2B8C5006097494125.mdb"</definedName>
    <definedName name="TC">#REF!</definedName>
    <definedName name="TC_USD_PPTO">#REF!</definedName>
    <definedName name="TDEV">#REF!</definedName>
    <definedName name="TECNICO">#REF!</definedName>
    <definedName name="tecno">#REF!</definedName>
    <definedName name="Teléfono">#REF!</definedName>
    <definedName name="TEMPORADA">#REF!</definedName>
    <definedName name="TenenciaTierra">#REF!</definedName>
    <definedName name="TEPIC" hidden="1">{#N/A,#N/A,FALSE,"DICTEC"}</definedName>
    <definedName name="Teradata_Rates">#REF!</definedName>
    <definedName name="Term_in_years">#REF!</definedName>
    <definedName name="Terr">#REF!</definedName>
    <definedName name="terreno">#REF!</definedName>
    <definedName name="tesorero__Patricio_Barrales_O">#REF!</definedName>
    <definedName name="teste2" hidden="1">#REF!</definedName>
    <definedName name="Texto_Muestra">#REF!</definedName>
    <definedName name="TextRefCopy1">#REF!</definedName>
    <definedName name="TextRefCopy2">#REF!</definedName>
    <definedName name="TextRefCopy3">#REF!</definedName>
    <definedName name="TextRefCopyRangeCount">3</definedName>
    <definedName name="TIN">#REF!</definedName>
    <definedName name="Tipo">#REF!</definedName>
    <definedName name="TIPOCAMBIO">#REF!</definedName>
    <definedName name="Tipodecambio">#REF!</definedName>
    <definedName name="TIR">#REF!</definedName>
    <definedName name="TITULOS">#REF!</definedName>
    <definedName name="TODO">#REF!</definedName>
    <definedName name="TOMATE" hidden="1">{#N/A,#N/A,FALSE,"PROYFIN"}</definedName>
    <definedName name="TOTADMON">#REF!</definedName>
    <definedName name="TOTAL">#REF!</definedName>
    <definedName name="total_costos">#REF!</definedName>
    <definedName name="total_costos_directos">#REF!</definedName>
    <definedName name="total_costos_indirectos">#REF!</definedName>
    <definedName name="total_insumos">#REF!</definedName>
    <definedName name="total_mano_obra">#REF!</definedName>
    <definedName name="total_maquinaria">#REF!</definedName>
    <definedName name="Total_payments">Payments_per_year*Term_in_years</definedName>
    <definedName name="Total_UF_Etapa">#REF!</definedName>
    <definedName name="tr">{1,2,3,4;5,6,7,8;9,10,11,12;13,14,15,16}</definedName>
    <definedName name="TRANSACCIONES">#REF!</definedName>
    <definedName name="TRANSF">#REF!</definedName>
    <definedName name="TRANSFORMACION">#REF!</definedName>
    <definedName name="tres" hidden="1">{#N/A,#N/A,FALSE,"DICTEC"}</definedName>
    <definedName name="TRIMESTRAL">#REF!</definedName>
    <definedName name="trt" hidden="1">#REF!</definedName>
    <definedName name="tt" hidden="1">#REF!</definedName>
    <definedName name="ttttt" hidden="1">#REF!</definedName>
    <definedName name="ty">#REF!</definedName>
    <definedName name="u">#REF!</definedName>
    <definedName name="U.F.1978_1991">#REF!,#REF!</definedName>
    <definedName name="U.F.1990">#REF!</definedName>
    <definedName name="U.F.1990_1999">#REF!,#REF!</definedName>
    <definedName name="U.F.1992">#REF!</definedName>
    <definedName name="UCEPCO">#REF!</definedName>
    <definedName name="UF">PORTADA!$H$8</definedName>
    <definedName name="UFR">#REF!</definedName>
    <definedName name="uii">#REF!</definedName>
    <definedName name="Unhide">#REF!</definedName>
    <definedName name="Unidad1">#REF!</definedName>
    <definedName name="Unidad2">#REF!</definedName>
    <definedName name="UNIDADCOSTOS">#REF!</definedName>
    <definedName name="UNIDADPRECIOS">#REF!</definedName>
    <definedName name="UNIDADVOLUMENES">#REF!</definedName>
    <definedName name="uno" hidden="1">{#N/A,#N/A,FALSE,"ESTUDIO1"}</definedName>
    <definedName name="update">#REF!</definedName>
    <definedName name="us">#REF!</definedName>
    <definedName name="USD">PORTADA!$H$9</definedName>
    <definedName name="USS">#REF!</definedName>
    <definedName name="UTILIDAD">#REF!</definedName>
    <definedName name="UTLÅN">#REF!</definedName>
    <definedName name="UTLÅN_44">#REF!</definedName>
    <definedName name="uu">#REF!</definedName>
    <definedName name="UUF">#REF!</definedName>
    <definedName name="V">#REF!</definedName>
    <definedName name="VA">#REF!</definedName>
    <definedName name="valor_índice">16</definedName>
    <definedName name="Valor_Unidad1">#REF!</definedName>
    <definedName name="Valor_Unidad2">#REF!</definedName>
    <definedName name="VAN_C_PR">#REF!</definedName>
    <definedName name="VB">#REF!</definedName>
    <definedName name="VC">#REF!</definedName>
    <definedName name="VCOP">#REF!</definedName>
    <definedName name="vdn">#REF!</definedName>
    <definedName name="VDN_17">#REF!</definedName>
    <definedName name="VDNSA">#REF!</definedName>
    <definedName name="VDNSPA">#REF!</definedName>
    <definedName name="VDS">#REF!</definedName>
    <definedName name="VDS_17">#REF!</definedName>
    <definedName name="Veloc_Ventas1">#REF!</definedName>
    <definedName name="Veloc_Ventas2">#REF!</definedName>
    <definedName name="VENTAS">#REF!</definedName>
    <definedName name="ventas2016">#REF!</definedName>
    <definedName name="VEXPORT">#REF!</definedName>
    <definedName name="VI">#REF!</definedName>
    <definedName name="VII">#REF!</definedName>
    <definedName name="VNAL">#REF!</definedName>
    <definedName name="VO">#REF!</definedName>
    <definedName name="VOLUMEN">#REF!</definedName>
    <definedName name="VOLUMENTOTAL">#REF!</definedName>
    <definedName name="VOO">#REF!</definedName>
    <definedName name="VORGA">#REF!</definedName>
    <definedName name="VPN">#REF!</definedName>
    <definedName name="VProd">#REF!</definedName>
    <definedName name="VTM_1" hidden="1">#REF!</definedName>
    <definedName name="VTM_14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2" hidden="1">#REF!</definedName>
    <definedName name="VTM_3" hidden="1">#REF!</definedName>
    <definedName name="W">#REF!</definedName>
    <definedName name="WE">#REF!</definedName>
    <definedName name="wrn.13.99.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1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1_1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2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_2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Dictamen._.Financiero." hidden="1">{#N/A,#N/A,FALSE,"DICFIN"}</definedName>
    <definedName name="wrn.Dictamen._.Tecnico." hidden="1">{#N/A,#N/A,FALSE,"DICTEC"}</definedName>
    <definedName name="wrn.Esrudio._.Credito." hidden="1">{#N/A,#N/A,FALSE,"ESTUDIO1"}</definedName>
    <definedName name="wrn.Flujo._.Efectivo." hidden="1">{#N/A,#N/A,FALSE,"PROYFIN"}</definedName>
    <definedName name="wrn.PACKAGE.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1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1_1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2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SINTESIS." hidden="1">{#N/A,#N/A,FALSE,"SINTESIS"}</definedName>
    <definedName name="wrn.SUN1.">{#N/A,#N/A,FALSE,"Assumptions";#N/A,#N/A,FALSE,"office";#N/A,#N/A,FALSE,"monthly"}</definedName>
    <definedName name="wrn.TODOS." hidden="1">{#N/A,#N/A,FALSE,"DICFIN";#N/A,#N/A,FALSE,"SINTESIS";#N/A,#N/A,FALSE,"PROYFIN";#N/A,#N/A,FALSE,"DICTEC";#N/A,#N/A,FALSE,"ESTUDIO1"}</definedName>
    <definedName name="wrn.Wright.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W">#REF!</definedName>
    <definedName name="www">#REF!</definedName>
    <definedName name="x">#REF!</definedName>
    <definedName name="xeex">#REF!</definedName>
    <definedName name="xpto" hidden="1">#REF!</definedName>
    <definedName name="XREF_COL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9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ActiveRow_1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3Row" hidden="1">#REF!</definedName>
    <definedName name="XRefCopy34" hidden="1">#REF!</definedName>
    <definedName name="XRefCopy35" hidden="1">#REF!</definedName>
    <definedName name="XRefCopy38" hidden="1">#REF!</definedName>
    <definedName name="XRefCopy39" hidden="1">#REF!</definedName>
    <definedName name="XRefCopy3Row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6" hidden="1">#REF!</definedName>
    <definedName name="XRefCopy47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6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0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2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Row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9Row" hidden="1">#REF!</definedName>
    <definedName name="XRefPaste9Row" hidden="1">#REF!</definedName>
    <definedName name="XRefPasteRangeCount" hidden="1">3</definedName>
    <definedName name="XUF">#REF!</definedName>
    <definedName name="xx" hidden="1">#REF!</definedName>
    <definedName name="xxx" hidden="1">1</definedName>
    <definedName name="XXXXXXXXXXXXXXXXXXXXXXXXXX" hidden="1">{#N/A,#N/A,FALSE,"SINTESIS"}</definedName>
    <definedName name="xzas">#REF!</definedName>
    <definedName name="y">#REF!</definedName>
    <definedName name="YO">#REF!</definedName>
    <definedName name="yu">#REF!</definedName>
    <definedName name="yy" hidden="1">#REF!</definedName>
    <definedName name="yyy">#REF!</definedName>
    <definedName name="yyyy">#REF!</definedName>
    <definedName name="yyyyy">#REF!</definedName>
    <definedName name="yyyyyyyy" hidden="1">#REF!</definedName>
    <definedName name="z">#REF!</definedName>
    <definedName name="zz">#REF!</definedName>
    <definedName name="zzz" hidden="1">#REF!</definedName>
    <definedName name="zzzzz" hidden="1">#REF!</definedName>
    <definedName name="zzzzzz">#REF!</definedName>
    <definedName name="zzzzzzzzz">#REF!</definedName>
    <definedName name="zzzzzzzzzz">#REF!</definedName>
    <definedName name="zzzzzzzzzzzzzz">#REF!</definedName>
    <definedName name="zzzzzzzzzzzzzzzzzzzz">#REF!</definedName>
    <definedName name="_xlnm.Print_Area" localSheetId="0">'PORTADA'!$A$1:$I$45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rn.SUN1." localSheetId="1">{#N/A,#N/A,FALSE,"Assumptions";#N/A,#N/A,FALSE,"office";#N/A,#N/A,FALSE,"monthly"}</definedName>
    <definedName name="_xlnm.Print_Area" localSheetId="1">'LEGAL'!$A$1:$L$145</definedName>
    <definedName name="LOCAL_MYSQL_DATE_FORMAT" localSheetId="2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rn.SUN1." localSheetId="2">{#N/A,#N/A,FALSE,"Assumptions";#N/A,#N/A,FALSE,"office";#N/A,#N/A,FALSE,"monthly"}</definedName>
    <definedName name="_xlnm.Print_Area" localSheetId="2">'SUELOS  '!$A$1:$H$97</definedName>
    <definedName name="_xlnm.Print_Area" localSheetId="3">'AGUA '!$A$1:$K$34</definedName>
    <definedName name="LOCAL_MYSQL_DATE_FORMAT" localSheetId="4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rn.SUN1." localSheetId="4">{#N/A,#N/A,FALSE,"Assumptions";#N/A,#N/A,FALSE,"office";#N/A,#N/A,FALSE,"monthly"}</definedName>
    <definedName name="_xlnm.Print_Area" localSheetId="4">'CONSTR'!$A$1:$S$88</definedName>
    <definedName name="_xlnm.Print_Area" localSheetId="5">'PLANTACION'!$A$1:$K$27</definedName>
    <definedName name="LOCAL_MYSQL_DATE_FORMAT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rn.SUN1." localSheetId="6">{#N/A,#N/A,FALSE,"Assumptions";#N/A,#N/A,FALSE,"office";#N/A,#N/A,FALSE,"monthly"}</definedName>
    <definedName name="_xlnm.Print_Area" localSheetId="6">'RESUMEN VALOR'!$A$1:$E$28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rn.SUN1." localSheetId="7" hidden="1">{#N/A,#N/A,FALSE,"Assumptions";#N/A,#N/A,FALSE,"office";#N/A,#N/A,FALSE,"monthly"}</definedName>
    <definedName name="_xlnm.Print_Area" localSheetId="7">'Fotografias 1'!$A$1:$AT$59</definedName>
    <definedName name="__TC1" localSheetId="8">#REF!</definedName>
    <definedName name="__TC10" localSheetId="8">#REF!</definedName>
    <definedName name="__TC11" localSheetId="8">#REF!</definedName>
    <definedName name="__TC12" localSheetId="8">#REF!</definedName>
    <definedName name="__TC2" localSheetId="8">#REF!</definedName>
    <definedName name="__TC3" localSheetId="8">#REF!</definedName>
    <definedName name="__TC4" localSheetId="8">#REF!</definedName>
    <definedName name="__TC5" localSheetId="8">#REF!</definedName>
    <definedName name="__TC6" localSheetId="8">#REF!</definedName>
    <definedName name="__TC7" localSheetId="8">#REF!</definedName>
    <definedName name="__TC8" localSheetId="8">#REF!</definedName>
    <definedName name="__TC9" localSheetId="8">#REF!</definedName>
    <definedName name="_1.A" localSheetId="8">#REF!</definedName>
    <definedName name="_1.B" localSheetId="8">#REF!</definedName>
    <definedName name="_1.C" localSheetId="8">#REF!</definedName>
    <definedName name="_10T" localSheetId="8">#REF!</definedName>
    <definedName name="_10U" localSheetId="8">#REF!</definedName>
    <definedName name="_10V" localSheetId="8">#REF!</definedName>
    <definedName name="_10W" localSheetId="8">#REF!</definedName>
    <definedName name="_11T" localSheetId="8">#REF!</definedName>
    <definedName name="_11U" localSheetId="8">#REF!</definedName>
    <definedName name="_11V" localSheetId="8">#REF!</definedName>
    <definedName name="_11W" localSheetId="8">#REF!</definedName>
    <definedName name="_1CT" localSheetId="8">#REF!</definedName>
    <definedName name="_1S" localSheetId="8">#REF!</definedName>
    <definedName name="_1T" localSheetId="8">#REF!</definedName>
    <definedName name="_1U" localSheetId="8">#REF!</definedName>
    <definedName name="_1V" localSheetId="8">#REF!</definedName>
    <definedName name="_1W" localSheetId="8">#REF!</definedName>
    <definedName name="_2.A" localSheetId="8">#REF!</definedName>
    <definedName name="_2.B" localSheetId="8">#REF!</definedName>
    <definedName name="_2.C" localSheetId="8">#REF!</definedName>
    <definedName name="_2CT" localSheetId="8">#REF!</definedName>
    <definedName name="_2T" localSheetId="8">#REF!</definedName>
    <definedName name="_2U" localSheetId="8">#REF!</definedName>
    <definedName name="_2V" localSheetId="8">#REF!</definedName>
    <definedName name="_2W" localSheetId="8">#REF!</definedName>
    <definedName name="_3.A" localSheetId="8">#REF!</definedName>
    <definedName name="_3.B" localSheetId="8">#REF!</definedName>
    <definedName name="_3.C" localSheetId="8">#REF!</definedName>
    <definedName name="_3CT" localSheetId="8">#REF!</definedName>
    <definedName name="_3IMP" localSheetId="8">#REF!</definedName>
    <definedName name="_3INV" localSheetId="8">#REF!</definedName>
    <definedName name="_3MIN" localSheetId="8">#REF!</definedName>
    <definedName name="_3T" localSheetId="8">#REF!</definedName>
    <definedName name="_3U" localSheetId="8">#REF!</definedName>
    <definedName name="_3V" localSheetId="8">#REF!</definedName>
    <definedName name="_3W" localSheetId="8">#REF!</definedName>
    <definedName name="_4.A" localSheetId="8">#REF!</definedName>
    <definedName name="_4.B" localSheetId="8">#REF!</definedName>
    <definedName name="_4.C" localSheetId="8">#REF!</definedName>
    <definedName name="_4CT" localSheetId="8">#REF!</definedName>
    <definedName name="_4IMP" localSheetId="8">#REF!</definedName>
    <definedName name="_4INV" localSheetId="8">#REF!</definedName>
    <definedName name="_4MIN" localSheetId="8">#REF!</definedName>
    <definedName name="_4T" localSheetId="8">#REF!</definedName>
    <definedName name="_4U" localSheetId="8">#REF!</definedName>
    <definedName name="_4V" localSheetId="8">#REF!</definedName>
    <definedName name="_4W" localSheetId="8">#REF!</definedName>
    <definedName name="_5.A" localSheetId="8">#REF!</definedName>
    <definedName name="_5.B" localSheetId="8">#REF!</definedName>
    <definedName name="_5.C" localSheetId="8">#REF!</definedName>
    <definedName name="_5CT" localSheetId="8">#REF!</definedName>
    <definedName name="_5IMP" localSheetId="8">#REF!</definedName>
    <definedName name="_5INV" localSheetId="8">#REF!</definedName>
    <definedName name="_5MIN" localSheetId="8">#REF!</definedName>
    <definedName name="_5T" localSheetId="8">#REF!</definedName>
    <definedName name="_5U" localSheetId="8">#REF!</definedName>
    <definedName name="_5V" localSheetId="8">#REF!</definedName>
    <definedName name="_5W" localSheetId="8">#REF!</definedName>
    <definedName name="_6.A" localSheetId="8">#REF!</definedName>
    <definedName name="_6.B" localSheetId="8">#REF!</definedName>
    <definedName name="_6.C" localSheetId="8">#REF!</definedName>
    <definedName name="_6CT" localSheetId="8">#REF!</definedName>
    <definedName name="_6IMP" localSheetId="8">#REF!</definedName>
    <definedName name="_6INV" localSheetId="8">#REF!</definedName>
    <definedName name="_6MIN" localSheetId="8">#REF!</definedName>
    <definedName name="_6T" localSheetId="8">#REF!</definedName>
    <definedName name="_6U" localSheetId="8">#REF!</definedName>
    <definedName name="_6V" localSheetId="8">#REF!</definedName>
    <definedName name="_6W" localSheetId="8">#REF!</definedName>
    <definedName name="_7CT" localSheetId="8">#REF!</definedName>
    <definedName name="_7T" localSheetId="8">#REF!</definedName>
    <definedName name="_7U" localSheetId="8">#REF!</definedName>
    <definedName name="_7V" localSheetId="8">#REF!</definedName>
    <definedName name="_7W" localSheetId="8">#REF!</definedName>
    <definedName name="_8CT" localSheetId="8">#REF!</definedName>
    <definedName name="_8T" localSheetId="8">#REF!</definedName>
    <definedName name="_8U" localSheetId="8">#REF!</definedName>
    <definedName name="_8V" localSheetId="8">#REF!</definedName>
    <definedName name="_8W" localSheetId="8">#REF!</definedName>
    <definedName name="_9CT" localSheetId="8">#REF!</definedName>
    <definedName name="_CAP3" localSheetId="8">#REF!</definedName>
    <definedName name="_CAP4" localSheetId="8">#REF!</definedName>
    <definedName name="_CAP5" localSheetId="8">#REF!</definedName>
    <definedName name="_COR3" localSheetId="8">#REF!</definedName>
    <definedName name="_COR4" localSheetId="8">#REF!</definedName>
    <definedName name="_COR5" localSheetId="8">#REF!</definedName>
    <definedName name="_IEX3" localSheetId="8">#REF!</definedName>
    <definedName name="_IEX4" localSheetId="8">#REF!</definedName>
    <definedName name="_IEX5" localSheetId="8">#REF!</definedName>
    <definedName name="_IMI3" localSheetId="8">#REF!</definedName>
    <definedName name="_IMI4" localSheetId="8">#REF!</definedName>
    <definedName name="_IMI5" localSheetId="8">#REF!</definedName>
    <definedName name="_IMP3" localSheetId="8">#REF!</definedName>
    <definedName name="_IMP4" localSheetId="8">#REF!</definedName>
    <definedName name="_IMP5" localSheetId="8">#REF!</definedName>
    <definedName name="_INV3" localSheetId="8">#REF!</definedName>
    <definedName name="_INV4" localSheetId="8">#REF!</definedName>
    <definedName name="_INV5" localSheetId="8">#REF!</definedName>
    <definedName name="_Key1" localSheetId="8" hidden="1">#REF!</definedName>
    <definedName name="_Key2" localSheetId="8" hidden="1">#REF!</definedName>
    <definedName name="_LAR3" localSheetId="8">#REF!</definedName>
    <definedName name="_LAR4" localSheetId="8">#REF!</definedName>
    <definedName name="_LAR5" localSheetId="8">#REF!</definedName>
    <definedName name="_MIN3" localSheetId="8">#REF!</definedName>
    <definedName name="_MIN4" localSheetId="8">#REF!</definedName>
    <definedName name="_MIN5" localSheetId="8">#REF!</definedName>
    <definedName name="_OPE3" localSheetId="8">#REF!</definedName>
    <definedName name="_OPE4" localSheetId="8">#REF!</definedName>
    <definedName name="_OPE5" localSheetId="8">#REF!</definedName>
    <definedName name="_RG2" localSheetId="8">#REF!</definedName>
    <definedName name="_RG3" localSheetId="8">#REF!</definedName>
    <definedName name="_RG4" localSheetId="8">#REF!</definedName>
    <definedName name="_RG5" localSheetId="8">#REF!</definedName>
    <definedName name="_RG6" localSheetId="8">#REF!</definedName>
    <definedName name="_Sort" localSheetId="8" hidden="1">#REF!</definedName>
    <definedName name="_TC1" localSheetId="8">#REF!</definedName>
    <definedName name="_TC10" localSheetId="8">#REF!</definedName>
    <definedName name="_TC11" localSheetId="8">#REF!</definedName>
    <definedName name="_TC12" localSheetId="8">#REF!</definedName>
    <definedName name="_TC2" localSheetId="8">#REF!</definedName>
    <definedName name="_TC3" localSheetId="8">#REF!</definedName>
    <definedName name="_TC4" localSheetId="8">#REF!</definedName>
    <definedName name="_TC5" localSheetId="8">#REF!</definedName>
    <definedName name="_TC6" localSheetId="8">#REF!</definedName>
    <definedName name="_TC7" localSheetId="8">#REF!</definedName>
    <definedName name="_TC8" localSheetId="8">#REF!</definedName>
    <definedName name="_TC9" localSheetId="8">#REF!</definedName>
    <definedName name="ANT" localSheetId="8">#REF!</definedName>
    <definedName name="AVALUO1" localSheetId="8">#REF!</definedName>
    <definedName name="AVALUO10" localSheetId="8">#REF!</definedName>
    <definedName name="AVALUO11" localSheetId="8">#REF!</definedName>
    <definedName name="AVALUO12" localSheetId="8">#REF!</definedName>
    <definedName name="AVALUO13" localSheetId="8">#REF!</definedName>
    <definedName name="AVALUO14" localSheetId="8">#REF!</definedName>
    <definedName name="AVALUO15" localSheetId="8">#REF!</definedName>
    <definedName name="AVALUO16" localSheetId="8">#REF!</definedName>
    <definedName name="AVALUO17" localSheetId="8">#REF!</definedName>
    <definedName name="AVALUO18" localSheetId="8">#REF!</definedName>
    <definedName name="AVALUO2" localSheetId="8">#REF!</definedName>
    <definedName name="AVALUO3" localSheetId="8">#REF!</definedName>
    <definedName name="AVALUO4" localSheetId="8">#REF!</definedName>
    <definedName name="AVALUO5" localSheetId="8">#REF!</definedName>
    <definedName name="AVALUO6" localSheetId="8">#REF!</definedName>
    <definedName name="AVALUO7" localSheetId="8">#REF!</definedName>
    <definedName name="AVALUO8" localSheetId="8">#REF!</definedName>
    <definedName name="AVALUO9" localSheetId="8">#REF!</definedName>
    <definedName name="BUILL" localSheetId="8">#REF!</definedName>
    <definedName name="CAJA3" localSheetId="8">#REF!</definedName>
    <definedName name="CAJA4" localSheetId="8">#REF!</definedName>
    <definedName name="CAJA5" localSheetId="8">#REF!</definedName>
    <definedName name="CECOS" localSheetId="8">#REF!</definedName>
    <definedName name="CENTRO_DE_COSTO" localSheetId="8">#REF!</definedName>
    <definedName name="CLIENTE" localSheetId="8">#REF!</definedName>
    <definedName name="COBERTURA" localSheetId="8">#REF!</definedName>
    <definedName name="COMUNA" localSheetId="8">#REF!</definedName>
    <definedName name="CUENCA" localSheetId="8">#REF!</definedName>
    <definedName name="dolar" localSheetId="8">#REF!</definedName>
    <definedName name="ESPECIE" localSheetId="8">#REF!</definedName>
    <definedName name="FECHA" localSheetId="8">#REF!</definedName>
    <definedName name="Fecha_CierreMensual" localSheetId="8">#REF!</definedName>
    <definedName name="FECHA2" localSheetId="8">#REF!</definedName>
    <definedName name="FECHA20" localSheetId="8">#REF!</definedName>
    <definedName name="FECHA3" localSheetId="8">#REF!</definedName>
    <definedName name="FECHA30" localSheetId="8">#REF!</definedName>
    <definedName name="FECHA4" localSheetId="8">#REF!</definedName>
    <definedName name="FECHA40" localSheetId="8">#REF!</definedName>
    <definedName name="FECHA5" localSheetId="8">#REF!</definedName>
    <definedName name="FECHA50" localSheetId="8">#REF!</definedName>
    <definedName name="FECHA6" localSheetId="8">#REF!</definedName>
    <definedName name="FECHA60" localSheetId="8">#REF!</definedName>
    <definedName name="FIJO3" localSheetId="8">#REF!</definedName>
    <definedName name="FIJO4" localSheetId="8">#REF!</definedName>
    <definedName name="FIJO5" localSheetId="8">#REF!</definedName>
    <definedName name="FUNDO" localSheetId="8">#REF!</definedName>
    <definedName name="i" localSheetId="8">#REF!,#REF!</definedName>
    <definedName name="ipc" localSheetId="8">#REF!</definedName>
    <definedName name="kfmrdj" localSheetId="8">#REF!,#REF!</definedName>
    <definedName name="LIQ" localSheetId="8">#REF!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AME2" localSheetId="8">#REF!</definedName>
    <definedName name="NAME3" localSheetId="8">#REF!</definedName>
    <definedName name="NAME4" localSheetId="8">#REF!</definedName>
    <definedName name="NAME5" localSheetId="8">#REF!</definedName>
    <definedName name="NAME6" localSheetId="8">#REF!</definedName>
    <definedName name="NOM" localSheetId="8">#REF!</definedName>
    <definedName name="PREDIO1" localSheetId="8">#REF!</definedName>
    <definedName name="PRIM" localSheetId="8">#REF!</definedName>
    <definedName name="PROP1" localSheetId="8">#REF!</definedName>
    <definedName name="PROP10" localSheetId="8">#REF!</definedName>
    <definedName name="PROP11" localSheetId="8">#REF!</definedName>
    <definedName name="PROP12" localSheetId="8">#REF!</definedName>
    <definedName name="PROP13" localSheetId="8">#REF!</definedName>
    <definedName name="PROP14" localSheetId="8">#REF!</definedName>
    <definedName name="PROP15" localSheetId="8">#REF!</definedName>
    <definedName name="PROP16" localSheetId="8">#REF!</definedName>
    <definedName name="PROP17" localSheetId="8">#REF!</definedName>
    <definedName name="PROP18" localSheetId="8">#REF!</definedName>
    <definedName name="PROP2" localSheetId="8">#REF!</definedName>
    <definedName name="PROP3" localSheetId="8">#REF!</definedName>
    <definedName name="PROP4" localSheetId="8">#REF!</definedName>
    <definedName name="PROP5" localSheetId="8">#REF!</definedName>
    <definedName name="PROP6" localSheetId="8">#REF!</definedName>
    <definedName name="PROP7" localSheetId="8">#REF!</definedName>
    <definedName name="PROP8" localSheetId="8">#REF!</definedName>
    <definedName name="PROP9" localSheetId="8">#REF!</definedName>
    <definedName name="qqqqq" localSheetId="8">#REF!</definedName>
    <definedName name="REGION" localSheetId="8">#REF!</definedName>
    <definedName name="RIEGO" localSheetId="8">#REF!</definedName>
    <definedName name="SII" localSheetId="8">#REF!</definedName>
    <definedName name="sueldo" localSheetId="8">#REF!</definedName>
    <definedName name="SUPER1" localSheetId="8">#REF!</definedName>
    <definedName name="SUPER10" localSheetId="8">#REF!</definedName>
    <definedName name="SUPER11" localSheetId="8">#REF!</definedName>
    <definedName name="SUPER12" localSheetId="8">#REF!</definedName>
    <definedName name="SUPER18" localSheetId="8">#REF!</definedName>
    <definedName name="SUPER2" localSheetId="8">#REF!</definedName>
    <definedName name="SUPER3" localSheetId="8">#REF!</definedName>
    <definedName name="SUPER4" localSheetId="8">#REF!</definedName>
    <definedName name="SUPER5" localSheetId="8">#REF!</definedName>
    <definedName name="SUPER6" localSheetId="8">#REF!</definedName>
    <definedName name="SUPER7" localSheetId="8">#REF!</definedName>
    <definedName name="SUPER8" localSheetId="8">#REF!</definedName>
    <definedName name="SUPER9" localSheetId="8">#REF!</definedName>
    <definedName name="SUPERFICIE1" localSheetId="8">#REF!</definedName>
    <definedName name="Tabla3" localSheetId="8">#REF!</definedName>
    <definedName name="TC" localSheetId="8">#REF!</definedName>
    <definedName name="TITULOS" localSheetId="8">#REF!</definedName>
    <definedName name="U.F.1978_1991" localSheetId="8">#REF!,#REF!</definedName>
    <definedName name="U.F.1990" localSheetId="8">#REF!</definedName>
    <definedName name="U.F.1990_1999" localSheetId="8">#REF!,#REF!</definedName>
    <definedName name="us" localSheetId="8">#REF!</definedName>
    <definedName name="wrn.SUN1." localSheetId="8" hidden="1">{#N/A,#N/A,FALSE,"Assumptions";#N/A,#N/A,FALSE,"office";#N/A,#N/A,FALSE,"monthly"}</definedName>
    <definedName name="WW" localSheetId="8">#REF!</definedName>
    <definedName name="_xlnm._FilterDatabase" localSheetId="8" hidden="1">'REF. PROPIEDADES '!$A$5:$O$225</definedName>
    <definedName name="_" localSheetId="9">{1,2,3,4;5,6,7,8;9,10,11,12;13,14,15,16}</definedName>
    <definedName name="_________________________________________________________________Hp3" localSheetId="9">{1,2,3,4;5,6,7,8;9,10,11,12;13,14,15,16}</definedName>
    <definedName name="_______________________________________________________________Hp3" localSheetId="9">{1,2,3,4;5,6,7,8;9,10,11,12;13,14,15,16}</definedName>
    <definedName name="_______________________________________________Hp3" localSheetId="9">{1,2,3,4;5,6,7,8;9,10,11,12;13,14,15,16}</definedName>
    <definedName name="_______________________________________________Hp3_1" localSheetId="9">{1,2,3,4;5,6,7,8;9,10,11,12;13,14,15,16}</definedName>
    <definedName name="______________________________________________Hp3" localSheetId="9">{1,2,3,4;5,6,7,8;9,10,11,12;13,14,15,16}</definedName>
    <definedName name="_____________________________________________Hp3" localSheetId="9">{1,2,3,4;5,6,7,8;9,10,11,12;13,14,15,16}</definedName>
    <definedName name="___________________________________________Hp3" localSheetId="9">{1,2,3,4;5,6,7,8;9,10,11,12;13,14,15,16}</definedName>
    <definedName name="__________________________________________Hp3" localSheetId="9">{1,2,3,4;5,6,7,8;9,10,11,12;13,14,15,16}</definedName>
    <definedName name="________________________________________Hp3" localSheetId="9">{1,2,3,4;5,6,7,8;9,10,11,12;13,14,15,16}</definedName>
    <definedName name="_____________________________________Hp3" localSheetId="9">{1,2,3,4;5,6,7,8;9,10,11,12;13,14,15,16}</definedName>
    <definedName name="____________________________________Hp3" localSheetId="9">{1,2,3,4;5,6,7,8;9,10,11,12;13,14,15,16}</definedName>
    <definedName name="____________________________________Hp3_1" localSheetId="9">{1,2,3,4;5,6,7,8;9,10,11,12;13,14,15,16}</definedName>
    <definedName name="___________________________________Hp3" localSheetId="9">{1,2,3,4;5,6,7,8;9,10,11,12;13,14,15,16}</definedName>
    <definedName name="______B2003" localSheetId="9" hidden="1">{#N/A,#N/A,FALSE,"ESTUDIO1"}</definedName>
    <definedName name="____B2003" localSheetId="9" hidden="1">{#N/A,#N/A,FALSE,"ESTUDIO1"}</definedName>
    <definedName name="__B2003" localSheetId="9" hidden="1">{#N/A,#N/A,FALSE,"ESTUDIO1"}</definedName>
    <definedName name="__Hp3" localSheetId="9">{1,2,3,4;5,6,7,8;9,10,11,12;13,14,15,16}</definedName>
    <definedName name="__TC1" localSheetId="9">#REF!</definedName>
    <definedName name="__TC10" localSheetId="9">#REF!</definedName>
    <definedName name="__TC11" localSheetId="9">#REF!</definedName>
    <definedName name="__TC12" localSheetId="9">#REF!</definedName>
    <definedName name="__TC2" localSheetId="9">#REF!</definedName>
    <definedName name="__TC3" localSheetId="9">#REF!</definedName>
    <definedName name="__TC4" localSheetId="9">#REF!</definedName>
    <definedName name="__TC5" localSheetId="9">#REF!</definedName>
    <definedName name="__TC6" localSheetId="9">#REF!</definedName>
    <definedName name="__TC7" localSheetId="9">#REF!</definedName>
    <definedName name="__TC8" localSheetId="9">#REF!</definedName>
    <definedName name="__TC9" localSheetId="9">#REF!</definedName>
    <definedName name="_1.A" localSheetId="9">#REF!</definedName>
    <definedName name="_1.B" localSheetId="9">#REF!</definedName>
    <definedName name="_1.C" localSheetId="9">#REF!</definedName>
    <definedName name="_10T" localSheetId="9">#REF!</definedName>
    <definedName name="_10U" localSheetId="9">#REF!</definedName>
    <definedName name="_10V" localSheetId="9">#REF!</definedName>
    <definedName name="_10W" localSheetId="9">#REF!</definedName>
    <definedName name="_11T" localSheetId="9">#REF!</definedName>
    <definedName name="_11U" localSheetId="9">#REF!</definedName>
    <definedName name="_11V" localSheetId="9">#REF!</definedName>
    <definedName name="_11W" localSheetId="9">#REF!</definedName>
    <definedName name="_1CT" localSheetId="9">#REF!</definedName>
    <definedName name="_1S" localSheetId="9">#REF!</definedName>
    <definedName name="_1T" localSheetId="9">#REF!</definedName>
    <definedName name="_1U" localSheetId="9">#REF!</definedName>
    <definedName name="_1V" localSheetId="9">#REF!</definedName>
    <definedName name="_1W" localSheetId="9">#REF!</definedName>
    <definedName name="_2.A" localSheetId="9">#REF!</definedName>
    <definedName name="_2.B" localSheetId="9">#REF!</definedName>
    <definedName name="_2.C" localSheetId="9">#REF!</definedName>
    <definedName name="_2CT" localSheetId="9">#REF!</definedName>
    <definedName name="_2T" localSheetId="9">#REF!</definedName>
    <definedName name="_2U" localSheetId="9">#REF!</definedName>
    <definedName name="_2V" localSheetId="9">#REF!</definedName>
    <definedName name="_2W" localSheetId="9">#REF!</definedName>
    <definedName name="_3.A" localSheetId="9">#REF!</definedName>
    <definedName name="_3.B" localSheetId="9">#REF!</definedName>
    <definedName name="_3.C" localSheetId="9">#REF!</definedName>
    <definedName name="_3CT" localSheetId="9">#REF!</definedName>
    <definedName name="_3IMP" localSheetId="9">#REF!</definedName>
    <definedName name="_3INV" localSheetId="9">#REF!</definedName>
    <definedName name="_3MIN" localSheetId="9">#REF!</definedName>
    <definedName name="_3T" localSheetId="9">#REF!</definedName>
    <definedName name="_3U" localSheetId="9">#REF!</definedName>
    <definedName name="_3V" localSheetId="9">#REF!</definedName>
    <definedName name="_3W" localSheetId="9">#REF!</definedName>
    <definedName name="_4.A" localSheetId="9">#REF!</definedName>
    <definedName name="_4.B" localSheetId="9">#REF!</definedName>
    <definedName name="_4.C" localSheetId="9">#REF!</definedName>
    <definedName name="_4CT" localSheetId="9">#REF!</definedName>
    <definedName name="_4IMP" localSheetId="9">#REF!</definedName>
    <definedName name="_4INV" localSheetId="9">#REF!</definedName>
    <definedName name="_4MIN" localSheetId="9">#REF!</definedName>
    <definedName name="_4T" localSheetId="9">#REF!</definedName>
    <definedName name="_4U" localSheetId="9">#REF!</definedName>
    <definedName name="_4V" localSheetId="9">#REF!</definedName>
    <definedName name="_4W" localSheetId="9">#REF!</definedName>
    <definedName name="_5.A" localSheetId="9">#REF!</definedName>
    <definedName name="_5.B" localSheetId="9">#REF!</definedName>
    <definedName name="_5.C" localSheetId="9">#REF!</definedName>
    <definedName name="_5CT" localSheetId="9">#REF!</definedName>
    <definedName name="_5IMP" localSheetId="9">#REF!</definedName>
    <definedName name="_5INV" localSheetId="9">#REF!</definedName>
    <definedName name="_5MIN" localSheetId="9">#REF!</definedName>
    <definedName name="_5T" localSheetId="9">#REF!</definedName>
    <definedName name="_5U" localSheetId="9">#REF!</definedName>
    <definedName name="_5V" localSheetId="9">#REF!</definedName>
    <definedName name="_5W" localSheetId="9">#REF!</definedName>
    <definedName name="_6.A" localSheetId="9">#REF!</definedName>
    <definedName name="_6.B" localSheetId="9">#REF!</definedName>
    <definedName name="_6.C" localSheetId="9">#REF!</definedName>
    <definedName name="_6CT" localSheetId="9">#REF!</definedName>
    <definedName name="_6IMP" localSheetId="9">#REF!</definedName>
    <definedName name="_6INV" localSheetId="9">#REF!</definedName>
    <definedName name="_6MIN" localSheetId="9">#REF!</definedName>
    <definedName name="_6T" localSheetId="9">#REF!</definedName>
    <definedName name="_6U" localSheetId="9">#REF!</definedName>
    <definedName name="_6V" localSheetId="9">#REF!</definedName>
    <definedName name="_6W" localSheetId="9">#REF!</definedName>
    <definedName name="_7CT" localSheetId="9">#REF!</definedName>
    <definedName name="_7T" localSheetId="9">#REF!</definedName>
    <definedName name="_7U" localSheetId="9">#REF!</definedName>
    <definedName name="_7V" localSheetId="9">#REF!</definedName>
    <definedName name="_7W" localSheetId="9">#REF!</definedName>
    <definedName name="_8CT" localSheetId="9">#REF!</definedName>
    <definedName name="_8T" localSheetId="9">#REF!</definedName>
    <definedName name="_8U" localSheetId="9">#REF!</definedName>
    <definedName name="_8V" localSheetId="9">#REF!</definedName>
    <definedName name="_8W" localSheetId="9">#REF!</definedName>
    <definedName name="_9CT" localSheetId="9">#REF!</definedName>
    <definedName name="_a7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B2003" localSheetId="9" hidden="1">{#N/A,#N/A,FALSE,"ESTUDIO1"}</definedName>
    <definedName name="_CAP3" localSheetId="9">#REF!</definedName>
    <definedName name="_CAP4" localSheetId="9">#REF!</definedName>
    <definedName name="_CAP5" localSheetId="9">#REF!</definedName>
    <definedName name="_COR3" localSheetId="9">#REF!</definedName>
    <definedName name="_COR4" localSheetId="9">#REF!</definedName>
    <definedName name="_COR5" localSheetId="9">#REF!</definedName>
    <definedName name="_DFG4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Hp3" localSheetId="9">{1,2,3,4;5,6,7,8;9,10,11,12;13,14,15,16}</definedName>
    <definedName name="_IEX3" localSheetId="9">#REF!</definedName>
    <definedName name="_IEX4" localSheetId="9">#REF!</definedName>
    <definedName name="_IEX5" localSheetId="9">#REF!</definedName>
    <definedName name="_IMI3" localSheetId="9">#REF!</definedName>
    <definedName name="_IMI4" localSheetId="9">#REF!</definedName>
    <definedName name="_IMI5" localSheetId="9">#REF!</definedName>
    <definedName name="_IMP3" localSheetId="9">#REF!</definedName>
    <definedName name="_IMP4" localSheetId="9">#REF!</definedName>
    <definedName name="_IMP5" localSheetId="9">#REF!</definedName>
    <definedName name="_INV3" localSheetId="9">#REF!</definedName>
    <definedName name="_INV4" localSheetId="9">#REF!</definedName>
    <definedName name="_INV5" localSheetId="9">#REF!</definedName>
    <definedName name="_JU7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ey1" localSheetId="9" hidden="1">#REF!</definedName>
    <definedName name="_Key2" localSheetId="9" hidden="1">#REF!</definedName>
    <definedName name="_kj14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LAR3" localSheetId="9">#REF!</definedName>
    <definedName name="_LAR4" localSheetId="9">#REF!</definedName>
    <definedName name="_LAR5" localSheetId="9">#REF!</definedName>
    <definedName name="_MIN3" localSheetId="9">#REF!</definedName>
    <definedName name="_MIN4" localSheetId="9">#REF!</definedName>
    <definedName name="_MIN5" localSheetId="9">#REF!</definedName>
    <definedName name="_OPE3" localSheetId="9">#REF!</definedName>
    <definedName name="_OPE4" localSheetId="9">#REF!</definedName>
    <definedName name="_OPE5" localSheetId="9">#REF!</definedName>
    <definedName name="_RG2" localSheetId="9">#REF!</definedName>
    <definedName name="_RG3" localSheetId="9">#REF!</definedName>
    <definedName name="_RG4" localSheetId="9">#REF!</definedName>
    <definedName name="_RG5" localSheetId="9">#REF!</definedName>
    <definedName name="_RG6" localSheetId="9">#REF!</definedName>
    <definedName name="_Sort" localSheetId="9" hidden="1">#REF!</definedName>
    <definedName name="_TC1" localSheetId="9">#REF!</definedName>
    <definedName name="_TC10" localSheetId="9">#REF!</definedName>
    <definedName name="_TC11" localSheetId="9">#REF!</definedName>
    <definedName name="_TC12" localSheetId="9">#REF!</definedName>
    <definedName name="_TC2" localSheetId="9">#REF!</definedName>
    <definedName name="_TC3" localSheetId="9">#REF!</definedName>
    <definedName name="_TC4" localSheetId="9">#REF!</definedName>
    <definedName name="_TC5" localSheetId="9">#REF!</definedName>
    <definedName name="_TC6" localSheetId="9">#REF!</definedName>
    <definedName name="_TC7" localSheetId="9">#REF!</definedName>
    <definedName name="_TC8" localSheetId="9">#REF!</definedName>
    <definedName name="_TC9" localSheetId="9">#REF!</definedName>
    <definedName name="AAAAAAA" localSheetId="9" hidden="1">{#N/A,#N/A,FALSE,"ESTUDIO1"}</definedName>
    <definedName name="AE" localSheetId="9" hidden="1">{#N/A,#N/A,FALSE,"DICFIN"}</definedName>
    <definedName name="angeles" localSheetId="9" hidden="1">{#N/A,#N/A,FALSE,"DICTEC"}</definedName>
    <definedName name="ANT" localSheetId="9">#REF!</definedName>
    <definedName name="AR" localSheetId="9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AVALUO1" localSheetId="9">#REF!</definedName>
    <definedName name="AVALUO10" localSheetId="9">#REF!</definedName>
    <definedName name="AVALUO11" localSheetId="9">#REF!</definedName>
    <definedName name="AVALUO12" localSheetId="9">#REF!</definedName>
    <definedName name="AVALUO13" localSheetId="9">#REF!</definedName>
    <definedName name="AVALUO14" localSheetId="9">#REF!</definedName>
    <definedName name="AVALUO15" localSheetId="9">#REF!</definedName>
    <definedName name="AVALUO16" localSheetId="9">#REF!</definedName>
    <definedName name="AVALUO17" localSheetId="9">#REF!</definedName>
    <definedName name="AVALUO18" localSheetId="9">#REF!</definedName>
    <definedName name="AVALUO2" localSheetId="9">#REF!</definedName>
    <definedName name="AVALUO3" localSheetId="9">#REF!</definedName>
    <definedName name="AVALUO4" localSheetId="9">#REF!</definedName>
    <definedName name="AVALUO5" localSheetId="9">#REF!</definedName>
    <definedName name="AVALUO6" localSheetId="9">#REF!</definedName>
    <definedName name="AVALUO7" localSheetId="9">#REF!</definedName>
    <definedName name="AVALUO8" localSheetId="9">#REF!</definedName>
    <definedName name="AVALUO9" localSheetId="9">#REF!</definedName>
    <definedName name="AVENA" localSheetId="9" hidden="1">{#N/A,#N/A,FALSE,"ESTUDIO1"}</definedName>
    <definedName name="azerty4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b" localSheetId="9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al" localSheetId="9" hidden="1">{#N/A,#N/A,FALSE,"DICFIN";#N/A,#N/A,FALSE,"SINTESIS";#N/A,#N/A,FALSE,"PROYFIN";#N/A,#N/A,FALSE,"DICTEC";#N/A,#N/A,FALSE,"ESTUDIO1"}</definedName>
    <definedName name="Bancojulio2013" localSheetId="9">{1,2,3,4;5,6,7,8;9,10,11,12;13,14,15,16}</definedName>
    <definedName name="BASE2" localSheetId="9" hidden="1">{#N/A,#N/A,FALSE,"DICFIN"}</definedName>
    <definedName name="BASE3" localSheetId="9" hidden="1">{#N/A,#N/A,FALSE,"DICFIN"}</definedName>
    <definedName name="BaseGral." localSheetId="9" hidden="1">{#N/A,#N/A,FALSE,"SINTESIS"}</definedName>
    <definedName name="BASICA" localSheetId="9">L2C1:L85C6</definedName>
    <definedName name="BBB" localSheetId="9">IF(#REF!&lt;&gt;"",MIN(#REF!,Pmt_to_use-#REF!),"")</definedName>
    <definedName name="bl" localSheetId="9" hidden="1">{#N/A,#N/A,FALSE,"ESTUDIO1"}</definedName>
    <definedName name="BUILL" localSheetId="9">#REF!</definedName>
    <definedName name="CAJA3" localSheetId="9">#REF!</definedName>
    <definedName name="CAJA4" localSheetId="9">#REF!</definedName>
    <definedName name="CAJA5" localSheetId="9">#REF!</definedName>
    <definedName name="CECOS" localSheetId="9">#REF!</definedName>
    <definedName name="cedu.xls" localSheetId="9" hidden="1">{#N/A,#N/A,FALSE,"DICFIN";#N/A,#N/A,FALSE,"SINTESIS";#N/A,#N/A,FALSE,"PROYFIN";#N/A,#N/A,FALSE,"DICTEC";#N/A,#N/A,FALSE,"ESTUDIO1"}</definedName>
    <definedName name="cedula" localSheetId="9" hidden="1">{#N/A,#N/A,FALSE,"DICTEC"}</definedName>
    <definedName name="cedula.xls" localSheetId="9" hidden="1">{#N/A,#N/A,FALSE,"PROYFIN"}</definedName>
    <definedName name="CENTRO_DE_COSTO" localSheetId="9">#REF!</definedName>
    <definedName name="CLIENTE" localSheetId="9">#REF!</definedName>
    <definedName name="COBERTURA" localSheetId="9">#REF!</definedName>
    <definedName name="COMUNA" localSheetId="9">#REF!</definedName>
    <definedName name="COPIA" localSheetId="9" hidden="1">{#N/A,#N/A,FALSE,"SINTESIS"}</definedName>
    <definedName name="CostosFijos" localSheetId="9">#REF!</definedName>
    <definedName name="cuatro" localSheetId="9" hidden="1">{#N/A,#N/A,FALSE,"PROYFIN"}</definedName>
    <definedName name="CUENCA" localSheetId="9">#REF!</definedName>
    <definedName name="d" localSheetId="9" hidden="1">{#N/A,#N/A,FALSE,"SINTESIS"}</definedName>
    <definedName name="DAE" localSheetId="9" hidden="1">{#N/A,#N/A,FALSE,"SINTESIS"}</definedName>
    <definedName name="DO" localSheetId="9" hidden="1">{#N/A,#N/A,FALSE,"DICFIN"}</definedName>
    <definedName name="dolar" localSheetId="9">#REF!</definedName>
    <definedName name="dos" localSheetId="9" hidden="1">{#N/A,#N/A,FALSE,"DICFIN";#N/A,#N/A,FALSE,"SINTESIS";#N/A,#N/A,FALSE,"PROYFIN";#N/A,#N/A,FALSE,"DICTEC";#N/A,#N/A,FALSE,"ESTUDIO1"}</definedName>
    <definedName name="eee.xls" localSheetId="9" hidden="1">{#N/A,#N/A,FALSE,"DICFIN";#N/A,#N/A,FALSE,"SINTESIS";#N/A,#N/A,FALSE,"PROYFIN";#N/A,#N/A,FALSE,"DICTEC";#N/A,#N/A,FALSE,"ESTUDIO1"}</definedName>
    <definedName name="EEEEEE" localSheetId="9" hidden="1">{#N/A,#N/A,FALSE,"DICFIN"}</definedName>
    <definedName name="ESPECIE" localSheetId="9">#REF!</definedName>
    <definedName name="FDHHG" localSheetId="9">IF(#REF!&lt;&gt;"",DATE(YEAR(First_payment_due),MONTH(First_payment_due)+(#REF!-1)*12/Payments_per_year,DAY(First_payment_due)),"")</definedName>
    <definedName name="FECHA" localSheetId="9">#REF!</definedName>
    <definedName name="Fecha_CierreMensual" localSheetId="9">#REF!</definedName>
    <definedName name="FECHA2" localSheetId="9">#REF!</definedName>
    <definedName name="FECHA20" localSheetId="9">#REF!</definedName>
    <definedName name="FECHA3" localSheetId="9">#REF!</definedName>
    <definedName name="FECHA30" localSheetId="9">#REF!</definedName>
    <definedName name="FECHA4" localSheetId="9">#REF!</definedName>
    <definedName name="FECHA40" localSheetId="9">#REF!</definedName>
    <definedName name="FECHA5" localSheetId="9">#REF!</definedName>
    <definedName name="FECHA50" localSheetId="9">#REF!</definedName>
    <definedName name="FECHA6" localSheetId="9">#REF!</definedName>
    <definedName name="FECHA60" localSheetId="9">#REF!</definedName>
    <definedName name="ffff" localSheetId="9" hidden="1">{#N/A,#N/A,FALSE,"DICTEC"}</definedName>
    <definedName name="FH" localSheetId="9" hidden="1">{#N/A,#N/A,FALSE,"DICFIN"}</definedName>
    <definedName name="FIJO3" localSheetId="9">#REF!</definedName>
    <definedName name="FIJO4" localSheetId="9">#REF!</definedName>
    <definedName name="FIJO5" localSheetId="9">#REF!</definedName>
    <definedName name="Final" localSheetId="9">{1,2,3,4;5,6,7,8;9,10,11,12;13,14,15,16}</definedName>
    <definedName name="flujo1" localSheetId="9" hidden="1">{#N/A,#N/A,FALSE,"ESTUDIO1"}</definedName>
    <definedName name="forma" localSheetId="9" hidden="1">{#N/A,#N/A,FALSE,"DICTEC"}</definedName>
    <definedName name="forta" localSheetId="9" hidden="1">{#N/A,#N/A,FALSE,"DICTEC"}</definedName>
    <definedName name="FUNDO" localSheetId="9">#REF!</definedName>
    <definedName name="general" localSheetId="9">{1,2,3,4;5,6,7,8;9,10,11,12;13,14,15,16}</definedName>
    <definedName name="guzm" localSheetId="9" hidden="1">{#N/A,#N/A,FALSE,"DICTEC"}</definedName>
    <definedName name="GUZMA" localSheetId="9" hidden="1">{#N/A,#N/A,FALSE,"DICTEC"}</definedName>
    <definedName name="GUZMAN" localSheetId="9" hidden="1">{#N/A,#N/A,FALSE,"DICTEC"}</definedName>
    <definedName name="Honorarios" localSheetId="9">#REF!</definedName>
    <definedName name="HTML_Control" localSheetId="9" hidden="1">{"'BHN Mensal'!$A$8:$D$8"}</definedName>
    <definedName name="i" localSheetId="9">#REF!,#REF!</definedName>
    <definedName name="INVENt" localSheetId="9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1" localSheetId="9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1_1" localSheetId="9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2" localSheetId="9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ARIO" localSheetId="9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ARIO_1" localSheetId="9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pc" localSheetId="9">#REF!</definedName>
    <definedName name="JO" localSheetId="9" hidden="1">{#N/A,#N/A,FALSE,"DICFIN"}</definedName>
    <definedName name="kfmrdj" localSheetId="9">#REF!,#REF!</definedName>
    <definedName name="LA" localSheetId="9" hidden="1">{#N/A,#N/A,FALSE,"DICFIN"}</definedName>
    <definedName name="le" localSheetId="9" hidden="1">{#N/A,#N/A,FALSE,"DICTEC"}</definedName>
    <definedName name="LIQ" localSheetId="9">#REF!</definedName>
    <definedName name="Lista" localSheetId="9">{1,2,3,4;5,6,7,8;9,10,11,12;13,14,15,16}</definedName>
    <definedName name="Lista_1" localSheetId="9">{1,2,3,4;5,6,7,8;9,10,11,12;13,14,15,16}</definedName>
    <definedName name="LISTSERV08" localSheetId="9" hidden="1">{#N/A,#N/A,FALSE,"DICFIN"}</definedName>
    <definedName name="LO" localSheetId="9" hidden="1">{#N/A,#N/A,FALSE,"DICTEC"}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g" localSheetId="9" hidden="1">{#N/A,#N/A,FALSE,"DICFIN";#N/A,#N/A,FALSE,"SINTESIS";#N/A,#N/A,FALSE,"PROYFIN";#N/A,#N/A,FALSE,"DICTEC";#N/A,#N/A,FALSE,"ESTUDIO1"}</definedName>
    <definedName name="Magaly" localSheetId="9" hidden="1">{#N/A,#N/A,FALSE,"SINTESIS"}</definedName>
    <definedName name="moa" localSheetId="9" hidden="1">{#N/A,#N/A,FALSE,"DICFIN"}</definedName>
    <definedName name="NAME2" localSheetId="9">#REF!</definedName>
    <definedName name="NAME3" localSheetId="9">#REF!</definedName>
    <definedName name="NAME4" localSheetId="9">#REF!</definedName>
    <definedName name="NAME5" localSheetId="9">#REF!</definedName>
    <definedName name="NAME6" localSheetId="9">#REF!</definedName>
    <definedName name="NOM" localSheetId="9">#REF!</definedName>
    <definedName name="nom_cliente" localSheetId="9">#REF!</definedName>
    <definedName name="nueve" localSheetId="9" hidden="1">{#N/A,#N/A,FALSE,"ESTUDIO1"}</definedName>
    <definedName name="ocho" localSheetId="9" hidden="1">{#N/A,#N/A,FALSE,"DICTEC"}</definedName>
    <definedName name="orden" localSheetId="9" hidden="1">{#N/A,#N/A,FALSE,"DICTEC"}</definedName>
    <definedName name="PE" localSheetId="9">{1,2,3,4;5,6,7,8;9,10,11,12;13,14,15,16}</definedName>
    <definedName name="PE_1" localSheetId="9">{1,2,3,4;5,6,7,8;9,10,11,12;13,14,15,16}</definedName>
    <definedName name="PREÇO" localSheetId="9">#REF!</definedName>
    <definedName name="PREDIO1" localSheetId="9">#REF!</definedName>
    <definedName name="PREVIAGOSTO" localSheetId="9" hidden="1">{"'BHN Mensal'!$A$8:$D$8"}</definedName>
    <definedName name="PRIM" localSheetId="9">#REF!</definedName>
    <definedName name="Principal" localSheetId="9">IF(#REF!&lt;&gt;"",MIN(#REF!,Pmt_to_use-#REF!),"")</definedName>
    <definedName name="PROP1" localSheetId="9">#REF!</definedName>
    <definedName name="PROP10" localSheetId="9">#REF!</definedName>
    <definedName name="PROP11" localSheetId="9">#REF!</definedName>
    <definedName name="PROP12" localSheetId="9">#REF!</definedName>
    <definedName name="PROP13" localSheetId="9">#REF!</definedName>
    <definedName name="PROP14" localSheetId="9">#REF!</definedName>
    <definedName name="PROP15" localSheetId="9">#REF!</definedName>
    <definedName name="PROP16" localSheetId="9">#REF!</definedName>
    <definedName name="PROP17" localSheetId="9">#REF!</definedName>
    <definedName name="PROP18" localSheetId="9">#REF!</definedName>
    <definedName name="PROP2" localSheetId="9">#REF!</definedName>
    <definedName name="PROP3" localSheetId="9">#REF!</definedName>
    <definedName name="PROP4" localSheetId="9">#REF!</definedName>
    <definedName name="PROP5" localSheetId="9">#REF!</definedName>
    <definedName name="PROP6" localSheetId="9">#REF!</definedName>
    <definedName name="PROP7" localSheetId="9">#REF!</definedName>
    <definedName name="PROP8" localSheetId="9">#REF!</definedName>
    <definedName name="PROP9" localSheetId="9">#REF!</definedName>
    <definedName name="prueba" localSheetId="9">{1,2,3,4;5,6,7,8;9,10,11,12;13,14,15,16}</definedName>
    <definedName name="qqqqq" localSheetId="9">#REF!</definedName>
    <definedName name="QW" localSheetId="9" hidden="1">{#N/A,#N/A,FALSE,"DICTEC"}</definedName>
    <definedName name="RAUL" localSheetId="9" hidden="1">{#N/A,#N/A,FALSE,"DICFIN"}</definedName>
    <definedName name="re" localSheetId="9" hidden="1">{#N/A,#N/A,FALSE,"DICTEC"}</definedName>
    <definedName name="real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EGION" localSheetId="9">#REF!</definedName>
    <definedName name="RIEGO" localSheetId="9">#REF!</definedName>
    <definedName name="RRR" localSheetId="9" hidden="1">{#N/A,#N/A,FALSE,"DICFIN"}</definedName>
    <definedName name="RRRR" localSheetId="9" hidden="1">{#N/A,#N/A,FALSE,"DICFIN"}</definedName>
    <definedName name="rrrrrrrr" localSheetId="9" hidden="1">{#N/A,#N/A,FALSE,"DICFIN"}</definedName>
    <definedName name="rut_cliente" localSheetId="9">#REF!</definedName>
    <definedName name="s" localSheetId="9" hidden="1">{#N/A,#N/A,FALSE,"DICFIN";#N/A,#N/A,FALSE,"SINTESIS";#N/A,#N/A,FALSE,"PROYFIN";#N/A,#N/A,FALSE,"DICTEC";#N/A,#N/A,FALSE,"ESTUDIO1"}</definedName>
    <definedName name="seis" localSheetId="9" hidden="1">{#N/A,#N/A,FALSE,"DICFIN";#N/A,#N/A,FALSE,"SINTESIS";#N/A,#N/A,FALSE,"PROYFIN";#N/A,#N/A,FALSE,"DICTEC";#N/A,#N/A,FALSE,"ESTUDIO1"}</definedName>
    <definedName name="sep.balance" localSheetId="9" hidden="1">{#N/A,#N/A,FALSE,"SINTESIS"}</definedName>
    <definedName name="Show.Date" localSheetId="9">IF(#REF!&lt;&gt;"",DATE(YEAR(First_payment_due),MONTH(First_payment_due)+(#REF!-1)*12/Payments_per_year,DAY(First_payment_due)),"")</definedName>
    <definedName name="siete" localSheetId="9" hidden="1">{#N/A,#N/A,FALSE,"DICFIN"}</definedName>
    <definedName name="SII" localSheetId="9">#REF!</definedName>
    <definedName name="SMSNssS" localSheetId="9" hidden="1">{#N/A,#N/A,FALSE,"DICFIN"}</definedName>
    <definedName name="sueldo" localSheetId="9">#REF!</definedName>
    <definedName name="SUPER1" localSheetId="9">#REF!</definedName>
    <definedName name="SUPER10" localSheetId="9">#REF!</definedName>
    <definedName name="SUPER11" localSheetId="9">#REF!</definedName>
    <definedName name="SUPER12" localSheetId="9">#REF!</definedName>
    <definedName name="SUPER13" localSheetId="9">#REF!</definedName>
    <definedName name="SUPER14" localSheetId="9">#REF!</definedName>
    <definedName name="SUPER15" localSheetId="9">#REF!</definedName>
    <definedName name="SUPER16" localSheetId="9">#REF!</definedName>
    <definedName name="SUPER17" localSheetId="9">#REF!</definedName>
    <definedName name="SUPER18" localSheetId="9">#REF!</definedName>
    <definedName name="SUPER2" localSheetId="9">#REF!</definedName>
    <definedName name="SUPER3" localSheetId="9">#REF!</definedName>
    <definedName name="SUPER4" localSheetId="9">#REF!</definedName>
    <definedName name="SUPER5" localSheetId="9">#REF!</definedName>
    <definedName name="SUPER6" localSheetId="9">#REF!</definedName>
    <definedName name="SUPER7" localSheetId="9">#REF!</definedName>
    <definedName name="SUPER8" localSheetId="9">#REF!</definedName>
    <definedName name="SUPER9" localSheetId="9">#REF!</definedName>
    <definedName name="SUPERFICIE1" localSheetId="9">#REF!</definedName>
    <definedName name="tabla" localSheetId="9" hidden="1">{#N/A,#N/A,FALSE,"ESTUDIO1"}</definedName>
    <definedName name="Tabla3" localSheetId="9">#REF!</definedName>
    <definedName name="TC" localSheetId="9">#REF!</definedName>
    <definedName name="TEPIC" localSheetId="9" hidden="1">{#N/A,#N/A,FALSE,"DICTEC"}</definedName>
    <definedName name="TITULOS" localSheetId="9">#REF!</definedName>
    <definedName name="TOMATE" localSheetId="9" hidden="1">{#N/A,#N/A,FALSE,"PROYFIN"}</definedName>
    <definedName name="tr" localSheetId="9">{1,2,3,4;5,6,7,8;9,10,11,12;13,14,15,16}</definedName>
    <definedName name="tres" localSheetId="9" hidden="1">{#N/A,#N/A,FALSE,"DICTEC"}</definedName>
    <definedName name="U.F.1978_1991" localSheetId="9">#REF!,#REF!</definedName>
    <definedName name="U.F.1990" localSheetId="9">#REF!</definedName>
    <definedName name="U.F.1990_1999" localSheetId="9">#REF!,#REF!</definedName>
    <definedName name="UFR" localSheetId="9">#REF!</definedName>
    <definedName name="uno" localSheetId="9" hidden="1">{#N/A,#N/A,FALSE,"ESTUDIO1"}</definedName>
    <definedName name="us" localSheetId="9">#REF!</definedName>
    <definedName name="USS" localSheetId="9">#REF!</definedName>
    <definedName name="UUF" localSheetId="9">#REF!</definedName>
    <definedName name="wrn.13.99." localSheetId="9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1" localSheetId="9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1_1" localSheetId="9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2" localSheetId="9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_2" localSheetId="9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Dictamen._.Financiero." localSheetId="9" hidden="1">{#N/A,#N/A,FALSE,"DICFIN"}</definedName>
    <definedName name="wrn.Dictamen._.Tecnico." localSheetId="9" hidden="1">{#N/A,#N/A,FALSE,"DICTEC"}</definedName>
    <definedName name="wrn.Esrudio._.Credito." localSheetId="9" hidden="1">{#N/A,#N/A,FALSE,"ESTUDIO1"}</definedName>
    <definedName name="wrn.Flujo._.Efectivo." localSheetId="9" hidden="1">{#N/A,#N/A,FALSE,"PROYFIN"}</definedName>
    <definedName name="wrn.PACKAGE." localSheetId="9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1" localSheetId="9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1_1" localSheetId="9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2" localSheetId="9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SINTESIS." localSheetId="9" hidden="1">{#N/A,#N/A,FALSE,"SINTESIS"}</definedName>
    <definedName name="wrn.SUN1." localSheetId="9" hidden="1">{#N/A,#N/A,FALSE,"Assumptions";#N/A,#N/A,FALSE,"office";#N/A,#N/A,FALSE,"monthly"}</definedName>
    <definedName name="wrn.TODOS." localSheetId="9" hidden="1">{#N/A,#N/A,FALSE,"DICFIN";#N/A,#N/A,FALSE,"SINTESIS";#N/A,#N/A,FALSE,"PROYFIN";#N/A,#N/A,FALSE,"DICTEC";#N/A,#N/A,FALSE,"ESTUDIO1"}</definedName>
    <definedName name="wrn.Wright.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W" localSheetId="9">#REF!</definedName>
    <definedName name="XXXXXXXXXXXXXXXXXXXXXXXXXX" localSheetId="9" hidden="1">{#N/A,#N/A,FALSE,"SINTESIS"}</definedName>
    <definedName name="_xlnm._FilterDatabase" localSheetId="9" hidden="1">'REF. Canal '!$A$5:$O$55</definedName>
    <definedName name="_xlnm.Print_Area" localSheetId="9">'REF. Canal '!$A$1:$O$76</definedName>
    <definedName name="LOCAL_MYSQL_DATE_FORMAT" localSheetId="1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rn.SUN1." localSheetId="10">{#N/A,#N/A,FALSE,"Assumptions";#N/A,#N/A,FALSE,"office";#N/A,#N/A,FALSE,"monthly"}</definedName>
    <definedName name="_xlnm._FilterDatabase" localSheetId="10" hidden="1">'suelos'!$A$1:$O$1050</definedName>
    <definedName name="_xlnm.Print_Area" localSheetId="10">'suelos'!$A$1:$O$5</definedName>
    <definedName name="_Key1" localSheetId="11" hidden="1">#REF!</definedName>
    <definedName name="_Key2" localSheetId="11" hidden="1">#REF!</definedName>
    <definedName name="_Sort" localSheetId="11" hidden="1">#REF!</definedName>
    <definedName name="AVALUO1" localSheetId="11">#REF!</definedName>
    <definedName name="AVALUO2" localSheetId="11">#REF!</definedName>
    <definedName name="AVALUO3" localSheetId="11">#REF!</definedName>
    <definedName name="AVALUO4" localSheetId="11">#REF!</definedName>
    <definedName name="AVALUO5" localSheetId="11">#REF!</definedName>
    <definedName name="AVALUO6" localSheetId="11">#REF!</definedName>
    <definedName name="AVALUO7" localSheetId="11">#REF!</definedName>
    <definedName name="AVALUO8" localSheetId="11">#REF!</definedName>
    <definedName name="AVALUO9" localSheetId="11">#REF!</definedName>
    <definedName name="CLIENTE" localSheetId="11">#REF!</definedName>
    <definedName name="FECHA" localSheetId="11">#REF!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ROP1" localSheetId="11">#REF!</definedName>
    <definedName name="PROP2" localSheetId="11">#REF!</definedName>
    <definedName name="PROP3" localSheetId="11">#REF!</definedName>
    <definedName name="PROP4" localSheetId="11">#REF!</definedName>
    <definedName name="PROP5" localSheetId="11">#REF!</definedName>
    <definedName name="PROP6" localSheetId="11">#REF!</definedName>
    <definedName name="PROP7" localSheetId="11">#REF!</definedName>
    <definedName name="PROP8" localSheetId="11">#REF!</definedName>
    <definedName name="PROP9" localSheetId="11">#REF!</definedName>
    <definedName name="wrn.SUN1." localSheetId="11" hidden="1">{#N/A,#N/A,FALSE,"Assumptions";#N/A,#N/A,FALSE,"office";#N/A,#N/A,FALSE,"monthly"}</definedName>
    <definedName name="WW" localSheetId="11">#REF!</definedName>
    <definedName name="_xlnm._FilterDatabase" localSheetId="11" hidden="1">'derechos de agua '!$A$1:$S$342</definedName>
    <definedName name="_xlnm.Print_Area" localSheetId="11">'derechos de agua '!$A$1:$N$4</definedName>
    <definedName name="_Key1" localSheetId="12" hidden="1">#REF!</definedName>
    <definedName name="_Key2" localSheetId="12" hidden="1">#REF!</definedName>
    <definedName name="_Sort" localSheetId="12" hidden="1">#REF!</definedName>
    <definedName name="A_impresión_IM" localSheetId="12">#REF!</definedName>
    <definedName name="AVALUO1" localSheetId="12">#REF!</definedName>
    <definedName name="AVALUO2" localSheetId="12">#REF!</definedName>
    <definedName name="AVALUO3" localSheetId="12">#REF!</definedName>
    <definedName name="AVALUO4" localSheetId="12">#REF!</definedName>
    <definedName name="AVALUO5" localSheetId="12">#REF!</definedName>
    <definedName name="AVALUO6" localSheetId="12">#REF!</definedName>
    <definedName name="AVALUO7" localSheetId="12">#REF!</definedName>
    <definedName name="AVALUO8" localSheetId="12">#REF!</definedName>
    <definedName name="AVALUO9" localSheetId="12">#REF!</definedName>
    <definedName name="CLA" localSheetId="12">#REF!</definedName>
    <definedName name="CLIENTE" localSheetId="12">#REF!</definedName>
    <definedName name="Costo_Const1" localSheetId="12">#REF!</definedName>
    <definedName name="Costo_Const2" localSheetId="12">#REF!</definedName>
    <definedName name="Costo_Urb" localSheetId="12">#REF!</definedName>
    <definedName name="Desfase_Ingresos" localSheetId="12">#REF!</definedName>
    <definedName name="direccion" localSheetId="12">#REF!</definedName>
    <definedName name="Errores" localSheetId="12">#REF!</definedName>
    <definedName name="Etapas" localSheetId="12">#REF!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s_fin_Const" localSheetId="12">#REF!</definedName>
    <definedName name="Mes_fin_Urb" localSheetId="12">#REF!</definedName>
    <definedName name="Mes_Fin_Vent1" localSheetId="12">#REF!</definedName>
    <definedName name="Mes_Fin_Vent2" localSheetId="12">#REF!</definedName>
    <definedName name="Mes_Ini_Vent1" localSheetId="12">#REF!</definedName>
    <definedName name="Mes_Ini_Vent2" localSheetId="12">#REF!</definedName>
    <definedName name="Mes_Inicio_Const" localSheetId="12">#REF!</definedName>
    <definedName name="Mes_Inicio_Urb" localSheetId="12">#REF!</definedName>
    <definedName name="Meses_Const" localSheetId="12">#REF!</definedName>
    <definedName name="Meses_Etapa" localSheetId="12">#REF!</definedName>
    <definedName name="Meses_Urb" localSheetId="12">#REF!</definedName>
    <definedName name="N_Unidades1" localSheetId="12">#REF!</definedName>
    <definedName name="N_Unidades2" localSheetId="12">#REF!</definedName>
    <definedName name="Pie" localSheetId="12">#REF!</definedName>
    <definedName name="PREDIO1" localSheetId="12">#REF!</definedName>
    <definedName name="PROP1" localSheetId="12">#REF!</definedName>
    <definedName name="PROP2" localSheetId="12">#REF!</definedName>
    <definedName name="PROP3" localSheetId="12">#REF!</definedName>
    <definedName name="PROP4" localSheetId="12">#REF!</definedName>
    <definedName name="PROP5" localSheetId="12">#REF!</definedName>
    <definedName name="PROP6" localSheetId="12">#REF!</definedName>
    <definedName name="PROP7" localSheetId="12">#REF!</definedName>
    <definedName name="PROP8" localSheetId="12">#REF!</definedName>
    <definedName name="PROP9" localSheetId="12">#REF!</definedName>
    <definedName name="RF_Const" localSheetId="12">#REF!</definedName>
    <definedName name="RF_Urb" localSheetId="12">#REF!</definedName>
    <definedName name="Tasa" localSheetId="12">#REF!</definedName>
    <definedName name="Total_UF_Etapa" localSheetId="12">#REF!</definedName>
    <definedName name="Unidad1" localSheetId="12">#REF!</definedName>
    <definedName name="Unidad2" localSheetId="12">#REF!</definedName>
    <definedName name="Valor_Unidad1" localSheetId="12">#REF!</definedName>
    <definedName name="Valor_Unidad2" localSheetId="12">#REF!</definedName>
    <definedName name="Veloc_Ventas1" localSheetId="12">#REF!</definedName>
    <definedName name="Veloc_Ventas2" localSheetId="12">#REF!</definedName>
    <definedName name="wrn.SUN1." localSheetId="12" hidden="1">{#N/A,#N/A,FALSE,"Assumptions";#N/A,#N/A,FALSE,"office";#N/A,#N/A,FALSE,"monthly"}</definedName>
    <definedName name="WW" localSheetId="12">#REF!</definedName>
    <definedName name="_xlnm._FilterDatabase" localSheetId="12" hidden="1">'plantas'!$A$1:$V$1</definedName>
    <definedName name="_xlnm.Print_Area" localSheetId="12">'plantas'!$A$1:$T$7</definedName>
    <definedName name="_" localSheetId="13">{1,2,3,4;5,6,7,8;9,10,11,12;13,14,15,16}</definedName>
    <definedName name="_________________________________________________________________Hp3" localSheetId="13">{1,2,3,4;5,6,7,8;9,10,11,12;13,14,15,16}</definedName>
    <definedName name="_______________________________________________________________Hp3" localSheetId="13">{1,2,3,4;5,6,7,8;9,10,11,12;13,14,15,16}</definedName>
    <definedName name="_______________________________________________Hp3" localSheetId="13">{1,2,3,4;5,6,7,8;9,10,11,12;13,14,15,16}</definedName>
    <definedName name="_______________________________________________Hp3_1" localSheetId="13">{1,2,3,4;5,6,7,8;9,10,11,12;13,14,15,16}</definedName>
    <definedName name="______________________________________________Hp3" localSheetId="13">{1,2,3,4;5,6,7,8;9,10,11,12;13,14,15,16}</definedName>
    <definedName name="_____________________________________________Hp3" localSheetId="13">{1,2,3,4;5,6,7,8;9,10,11,12;13,14,15,16}</definedName>
    <definedName name="___________________________________________Hp3" localSheetId="13">{1,2,3,4;5,6,7,8;9,10,11,12;13,14,15,16}</definedName>
    <definedName name="__________________________________________Hp3" localSheetId="13">{1,2,3,4;5,6,7,8;9,10,11,12;13,14,15,16}</definedName>
    <definedName name="________________________________________Hp3" localSheetId="13">{1,2,3,4;5,6,7,8;9,10,11,12;13,14,15,16}</definedName>
    <definedName name="_____________________________________Hp3" localSheetId="13">{1,2,3,4;5,6,7,8;9,10,11,12;13,14,15,16}</definedName>
    <definedName name="____________________________________Hp3" localSheetId="13">{1,2,3,4;5,6,7,8;9,10,11,12;13,14,15,16}</definedName>
    <definedName name="____________________________________Hp3_1" localSheetId="13">{1,2,3,4;5,6,7,8;9,10,11,12;13,14,15,16}</definedName>
    <definedName name="___________________________________Hp3" localSheetId="13">{1,2,3,4;5,6,7,8;9,10,11,12;13,14,15,16}</definedName>
    <definedName name="______B2003" localSheetId="13" hidden="1">{#N/A,#N/A,FALSE,"ESTUDIO1"}</definedName>
    <definedName name="____B2003" localSheetId="13" hidden="1">{#N/A,#N/A,FALSE,"ESTUDIO1"}</definedName>
    <definedName name="__B2003" localSheetId="13" hidden="1">{#N/A,#N/A,FALSE,"ESTUDIO1"}</definedName>
    <definedName name="__Hp3" localSheetId="13">{1,2,3,4;5,6,7,8;9,10,11,12;13,14,15,16}</definedName>
    <definedName name="_a7" localSheetId="1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B2003" localSheetId="13" hidden="1">{#N/A,#N/A,FALSE,"ESTUDIO1"}</definedName>
    <definedName name="_DFG4" localSheetId="1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Hp3" localSheetId="13">{1,2,3,4;5,6,7,8;9,10,11,12;13,14,15,16}</definedName>
    <definedName name="_JU7" localSheetId="1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ey1" localSheetId="13" hidden="1">#REF!</definedName>
    <definedName name="_Key2" localSheetId="13" hidden="1">#REF!</definedName>
    <definedName name="_kj14" localSheetId="1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localSheetId="1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localSheetId="1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localSheetId="1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Sort" localSheetId="13" hidden="1">#REF!</definedName>
    <definedName name="AAAAAAA" localSheetId="13" hidden="1">{#N/A,#N/A,FALSE,"ESTUDIO1"}</definedName>
    <definedName name="AE" localSheetId="13" hidden="1">{#N/A,#N/A,FALSE,"DICFIN"}</definedName>
    <definedName name="angeles" localSheetId="13" hidden="1">{#N/A,#N/A,FALSE,"DICTEC"}</definedName>
    <definedName name="AR" localSheetId="1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AVALUO1" localSheetId="13">#REF!</definedName>
    <definedName name="AVALUO2" localSheetId="13">#REF!</definedName>
    <definedName name="AVALUO3" localSheetId="13">#REF!</definedName>
    <definedName name="AVALUO4" localSheetId="13">#REF!</definedName>
    <definedName name="AVALUO5" localSheetId="13">#REF!</definedName>
    <definedName name="AVALUO6" localSheetId="13">#REF!</definedName>
    <definedName name="AVALUO7" localSheetId="13">#REF!</definedName>
    <definedName name="AVALUO8" localSheetId="13">#REF!</definedName>
    <definedName name="AVALUO9" localSheetId="13">#REF!</definedName>
    <definedName name="AVENA" localSheetId="13" hidden="1">{#N/A,#N/A,FALSE,"ESTUDIO1"}</definedName>
    <definedName name="azerty4" localSheetId="1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b" localSheetId="13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al" localSheetId="13" hidden="1">{#N/A,#N/A,FALSE,"DICFIN";#N/A,#N/A,FALSE,"SINTESIS";#N/A,#N/A,FALSE,"PROYFIN";#N/A,#N/A,FALSE,"DICTEC";#N/A,#N/A,FALSE,"ESTUDIO1"}</definedName>
    <definedName name="Bancojulio2013" localSheetId="13">{1,2,3,4;5,6,7,8;9,10,11,12;13,14,15,16}</definedName>
    <definedName name="BASE2" localSheetId="13" hidden="1">{#N/A,#N/A,FALSE,"DICFIN"}</definedName>
    <definedName name="BASE3" localSheetId="13" hidden="1">{#N/A,#N/A,FALSE,"DICFIN"}</definedName>
    <definedName name="BaseGral." localSheetId="13" hidden="1">{#N/A,#N/A,FALSE,"SINTESIS"}</definedName>
    <definedName name="BASICA" localSheetId="13">L2C1:L85C6</definedName>
    <definedName name="BBB" localSheetId="13">IF(#REF!&lt;&gt;"",MIN(#REF!,Pmt_to_use-#REF!),"")</definedName>
    <definedName name="bl" localSheetId="13" hidden="1">{#N/A,#N/A,FALSE,"ESTUDIO1"}</definedName>
    <definedName name="cedu.xls" localSheetId="13" hidden="1">{#N/A,#N/A,FALSE,"DICFIN";#N/A,#N/A,FALSE,"SINTESIS";#N/A,#N/A,FALSE,"PROYFIN";#N/A,#N/A,FALSE,"DICTEC";#N/A,#N/A,FALSE,"ESTUDIO1"}</definedName>
    <definedName name="cedula" localSheetId="13" hidden="1">{#N/A,#N/A,FALSE,"DICTEC"}</definedName>
    <definedName name="cedula.xls" localSheetId="13" hidden="1">{#N/A,#N/A,FALSE,"PROYFIN"}</definedName>
    <definedName name="COMUNA" localSheetId="13">#REF!</definedName>
    <definedName name="COPIA" localSheetId="13" hidden="1">{#N/A,#N/A,FALSE,"SINTESIS"}</definedName>
    <definedName name="cuatro" localSheetId="13" hidden="1">{#N/A,#N/A,FALSE,"PROYFIN"}</definedName>
    <definedName name="d" localSheetId="13" hidden="1">{#N/A,#N/A,FALSE,"SINTESIS"}</definedName>
    <definedName name="DAE" localSheetId="13" hidden="1">{#N/A,#N/A,FALSE,"SINTESIS"}</definedName>
    <definedName name="DO" localSheetId="13" hidden="1">{#N/A,#N/A,FALSE,"DICFIN"}</definedName>
    <definedName name="dos" localSheetId="13" hidden="1">{#N/A,#N/A,FALSE,"DICFIN";#N/A,#N/A,FALSE,"SINTESIS";#N/A,#N/A,FALSE,"PROYFIN";#N/A,#N/A,FALSE,"DICTEC";#N/A,#N/A,FALSE,"ESTUDIO1"}</definedName>
    <definedName name="eee.xls" localSheetId="13" hidden="1">{#N/A,#N/A,FALSE,"DICFIN";#N/A,#N/A,FALSE,"SINTESIS";#N/A,#N/A,FALSE,"PROYFIN";#N/A,#N/A,FALSE,"DICTEC";#N/A,#N/A,FALSE,"ESTUDIO1"}</definedName>
    <definedName name="EEEEEE" localSheetId="13" hidden="1">{#N/A,#N/A,FALSE,"DICFIN"}</definedName>
    <definedName name="FD" localSheetId="13">Payments_per_year*Term_in_years</definedName>
    <definedName name="FDHHG" localSheetId="13">IF(#REF!&lt;&gt;"",DATE(YEAR(First_payment_due),MONTH(First_payment_due)+(#REF!-1)*12/Payments_per_year,DAY(First_payment_due)),"")</definedName>
    <definedName name="FECHA" localSheetId="13">#REF!</definedName>
    <definedName name="ffff" localSheetId="13" hidden="1">{#N/A,#N/A,FALSE,"DICTEC"}</definedName>
    <definedName name="FH" localSheetId="13" hidden="1">{#N/A,#N/A,FALSE,"DICFIN"}</definedName>
    <definedName name="Final" localSheetId="13">{1,2,3,4;5,6,7,8;9,10,11,12;13,14,15,16}</definedName>
    <definedName name="flujo1" localSheetId="13" hidden="1">{#N/A,#N/A,FALSE,"ESTUDIO1"}</definedName>
    <definedName name="forma" localSheetId="13" hidden="1">{#N/A,#N/A,FALSE,"DICTEC"}</definedName>
    <definedName name="forta" localSheetId="13" hidden="1">{#N/A,#N/A,FALSE,"DICTEC"}</definedName>
    <definedName name="general" localSheetId="13">{1,2,3,4;5,6,7,8;9,10,11,12;13,14,15,16}</definedName>
    <definedName name="guzm" localSheetId="13" hidden="1">{#N/A,#N/A,FALSE,"DICTEC"}</definedName>
    <definedName name="GUZMA" localSheetId="13" hidden="1">{#N/A,#N/A,FALSE,"DICTEC"}</definedName>
    <definedName name="GUZMAN" localSheetId="13" hidden="1">{#N/A,#N/A,FALSE,"DICTEC"}</definedName>
    <definedName name="HTML_Control" localSheetId="13" hidden="1">{"'BHN Mensal'!$A$8:$D$8"}</definedName>
    <definedName name="INVENt" localSheetId="1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1" localSheetId="1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1_1" localSheetId="1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2" localSheetId="1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ARIO" localSheetId="1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ARIO_1" localSheetId="1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JO" localSheetId="13" hidden="1">{#N/A,#N/A,FALSE,"DICFIN"}</definedName>
    <definedName name="LA" localSheetId="13" hidden="1">{#N/A,#N/A,FALSE,"DICFIN"}</definedName>
    <definedName name="le" localSheetId="13" hidden="1">{#N/A,#N/A,FALSE,"DICTEC"}</definedName>
    <definedName name="Lista" localSheetId="13">{1,2,3,4;5,6,7,8;9,10,11,12;13,14,15,16}</definedName>
    <definedName name="Lista_1" localSheetId="13">{1,2,3,4;5,6,7,8;9,10,11,12;13,14,15,16}</definedName>
    <definedName name="LISTSERV08" localSheetId="13" hidden="1">{#N/A,#N/A,FALSE,"DICFIN"}</definedName>
    <definedName name="LO" localSheetId="13" hidden="1">{#N/A,#N/A,FALSE,"DICTEC"}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g" localSheetId="13" hidden="1">{#N/A,#N/A,FALSE,"DICFIN";#N/A,#N/A,FALSE,"SINTESIS";#N/A,#N/A,FALSE,"PROYFIN";#N/A,#N/A,FALSE,"DICTEC";#N/A,#N/A,FALSE,"ESTUDIO1"}</definedName>
    <definedName name="Magaly" localSheetId="13" hidden="1">{#N/A,#N/A,FALSE,"SINTESIS"}</definedName>
    <definedName name="moa" localSheetId="13" hidden="1">{#N/A,#N/A,FALSE,"DICFIN"}</definedName>
    <definedName name="nueve" localSheetId="13" hidden="1">{#N/A,#N/A,FALSE,"ESTUDIO1"}</definedName>
    <definedName name="ocho" localSheetId="13" hidden="1">{#N/A,#N/A,FALSE,"DICTEC"}</definedName>
    <definedName name="orden" localSheetId="13" hidden="1">{#N/A,#N/A,FALSE,"DICTEC"}</definedName>
    <definedName name="PE" localSheetId="13">{1,2,3,4;5,6,7,8;9,10,11,12;13,14,15,16}</definedName>
    <definedName name="PE_1" localSheetId="13">{1,2,3,4;5,6,7,8;9,10,11,12;13,14,15,16}</definedName>
    <definedName name="Periodic_rate" localSheetId="13">Annual_interest_rate/Payments_per_year</definedName>
    <definedName name="PREVIAGOSTO" localSheetId="13" hidden="1">{"'BHN Mensal'!$A$8:$D$8"}</definedName>
    <definedName name="Principal" localSheetId="13">IF(#REF!&lt;&gt;"",MIN(#REF!,Pmt_to_use-#REF!),"")</definedName>
    <definedName name="PROP1" localSheetId="13">#REF!</definedName>
    <definedName name="PROP2" localSheetId="13">#REF!</definedName>
    <definedName name="PROP3" localSheetId="13">#REF!</definedName>
    <definedName name="PROP4" localSheetId="13">#REF!</definedName>
    <definedName name="PROP5" localSheetId="13">#REF!</definedName>
    <definedName name="PROP7" localSheetId="13">#REF!</definedName>
    <definedName name="PROP8" localSheetId="13">#REF!</definedName>
    <definedName name="PROP9" localSheetId="13">#REF!</definedName>
    <definedName name="prueba" localSheetId="13">{1,2,3,4;5,6,7,8;9,10,11,12;13,14,15,16}</definedName>
    <definedName name="QW" localSheetId="13" hidden="1">{#N/A,#N/A,FALSE,"DICTEC"}</definedName>
    <definedName name="RAUL" localSheetId="13" hidden="1">{#N/A,#N/A,FALSE,"DICFIN"}</definedName>
    <definedName name="re" localSheetId="13" hidden="1">{#N/A,#N/A,FALSE,"DICTEC"}</definedName>
    <definedName name="real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RR" localSheetId="13" hidden="1">{#N/A,#N/A,FALSE,"DICFIN"}</definedName>
    <definedName name="RRRR" localSheetId="13" hidden="1">{#N/A,#N/A,FALSE,"DICFIN"}</definedName>
    <definedName name="rrrrrrrr" localSheetId="13" hidden="1">{#N/A,#N/A,FALSE,"DICFIN"}</definedName>
    <definedName name="s" localSheetId="13" hidden="1">{#N/A,#N/A,FALSE,"DICFIN";#N/A,#N/A,FALSE,"SINTESIS";#N/A,#N/A,FALSE,"PROYFIN";#N/A,#N/A,FALSE,"DICTEC";#N/A,#N/A,FALSE,"ESTUDIO1"}</definedName>
    <definedName name="seis" localSheetId="13" hidden="1">{#N/A,#N/A,FALSE,"DICFIN";#N/A,#N/A,FALSE,"SINTESIS";#N/A,#N/A,FALSE,"PROYFIN";#N/A,#N/A,FALSE,"DICTEC";#N/A,#N/A,FALSE,"ESTUDIO1"}</definedName>
    <definedName name="sep.balance" localSheetId="13" hidden="1">{#N/A,#N/A,FALSE,"SINTESIS"}</definedName>
    <definedName name="Show.Date" localSheetId="13">IF(#REF!&lt;&gt;"",DATE(YEAR(First_payment_due),MONTH(First_payment_due)+(#REF!-1)*12/Payments_per_year,DAY(First_payment_due)),"")</definedName>
    <definedName name="siete" localSheetId="13" hidden="1">{#N/A,#N/A,FALSE,"DICFIN"}</definedName>
    <definedName name="SMSNssS" localSheetId="13" hidden="1">{#N/A,#N/A,FALSE,"DICFIN"}</definedName>
    <definedName name="SUPERFICIE1" localSheetId="13">#REF!</definedName>
    <definedName name="tabla" localSheetId="13" hidden="1">{#N/A,#N/A,FALSE,"ESTUDIO1"}</definedName>
    <definedName name="TEPIC" localSheetId="13" hidden="1">{#N/A,#N/A,FALSE,"DICTEC"}</definedName>
    <definedName name="TOMATE" localSheetId="13" hidden="1">{#N/A,#N/A,FALSE,"PROYFIN"}</definedName>
    <definedName name="Total_payments" localSheetId="13">Payments_per_year*Term_in_years</definedName>
    <definedName name="tr" localSheetId="13">{1,2,3,4;5,6,7,8;9,10,11,12;13,14,15,16}</definedName>
    <definedName name="tres" localSheetId="13" hidden="1">{#N/A,#N/A,FALSE,"DICTEC"}</definedName>
    <definedName name="U.F.1978_1991" localSheetId="13">#REF!,#REF!</definedName>
    <definedName name="U.F.1990" localSheetId="13">#REF!</definedName>
    <definedName name="U.F.1990_1999" localSheetId="13">#REF!,#REF!</definedName>
    <definedName name="uno" localSheetId="13" hidden="1">{#N/A,#N/A,FALSE,"ESTUDIO1"}</definedName>
    <definedName name="wrn.13.99." localSheetId="13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1" localSheetId="13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1_1" localSheetId="13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2" localSheetId="13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_2" localSheetId="13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Dictamen._.Financiero." localSheetId="13" hidden="1">{#N/A,#N/A,FALSE,"DICFIN"}</definedName>
    <definedName name="wrn.Dictamen._.Tecnico." localSheetId="13" hidden="1">{#N/A,#N/A,FALSE,"DICTEC"}</definedName>
    <definedName name="wrn.Esrudio._.Credito." localSheetId="13" hidden="1">{#N/A,#N/A,FALSE,"ESTUDIO1"}</definedName>
    <definedName name="wrn.Flujo._.Efectivo." localSheetId="13" hidden="1">{#N/A,#N/A,FALSE,"PROYFIN"}</definedName>
    <definedName name="wrn.PACKAGE." localSheetId="1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1" localSheetId="1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1_1" localSheetId="1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2" localSheetId="1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SINTESIS." localSheetId="13" hidden="1">{#N/A,#N/A,FALSE,"SINTESIS"}</definedName>
    <definedName name="wrn.SUN1." localSheetId="13" hidden="1">{#N/A,#N/A,FALSE,"Assumptions";#N/A,#N/A,FALSE,"office";#N/A,#N/A,FALSE,"monthly"}</definedName>
    <definedName name="wrn.TODOS." localSheetId="13" hidden="1">{#N/A,#N/A,FALSE,"DICFIN";#N/A,#N/A,FALSE,"SINTESIS";#N/A,#N/A,FALSE,"PROYFIN";#N/A,#N/A,FALSE,"DICTEC";#N/A,#N/A,FALSE,"ESTUDIO1"}</definedName>
    <definedName name="wrn.Wright." localSheetId="1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XXXXXXXXXXXXXXXXXXXXXXXXXX" localSheetId="13" hidden="1">{#N/A,#N/A,FALSE,"SINTESIS"}</definedName>
    <definedName name="_xlnm._FilterDatabase" localSheetId="13" hidden="1">'PLANT'!$A$36:$M$42</definedName>
    <definedName name="_xlnm.Print_Titles" localSheetId="13">'PLANT'!$36:$36</definedName>
    <definedName name="_xlnm.Print_Area" localSheetId="13">'PLANT'!$A$36:$AB$42</definedName>
  </definedNames>
  <calcPr calcId="191029" fullCalcOnLoad="1"/>
</workbook>
</file>

<file path=xl/styles.xml><?xml version="1.0" encoding="utf-8"?>
<styleSheet xmlns="http://schemas.openxmlformats.org/spreadsheetml/2006/main">
  <numFmts count="43">
    <numFmt numFmtId="164" formatCode="\U\F\ #,###.00"/>
    <numFmt numFmtId="165" formatCode="#,##0.0"/>
    <numFmt numFmtId="166" formatCode="#,##0.00_ ;\-#,##0.00\ "/>
    <numFmt numFmtId="167" formatCode="_-&quot;$&quot;\ * #,##0_-;\-&quot;$&quot;\ * #,##0_-;_-&quot;$&quot;\ * &quot;-&quot;??_-;_-@"/>
    <numFmt numFmtId="168" formatCode="#,##0_ ;\-#,##0\ &quot;m&quot;"/>
    <numFmt numFmtId="169" formatCode="#,##0_ ;\-#,##0\ "/>
    <numFmt numFmtId="170" formatCode="&quot;USD&quot;\ #,##0"/>
    <numFmt numFmtId="171" formatCode="0.0"/>
    <numFmt numFmtId="172" formatCode="_-* #,##0_-;\-* #,##0_-;_-* &quot;-&quot;_-;_-@_-"/>
    <numFmt numFmtId="173" formatCode="&quot;$&quot;#,##0"/>
    <numFmt numFmtId="174" formatCode="_ &quot;$&quot;* #,##0_ ;_ &quot;$&quot;* \-#,##0_ ;_ &quot;$&quot;* &quot;-&quot;_ ;_ @_ "/>
    <numFmt numFmtId="175" formatCode="&quot;$&quot;\ #,##0"/>
    <numFmt numFmtId="176" formatCode="_ * #,##0_ ;_ * \-#,##0_ ;_ * &quot;-&quot;_ ;_ @_ "/>
    <numFmt numFmtId="177" formatCode="_-&quot;$&quot;* #,##0_-;\-&quot;$&quot;* #,##0_-;_-&quot;$&quot;* &quot;-&quot;_-;_-@"/>
    <numFmt numFmtId="178" formatCode="_-[$USD]\ * #,##0_-;\-[$USD]\ * #,##0_-;_-[$USD]\ * &quot;-&quot;_-;_-@"/>
    <numFmt numFmtId="179" formatCode="_-&quot;$&quot;\ * #,##0.00_-;\-&quot;$&quot;\ * #,##0.00_-;_-&quot;$&quot;\ * &quot;-&quot;??_-;_-@"/>
    <numFmt numFmtId="180" formatCode="\U\F\ #,###"/>
    <numFmt numFmtId="181" formatCode="_-* #,##0.00_-;\-* #,##0.00_-;_-* &quot;-&quot;??_-;_-@"/>
    <numFmt numFmtId="182" formatCode="_-* #,##0_-;\-* #,##0_-;_-* &quot;-&quot;??_-;_-@"/>
    <numFmt numFmtId="183" formatCode="&quot;$&quot;#,##0;\-&quot;$&quot;#,##0"/>
    <numFmt numFmtId="184" formatCode="\U\F\ #,###.0"/>
    <numFmt numFmtId="185" formatCode="d/m/yyyy"/>
    <numFmt numFmtId="186" formatCode="&quot;$&quot;\ #,##0.00;\-&quot;$&quot;\ #,##0.00"/>
    <numFmt numFmtId="187" formatCode="&quot;$&quot;\ #,##0.00"/>
    <numFmt numFmtId="188" formatCode="_-* #,##0_-;\-* #,##0_-;_-* &quot;-&quot;??_-;_-@_-"/>
    <numFmt numFmtId="189" formatCode="#,##0.0000"/>
    <numFmt numFmtId="190" formatCode="_-&quot;$&quot;* #,##0.00_-;\-&quot;$&quot;* #,##0.00_-;_-&quot;$&quot;* &quot;-&quot;_-;_-@"/>
    <numFmt numFmtId="191" formatCode="#,##0_ ;\-#,##0&quot;m&quot;"/>
    <numFmt numFmtId="192" formatCode="_-&quot;$&quot;* #,##0.00_-;\-&quot;$&quot;* #,##0.00_-;_-&quot;$&quot;* &quot;-&quot;??_-;_-@_-"/>
    <numFmt numFmtId="193" formatCode="_(* #,##0_);_(* \(#,##0\);_(* &quot;-&quot;??_);_(@_)"/>
    <numFmt numFmtId="194" formatCode="_(* #,##0.0_);_(* \(#,##0.0\);_(* &quot;-&quot;??_);_(@_)"/>
    <numFmt numFmtId="195" formatCode="_ &quot;$&quot;* #,##0.00_ ;_ &quot;$&quot;* \-#,##0.00_ ;_ &quot;$&quot;* &quot;-&quot;_ ;_ @_ "/>
    <numFmt numFmtId="196" formatCode="_-&quot;$&quot;\ * #,##0_-;\-&quot;$&quot;\ * #,##0_-;_-&quot;$&quot;\ * &quot;-&quot;??_-;_-@_-"/>
    <numFmt numFmtId="197" formatCode="_-&quot;$&quot;\ * #,##0.00_-;\-&quot;$&quot;\ * #,##0.00_-;_-&quot;$&quot;\ * &quot;-&quot;??_-;_-@_-"/>
    <numFmt numFmtId="198" formatCode="_-&quot;$&quot;\ * #,##0.0_-;\-&quot;$&quot;\ * #,##0.0_-;_-&quot;$&quot;\ * &quot;-&quot;??_-;_-@_-"/>
    <numFmt numFmtId="199" formatCode="_-&quot;$&quot;* #,##0_-;\-&quot;$&quot;* #,##0_-;_-&quot;$&quot;* &quot;-&quot;_-;_-@_-"/>
    <numFmt numFmtId="200" formatCode="_-* #,##0.0_-;\-* #,##0.0_-;_-* &quot;-&quot;??_-;_-@_-"/>
    <numFmt numFmtId="201" formatCode="&quot;$&quot;#,##0_);[Red]\(&quot;$&quot;#,##0\)"/>
    <numFmt numFmtId="202" formatCode="_ * #,##0.0_ ;_ * \-#,##0.0_ ;_ * &quot;-&quot;_ ;_ @_ "/>
    <numFmt numFmtId="203" formatCode="_ * #,##0.00_ ;_ * \-#,##0.00_ ;_ * &quot;-&quot;_ ;_ @_ "/>
    <numFmt numFmtId="204" formatCode="#,##0.000"/>
    <numFmt numFmtId="205" formatCode="0.000"/>
    <numFmt numFmtId="206" formatCode="_-* #,##0.00_-;\-* #,##0.00_-;_-* &quot;-&quot;??_-;_-@_-"/>
  </numFmts>
  <fonts count="115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color theme="1"/>
      <sz val="12"/>
    </font>
    <font>
      <name val="Calibri"/>
      <family val="2"/>
      <b val="1"/>
      <color theme="1"/>
      <sz val="12"/>
      <u val="single"/>
    </font>
    <font>
      <name val="Calibri"/>
      <family val="2"/>
      <b val="1"/>
      <color theme="1"/>
      <sz val="9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Calibri"/>
      <family val="2"/>
      <color theme="1"/>
      <sz val="9"/>
    </font>
    <font>
      <name val="Calibri"/>
      <family val="2"/>
      <color rgb="FFFF0000"/>
      <sz val="10"/>
    </font>
    <font>
      <name val="Calibri"/>
      <family val="2"/>
      <i val="1"/>
      <color rgb="FFFF0000"/>
      <sz val="10"/>
    </font>
    <font>
      <name val="Calibri"/>
      <family val="2"/>
      <color rgb="FFEEECE1"/>
      <sz val="11"/>
    </font>
    <font>
      <name val="Calibri"/>
      <family val="2"/>
      <b val="1"/>
      <i val="1"/>
      <color theme="1"/>
      <sz val="10"/>
    </font>
    <font>
      <name val="Calibri"/>
      <family val="2"/>
      <b val="1"/>
      <color rgb="FFFF0000"/>
      <sz val="10"/>
    </font>
    <font>
      <name val="Calibri"/>
      <family val="2"/>
      <b val="1"/>
      <color rgb="FF0000CC"/>
      <sz val="10"/>
    </font>
    <font>
      <name val="Calibri"/>
      <family val="2"/>
      <b val="1"/>
      <color rgb="FF0000CC"/>
      <sz val="11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</font>
    <font>
      <name val="Calibri"/>
      <family val="2"/>
      <color theme="1"/>
      <sz val="10"/>
      <scheme val="minor"/>
    </font>
    <font>
      <name val="Times New Roman"/>
      <family val="1"/>
      <sz val="12"/>
    </font>
    <font>
      <name val="Calibri"/>
      <family val="2"/>
      <color theme="10"/>
      <sz val="12"/>
      <u val="single"/>
      <scheme val="minor"/>
    </font>
    <font>
      <name val="Arial"/>
      <family val="2"/>
      <color theme="10"/>
      <sz val="10"/>
      <u val="single"/>
    </font>
    <font>
      <name val="Calibri"/>
      <family val="2"/>
      <i val="1"/>
      <sz val="10"/>
      <scheme val="minor"/>
    </font>
    <font>
      <name val="Calibri"/>
      <family val="2"/>
      <color theme="10"/>
      <sz val="11"/>
      <u val="single"/>
      <scheme val="minor"/>
    </font>
    <font>
      <name val="Calibri (Cuerpo)"/>
      <sz val="12"/>
    </font>
    <font>
      <name val="Calibri"/>
      <charset val="134"/>
      <family val="2"/>
      <color indexed="8"/>
      <sz val="11"/>
    </font>
    <font>
      <name val="Arial"/>
      <family val="2"/>
      <sz val="10"/>
    </font>
    <font>
      <name val="Calibri (Cuerpo)"/>
      <b val="1"/>
      <color theme="1"/>
      <sz val="12"/>
    </font>
    <font>
      <name val="Calibri (Cuerpo)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2"/>
    </font>
    <font>
      <name val="Times New Roman"/>
      <family val="1"/>
      <b val="1"/>
      <sz val="12"/>
    </font>
    <font>
      <name val="Calibri"/>
      <family val="2"/>
      <b val="1"/>
      <color theme="1"/>
      <sz val="13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i val="1"/>
      <sz val="11"/>
      <scheme val="minor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i val="1"/>
      <color rgb="FF000099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</font>
    <font>
      <name val="Avenir"/>
      <family val="2"/>
      <color rgb="FF262626"/>
      <sz val="12"/>
    </font>
    <font>
      <name val="Calibri"/>
      <family val="2"/>
      <b val="1"/>
      <color rgb="FF595959"/>
      <sz val="12"/>
    </font>
    <font>
      <name val="Calibri"/>
      <family val="2"/>
      <color rgb="FF000000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i val="1"/>
      <color theme="1"/>
      <sz val="10"/>
    </font>
    <font>
      <name val="Calibri"/>
      <family val="2"/>
      <b val="1"/>
      <i val="1"/>
      <color theme="1"/>
      <sz val="11"/>
    </font>
    <font>
      <name val="Calibri (Cuerpo)"/>
      <i val="1"/>
      <color theme="1"/>
      <sz val="12"/>
    </font>
    <font>
      <name val="Calibri"/>
      <family val="2"/>
      <color rgb="FF0432FF"/>
      <sz val="10"/>
    </font>
    <font>
      <name val="Arial"/>
      <family val="2"/>
      <color theme="1"/>
      <sz val="11"/>
    </font>
    <font>
      <name val="Calibri"/>
      <family val="2"/>
      <b val="1"/>
      <color rgb="FF0000CC"/>
      <sz val="12"/>
    </font>
    <font>
      <name val="Arial"/>
      <family val="2"/>
      <color theme="1"/>
      <sz val="12"/>
    </font>
    <font>
      <name val="Calibri"/>
      <family val="2"/>
      <color rgb="FFFF0000"/>
      <sz val="14"/>
      <scheme val="minor"/>
    </font>
    <font>
      <name val="Calibri"/>
      <family val="2"/>
      <b val="1"/>
      <color theme="1"/>
      <sz val="13"/>
    </font>
    <font>
      <name val="Calibri"/>
      <family val="2"/>
      <b val="1"/>
      <color rgb="FF002060"/>
      <sz val="14"/>
    </font>
    <font>
      <name val="Avenir"/>
      <family val="2"/>
      <color theme="1"/>
      <sz val="12"/>
    </font>
    <font>
      <name val="Avenir"/>
      <family val="2"/>
      <color theme="1"/>
      <sz val="11"/>
    </font>
    <font>
      <name val="Times New Roman"/>
      <family val="1"/>
      <color theme="1"/>
      <sz val="12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000099"/>
      <sz val="13"/>
      <scheme val="minor"/>
    </font>
    <font>
      <name val="Calibri (Cuerpo)"/>
      <b val="1"/>
      <sz val="11"/>
      <vertAlign val="superscript"/>
    </font>
    <font>
      <name val="Calibri"/>
      <family val="2"/>
      <sz val="10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 (Cuerpo)"/>
      <color theme="1"/>
      <sz val="10"/>
      <vertAlign val="superscript"/>
    </font>
    <font>
      <name val="Helvetica"/>
      <family val="2"/>
      <sz val="8"/>
    </font>
    <font>
      <name val="Calibri"/>
      <family val="2"/>
      <b val="1"/>
      <color rgb="FF0432FF"/>
      <sz val="12"/>
      <scheme val="minor"/>
    </font>
    <font>
      <name val="Calibri"/>
      <family val="2"/>
      <sz val="12"/>
      <vertAlign val="superscript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 (Cuerpo)"/>
      <color theme="1"/>
      <sz val="11"/>
    </font>
    <font>
      <name val="Calibri (Cuerpo)"/>
      <b val="1"/>
      <color theme="1"/>
      <sz val="11"/>
    </font>
    <font>
      <name val="Calibri"/>
      <family val="2"/>
      <sz val="8"/>
      <scheme val="minor"/>
    </font>
    <font>
      <name val="Calibri"/>
      <family val="2"/>
      <b val="1"/>
      <i val="1"/>
      <color rgb="FF000099"/>
      <sz val="11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Times New Roman"/>
      <family val="1"/>
      <b val="1"/>
      <color theme="1"/>
      <sz val="14"/>
    </font>
    <font>
      <name val="Calibri"/>
      <family val="2"/>
      <sz val="12"/>
      <scheme val="major"/>
    </font>
    <font>
      <name val="Arial"/>
      <family val="2"/>
      <color theme="1"/>
      <sz val="10"/>
      <u val="single"/>
    </font>
    <font>
      <name val="Calibri"/>
      <family val="2"/>
      <color theme="1"/>
      <sz val="9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rgb="FF0000CC"/>
      <sz val="11"/>
      <scheme val="minor"/>
    </font>
    <font>
      <name val="Calibri"/>
      <family val="2"/>
      <color rgb="FF000000"/>
      <sz val="11"/>
    </font>
    <font>
      <name val="Calibri"/>
      <family val="2"/>
      <color rgb="FFFF0000"/>
      <sz val="9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rgb="FF000000"/>
      <sz val="11"/>
      <scheme val="minor"/>
    </font>
    <font>
      <name val="Calibri (Cuerpo)"/>
      <b val="1"/>
      <color theme="1"/>
      <sz val="12"/>
      <vertAlign val="superscript"/>
    </font>
    <font>
      <name val="Calibri"/>
      <family val="2"/>
      <color theme="0" tint="-0.3499862666707358"/>
      <sz val="11"/>
    </font>
    <font>
      <name val="Calibri (Cuerpo)"/>
      <color theme="0" tint="-0.3499862666707358"/>
      <sz val="11"/>
    </font>
    <font>
      <name val="Calibri (Cuerpo)"/>
      <b val="1"/>
      <color theme="0" tint="-0.3499862666707358"/>
      <sz val="11"/>
    </font>
    <font>
      <name val="Calibri"/>
      <family val="2"/>
      <b val="1"/>
      <color theme="0" tint="-0.3499862666707358"/>
      <sz val="12"/>
    </font>
  </fonts>
  <fills count="26">
    <fill>
      <patternFill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EEEDE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5EBD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EEEDE2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FFFED6"/>
        <bgColor rgb="FFFFFED6"/>
      </patternFill>
    </fill>
    <fill>
      <patternFill patternType="solid">
        <fgColor rgb="FFF5EAD5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11">
    <border>
      <left/>
      <right/>
      <top/>
      <bottom/>
      <diagonal/>
    </border>
    <border>
      <left/>
      <right style="medium">
        <color rgb="FF494429"/>
      </right>
      <top/>
      <bottom style="medium">
        <color rgb="FF4944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494429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494429"/>
      </left>
      <right/>
      <top style="medium">
        <color rgb="FF494429"/>
      </top>
      <bottom style="medium">
        <color rgb="FF494429"/>
      </bottom>
      <diagonal/>
    </border>
    <border>
      <left/>
      <right/>
      <top style="medium">
        <color rgb="FF494429"/>
      </top>
      <bottom style="medium">
        <color rgb="FF494429"/>
      </bottom>
      <diagonal/>
    </border>
    <border>
      <left/>
      <right style="medium">
        <color rgb="FF494429"/>
      </right>
      <top style="medium">
        <color rgb="FF494429"/>
      </top>
      <bottom style="medium">
        <color rgb="FF494429"/>
      </bottom>
      <diagonal/>
    </border>
    <border>
      <left style="medium">
        <color rgb="FF494429"/>
      </left>
      <right/>
      <top style="medium">
        <color rgb="FF494429"/>
      </top>
      <bottom/>
      <diagonal/>
    </border>
    <border>
      <left/>
      <right style="medium">
        <color rgb="FF494429"/>
      </right>
      <top style="medium">
        <color rgb="FF494429"/>
      </top>
      <bottom/>
      <diagonal/>
    </border>
    <border>
      <left style="medium">
        <color rgb="FF494429"/>
      </left>
      <right/>
      <top/>
      <bottom/>
      <diagonal/>
    </border>
    <border>
      <left/>
      <right style="medium">
        <color rgb="FF494429"/>
      </right>
      <top/>
      <bottom/>
      <diagonal/>
    </border>
    <border>
      <left style="medium">
        <color rgb="FF494429"/>
      </left>
      <right/>
      <top/>
      <bottom style="medium">
        <color rgb="FF494429"/>
      </bottom>
      <diagonal/>
    </border>
    <border>
      <left/>
      <right/>
      <top/>
      <bottom style="medium">
        <color rgb="FF494429"/>
      </bottom>
      <diagonal/>
    </border>
    <border>
      <left style="medium">
        <color rgb="FF494429"/>
      </left>
      <right style="medium">
        <color rgb="FF494429"/>
      </right>
      <top/>
      <bottom style="medium">
        <color rgb="FF494429"/>
      </bottom>
      <diagonal/>
    </border>
    <border>
      <left style="medium">
        <color rgb="FF494429"/>
      </left>
      <right style="thin">
        <color rgb="FF000000"/>
      </right>
      <top/>
      <bottom style="medium">
        <color rgb="FF494429"/>
      </bottom>
      <diagonal/>
    </border>
    <border>
      <left style="thin">
        <color rgb="FF000000"/>
      </left>
      <right style="medium">
        <color rgb="FF494429"/>
      </right>
      <top/>
      <bottom style="medium">
        <color rgb="FF494429"/>
      </bottom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49442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494429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/>
      <bottom/>
      <diagonal/>
    </border>
    <border>
      <left style="thin">
        <color rgb="FFAEAAAA"/>
      </left>
      <right/>
      <top/>
      <bottom/>
      <diagonal/>
    </border>
    <border>
      <left style="thin">
        <color rgb="FFAEAAAA"/>
      </left>
      <right/>
      <top/>
      <bottom style="thin">
        <color rgb="FFAEAAAA"/>
      </bottom>
      <diagonal/>
    </border>
    <border>
      <left/>
      <right/>
      <top/>
      <bottom style="thin">
        <color rgb="FFAEAAAA"/>
      </bottom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/>
      <right/>
      <top/>
      <bottom style="double">
        <color rgb="FF494429"/>
      </bottom>
      <diagonal/>
    </border>
    <border>
      <left/>
      <right style="medium">
        <color rgb="FF494429"/>
      </right>
      <top/>
      <bottom style="double">
        <color rgb="FF49442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494429"/>
      </left>
      <right style="thin">
        <color rgb="FF494429"/>
      </right>
      <top/>
      <bottom style="medium">
        <color rgb="FF494429"/>
      </bottom>
      <diagonal/>
    </border>
    <border>
      <left/>
      <right style="thin">
        <color rgb="FF494429"/>
      </right>
      <top/>
      <bottom style="medium">
        <color rgb="FF494429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rgb="FF494429"/>
      </bottom>
      <diagonal/>
    </border>
    <border>
      <left style="thin">
        <color indexed="64"/>
      </left>
      <right/>
      <top style="medium">
        <color rgb="FF494429"/>
      </top>
      <bottom/>
      <diagonal/>
    </border>
    <border>
      <left/>
      <right style="thin">
        <color indexed="64"/>
      </right>
      <top style="medium">
        <color rgb="FF494429"/>
      </top>
      <bottom/>
      <diagonal/>
    </border>
    <border>
      <left style="medium">
        <color indexed="64"/>
      </left>
      <right style="thin">
        <color rgb="FF494429"/>
      </right>
      <top style="medium">
        <color indexed="64"/>
      </top>
      <bottom style="medium">
        <color indexed="64"/>
      </bottom>
      <diagonal/>
    </border>
    <border>
      <left/>
      <right style="thin">
        <color rgb="FF494429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494429"/>
      </right>
      <top style="medium">
        <color indexed="64"/>
      </top>
      <bottom/>
      <diagonal/>
    </border>
    <border>
      <left style="thin">
        <color rgb="FF494429"/>
      </left>
      <right style="thin">
        <color rgb="FF494429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494429"/>
      </bottom>
      <diagonal/>
    </border>
    <border>
      <left style="medium">
        <color indexed="64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494429"/>
      </left>
      <right style="thin">
        <color rgb="FF494429"/>
      </right>
      <top/>
      <bottom style="thin">
        <color indexed="64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indexed="64"/>
      </right>
      <top style="thin">
        <color rgb="FF494429"/>
      </top>
      <bottom/>
      <diagonal/>
    </border>
    <border>
      <left/>
      <right style="thin">
        <color rgb="FF000000"/>
      </right>
      <top/>
      <bottom style="medium">
        <color rgb="FF494429"/>
      </bottom>
      <diagonal/>
    </border>
    <border>
      <left style="thin">
        <color rgb="FF000000"/>
      </left>
      <right style="thin">
        <color rgb="FF000000"/>
      </right>
      <top/>
      <bottom style="medium">
        <color rgb="FF494429"/>
      </bottom>
      <diagonal/>
    </border>
    <border>
      <left style="medium">
        <color rgb="FF494429"/>
      </left>
      <right/>
      <top style="medium">
        <color rgb="FF494429"/>
      </top>
      <bottom style="medium">
        <color rgb="FF000000"/>
      </bottom>
      <diagonal/>
    </border>
    <border>
      <left/>
      <right style="medium">
        <color rgb="FF494429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494429"/>
      </left>
      <right style="thin">
        <color indexed="64"/>
      </right>
      <top/>
      <bottom style="medium">
        <color rgb="FF49442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494429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494429"/>
      </bottom>
      <diagonal/>
    </border>
    <border>
      <left style="medium">
        <color indexed="64"/>
      </left>
      <right style="medium">
        <color rgb="FF494429"/>
      </right>
      <top style="medium">
        <color indexed="64"/>
      </top>
      <bottom style="medium">
        <color rgb="FF494429"/>
      </bottom>
      <diagonal/>
    </border>
    <border>
      <left/>
      <right/>
      <top style="medium">
        <color indexed="64"/>
      </top>
      <bottom style="medium">
        <color rgb="FF494429"/>
      </bottom>
      <diagonal/>
    </border>
    <border>
      <left/>
      <right style="medium">
        <color indexed="64"/>
      </right>
      <top style="medium">
        <color indexed="64"/>
      </top>
      <bottom style="medium">
        <color rgb="FF49442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indexed="64"/>
      </right>
      <top style="medium">
        <color rgb="FF494429"/>
      </top>
      <bottom style="medium">
        <color rgb="FF494429"/>
      </bottom>
      <diagonal/>
    </border>
    <border>
      <left style="medium">
        <color indexed="64"/>
      </left>
      <right style="medium">
        <color rgb="FF494429"/>
      </right>
      <top/>
      <bottom/>
      <diagonal/>
    </border>
    <border>
      <left style="medium">
        <color rgb="FF494429"/>
      </left>
      <right style="thin">
        <color rgb="FF494429"/>
      </right>
      <top/>
      <bottom style="thin">
        <color rgb="FF494429"/>
      </bottom>
      <diagonal/>
    </border>
    <border>
      <left style="thin">
        <color rgb="FF494429"/>
      </left>
      <right style="thin">
        <color rgb="FF494429"/>
      </right>
      <top/>
      <bottom style="thin">
        <color rgb="FF494429"/>
      </bottom>
      <diagonal/>
    </border>
    <border>
      <left style="thin">
        <color rgb="FF494429"/>
      </left>
      <right style="medium">
        <color indexed="64"/>
      </right>
      <top/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indexed="64"/>
      </right>
      <top style="thin">
        <color rgb="FF494429"/>
      </top>
      <bottom style="thin">
        <color rgb="FF494429"/>
      </bottom>
      <diagonal/>
    </border>
    <border>
      <left style="medium">
        <color indexed="64"/>
      </left>
      <right style="medium">
        <color rgb="FF494429"/>
      </right>
      <top/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indexed="64"/>
      </right>
      <top style="thin">
        <color rgb="FF494429"/>
      </top>
      <bottom style="medium">
        <color rgb="FF494429"/>
      </bottom>
      <diagonal/>
    </border>
    <border>
      <left style="medium">
        <color indexed="64"/>
      </left>
      <right style="medium">
        <color rgb="FF494429"/>
      </right>
      <top/>
      <bottom style="medium">
        <color indexed="64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indexed="64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indexed="64"/>
      </bottom>
      <diagonal/>
    </border>
    <border>
      <left style="thin">
        <color rgb="FF494429"/>
      </left>
      <right style="medium">
        <color indexed="64"/>
      </right>
      <top style="thin">
        <color rgb="FF494429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494429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494429"/>
      </left>
      <right style="medium">
        <color rgb="FF494429"/>
      </right>
      <top style="medium">
        <color rgb="FF494429"/>
      </top>
      <bottom style="medium">
        <color rgb="FF49442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494429"/>
      </left>
      <right style="medium">
        <color rgb="FF494429"/>
      </right>
      <top style="medium">
        <color rgb="FF49442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49442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49442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494429"/>
      </left>
      <right style="medium">
        <color indexed="64"/>
      </right>
      <top style="medium">
        <color indexed="64"/>
      </top>
      <bottom style="medium">
        <color rgb="FF494429"/>
      </bottom>
      <diagonal/>
    </border>
    <border>
      <left style="medium">
        <color rgb="FF494429"/>
      </left>
      <right style="medium">
        <color rgb="FF494429"/>
      </right>
      <top style="medium">
        <color rgb="FF000000"/>
      </top>
      <bottom style="medium">
        <color rgb="FF4944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494429"/>
      </left>
      <right style="thin">
        <color rgb="FF494429"/>
      </right>
      <top style="medium">
        <color indexed="64"/>
      </top>
      <bottom style="thin">
        <color indexed="64"/>
      </bottom>
      <diagonal/>
    </border>
    <border>
      <left style="thin">
        <color rgb="FF494429"/>
      </left>
      <right style="medium">
        <color indexed="64"/>
      </right>
      <top style="medium">
        <color indexed="64"/>
      </top>
      <bottom style="thin">
        <color rgb="FF49442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494429"/>
      </bottom>
      <diagonal/>
    </border>
    <border>
      <left style="medium">
        <color indexed="64"/>
      </left>
      <right style="medium">
        <color rgb="FF494429"/>
      </right>
      <top style="medium">
        <color rgb="FF494429"/>
      </top>
      <bottom style="medium">
        <color rgb="FF494429"/>
      </bottom>
      <diagonal/>
    </border>
    <border>
      <left style="medium">
        <color indexed="64"/>
      </left>
      <right style="medium">
        <color rgb="FF494429"/>
      </right>
      <top style="medium">
        <color rgb="FF494429"/>
      </top>
      <bottom style="medium">
        <color indexed="64"/>
      </bottom>
      <diagonal/>
    </border>
    <border>
      <left style="medium">
        <color rgb="FF948A54"/>
      </left>
      <right/>
      <top style="medium">
        <color rgb="FF948A54"/>
      </top>
      <bottom style="medium">
        <color rgb="FF948A54"/>
      </bottom>
      <diagonal/>
    </border>
    <border>
      <left/>
      <right/>
      <top style="medium">
        <color rgb="FF948A54"/>
      </top>
      <bottom style="medium">
        <color rgb="FF948A54"/>
      </bottom>
      <diagonal/>
    </border>
    <border>
      <left/>
      <right style="medium">
        <color rgb="FF948A54"/>
      </right>
      <top style="medium">
        <color rgb="FF948A54"/>
      </top>
      <bottom style="medium">
        <color rgb="FF948A54"/>
      </bottom>
      <diagonal/>
    </border>
    <border>
      <left style="medium">
        <color rgb="FF958954"/>
      </left>
      <right style="thin">
        <color rgb="FF958954"/>
      </right>
      <top style="medium">
        <color rgb="FF958954"/>
      </top>
      <bottom style="medium">
        <color rgb="FF958954"/>
      </bottom>
      <diagonal/>
    </border>
    <border>
      <left style="thin">
        <color rgb="FF958954"/>
      </left>
      <right style="thin">
        <color rgb="FF958954"/>
      </right>
      <top style="medium">
        <color rgb="FF958954"/>
      </top>
      <bottom style="medium">
        <color rgb="FF958954"/>
      </bottom>
      <diagonal/>
    </border>
    <border>
      <left style="thin">
        <color rgb="FF958954"/>
      </left>
      <right style="medium">
        <color rgb="FF958954"/>
      </right>
      <top style="medium">
        <color rgb="FF958954"/>
      </top>
      <bottom style="medium">
        <color rgb="FF958954"/>
      </bottom>
      <diagonal/>
    </border>
    <border>
      <left style="thin">
        <color rgb="FF958954"/>
      </left>
      <right style="thin">
        <color rgb="FF958954"/>
      </right>
      <top style="thin">
        <color rgb="FF958954"/>
      </top>
      <bottom style="thin">
        <color rgb="FF958954"/>
      </bottom>
      <diagonal/>
    </border>
    <border>
      <left style="thin">
        <color rgb="FF958954"/>
      </left>
      <right/>
      <top style="thin">
        <color rgb="FF958954"/>
      </top>
      <bottom/>
      <diagonal/>
    </border>
    <border>
      <left/>
      <right/>
      <top style="thin">
        <color rgb="FF958954"/>
      </top>
      <bottom/>
      <diagonal/>
    </border>
    <border>
      <left/>
      <right style="thin">
        <color rgb="FF958954"/>
      </right>
      <top style="thin">
        <color rgb="FF958954"/>
      </top>
      <bottom/>
      <diagonal/>
    </border>
    <border>
      <left style="thin">
        <color rgb="FF958954"/>
      </left>
      <right/>
      <top/>
      <bottom/>
      <diagonal/>
    </border>
    <border>
      <left/>
      <right style="thin">
        <color rgb="FF958954"/>
      </right>
      <top/>
      <bottom/>
      <diagonal/>
    </border>
    <border>
      <left style="thin">
        <color rgb="FF958954"/>
      </left>
      <right/>
      <top/>
      <bottom style="thin">
        <color rgb="FF958954"/>
      </bottom>
      <diagonal/>
    </border>
    <border>
      <left/>
      <right/>
      <top/>
      <bottom style="thin">
        <color rgb="FF958954"/>
      </bottom>
      <diagonal/>
    </border>
    <border>
      <left/>
      <right style="thin">
        <color rgb="FF958954"/>
      </right>
      <top/>
      <bottom style="thin">
        <color rgb="FF958954"/>
      </bottom>
      <diagonal/>
    </border>
    <border>
      <left style="thin">
        <color rgb="FF494429"/>
      </left>
      <right style="thin">
        <color rgb="FF494429"/>
      </right>
      <top/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/>
      <right/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958954"/>
      </left>
      <right style="thin">
        <color rgb="FF958954"/>
      </right>
      <top style="thin">
        <color rgb="FF958954"/>
      </top>
      <bottom/>
      <diagonal/>
    </border>
    <border>
      <left style="thin">
        <color rgb="FF958954"/>
      </left>
      <right/>
      <top style="thin">
        <color rgb="FF958954"/>
      </top>
      <bottom style="thin">
        <color rgb="FF958954"/>
      </bottom>
      <diagonal/>
    </border>
    <border>
      <left/>
      <right style="thin">
        <color rgb="FF958954"/>
      </right>
      <top style="thin">
        <color rgb="FF958954"/>
      </top>
      <bottom style="thin">
        <color rgb="FF958954"/>
      </bottom>
      <diagonal/>
    </border>
    <border>
      <left style="thin">
        <color rgb="FF958954"/>
      </left>
      <right style="thin">
        <color rgb="FF958954"/>
      </right>
      <top/>
      <bottom style="thin">
        <color rgb="FF95895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494429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52">
    <xf numFmtId="0" fontId="0" fillId="0" borderId="18"/>
    <xf numFmtId="0" fontId="89" fillId="0" borderId="18"/>
    <xf numFmtId="0" fontId="89" fillId="0" borderId="18"/>
    <xf numFmtId="0" fontId="30" fillId="0" borderId="18"/>
    <xf numFmtId="42" fontId="89" fillId="0" borderId="18"/>
    <xf numFmtId="0" fontId="31" fillId="0" borderId="18"/>
    <xf numFmtId="0" fontId="32" fillId="0" borderId="18"/>
    <xf numFmtId="0" fontId="34" fillId="0" borderId="18"/>
    <xf numFmtId="194" fontId="30" fillId="0" borderId="18"/>
    <xf numFmtId="0" fontId="89" fillId="0" borderId="18"/>
    <xf numFmtId="0" fontId="36" fillId="0" borderId="18" applyAlignment="1">
      <alignment vertical="center"/>
    </xf>
    <xf numFmtId="206" fontId="89" fillId="0" borderId="18"/>
    <xf numFmtId="197" fontId="89" fillId="0" borderId="18"/>
    <xf numFmtId="0" fontId="37" fillId="0" borderId="18"/>
    <xf numFmtId="0" fontId="89" fillId="0" borderId="18"/>
    <xf numFmtId="0" fontId="89" fillId="0" borderId="18"/>
    <xf numFmtId="42" fontId="89" fillId="0" borderId="18"/>
    <xf numFmtId="0" fontId="31" fillId="0" borderId="18"/>
    <xf numFmtId="0" fontId="34" fillId="0" borderId="18"/>
    <xf numFmtId="0" fontId="31" fillId="0" borderId="18"/>
    <xf numFmtId="0" fontId="5" fillId="0" borderId="18"/>
    <xf numFmtId="0" fontId="32" fillId="0" borderId="18"/>
    <xf numFmtId="0" fontId="34" fillId="0" borderId="18"/>
    <xf numFmtId="0" fontId="5" fillId="0" borderId="18"/>
    <xf numFmtId="0" fontId="89" fillId="0" borderId="18"/>
    <xf numFmtId="172" fontId="89" fillId="0" borderId="18"/>
    <xf numFmtId="0" fontId="5" fillId="0" borderId="18"/>
    <xf numFmtId="42" fontId="89" fillId="0" borderId="18"/>
    <xf numFmtId="0" fontId="34" fillId="0" borderId="18"/>
    <xf numFmtId="0" fontId="32" fillId="0" borderId="18"/>
    <xf numFmtId="0" fontId="5" fillId="0" borderId="18"/>
    <xf numFmtId="0" fontId="31" fillId="0" borderId="18"/>
    <xf numFmtId="194" fontId="30" fillId="0" borderId="18"/>
    <xf numFmtId="42" fontId="89" fillId="0" borderId="18"/>
    <xf numFmtId="42" fontId="89" fillId="0" borderId="18"/>
    <xf numFmtId="0" fontId="5" fillId="0" borderId="18"/>
    <xf numFmtId="0" fontId="34" fillId="0" borderId="18"/>
    <xf numFmtId="0" fontId="32" fillId="0" borderId="18"/>
    <xf numFmtId="0" fontId="31" fillId="0" borderId="18"/>
    <xf numFmtId="42" fontId="89" fillId="0" borderId="18"/>
    <xf numFmtId="0" fontId="34" fillId="0" borderId="18"/>
    <xf numFmtId="0" fontId="89" fillId="0" borderId="18"/>
    <xf numFmtId="197" fontId="89" fillId="0" borderId="18"/>
    <xf numFmtId="206" fontId="89" fillId="0" borderId="18"/>
    <xf numFmtId="9" fontId="89" fillId="0" borderId="18"/>
    <xf numFmtId="42" fontId="89" fillId="0" borderId="18"/>
    <xf numFmtId="199" fontId="89" fillId="0" borderId="18"/>
    <xf numFmtId="43" fontId="89" fillId="0" borderId="18"/>
    <xf numFmtId="41" fontId="89" fillId="0" borderId="18"/>
    <xf numFmtId="0" fontId="37" fillId="0" borderId="18"/>
    <xf numFmtId="206" fontId="37" fillId="0" borderId="18"/>
    <xf numFmtId="172" fontId="5" fillId="0" borderId="18"/>
  </cellStyleXfs>
  <cellXfs count="1375">
    <xf numFmtId="0" fontId="0" fillId="0" borderId="0" pivotButton="0" quotePrefix="0" xfId="0"/>
    <xf numFmtId="0" fontId="8" fillId="2" borderId="6" pivotButton="0" quotePrefix="0" xfId="1"/>
    <xf numFmtId="0" fontId="8" fillId="2" borderId="7" applyAlignment="1" pivotButton="0" quotePrefix="0" xfId="1">
      <alignment horizontal="right"/>
    </xf>
    <xf numFmtId="0" fontId="7" fillId="2" borderId="7" applyAlignment="1" pivotButton="0" quotePrefix="0" xfId="1">
      <alignment horizontal="center"/>
    </xf>
    <xf numFmtId="0" fontId="8" fillId="2" borderId="7" pivotButton="0" quotePrefix="0" xfId="1"/>
    <xf numFmtId="0" fontId="7" fillId="2" borderId="7" pivotButton="0" quotePrefix="0" xfId="1"/>
    <xf numFmtId="0" fontId="7" fillId="2" borderId="8" pivotButton="0" quotePrefix="0" xfId="1"/>
    <xf numFmtId="0" fontId="26" fillId="0" borderId="18" pivotButton="0" quotePrefix="0" xfId="1"/>
    <xf numFmtId="0" fontId="12" fillId="0" borderId="9" pivotButton="0" quotePrefix="0" xfId="1"/>
    <xf numFmtId="0" fontId="7" fillId="0" borderId="3" pivotButton="0" quotePrefix="0" xfId="1"/>
    <xf numFmtId="0" fontId="19" fillId="0" borderId="3" pivotButton="0" quotePrefix="0" xfId="1"/>
    <xf numFmtId="0" fontId="7" fillId="0" borderId="10" pivotButton="0" quotePrefix="0" xfId="1"/>
    <xf numFmtId="0" fontId="12" fillId="0" borderId="11" pivotButton="0" quotePrefix="0" xfId="1"/>
    <xf numFmtId="0" fontId="19" fillId="0" borderId="18" pivotButton="0" quotePrefix="0" xfId="1"/>
    <xf numFmtId="0" fontId="7" fillId="0" borderId="12" pivotButton="0" quotePrefix="0" xfId="1"/>
    <xf numFmtId="0" fontId="7" fillId="0" borderId="18" pivotButton="0" quotePrefix="0" xfId="1"/>
    <xf numFmtId="0" fontId="8" fillId="0" borderId="18" pivotButton="0" quotePrefix="0" xfId="1"/>
    <xf numFmtId="0" fontId="18" fillId="0" borderId="18" applyAlignment="1" pivotButton="0" quotePrefix="0" xfId="1">
      <alignment vertical="center"/>
    </xf>
    <xf numFmtId="0" fontId="15" fillId="0" borderId="18" applyAlignment="1" pivotButton="0" quotePrefix="0" xfId="1">
      <alignment vertical="center"/>
    </xf>
    <xf numFmtId="0" fontId="13" fillId="0" borderId="18" applyAlignment="1" pivotButton="0" quotePrefix="0" xfId="1">
      <alignment wrapText="1"/>
    </xf>
    <xf numFmtId="164" fontId="16" fillId="0" borderId="18" applyAlignment="1" pivotButton="0" quotePrefix="0" xfId="1">
      <alignment vertical="center"/>
    </xf>
    <xf numFmtId="0" fontId="10" fillId="0" borderId="18" pivotButton="0" quotePrefix="0" xfId="1"/>
    <xf numFmtId="0" fontId="16" fillId="0" borderId="18" pivotButton="0" quotePrefix="0" xfId="1"/>
    <xf numFmtId="0" fontId="14" fillId="0" borderId="18" applyAlignment="1" pivotButton="0" quotePrefix="0" xfId="1">
      <alignment horizontal="left" vertical="center" wrapText="1"/>
    </xf>
    <xf numFmtId="0" fontId="14" fillId="0" borderId="18" applyAlignment="1" pivotButton="0" quotePrefix="0" xfId="1">
      <alignment horizontal="center" vertical="center"/>
    </xf>
    <xf numFmtId="0" fontId="14" fillId="0" borderId="18" applyAlignment="1" pivotButton="0" quotePrefix="0" xfId="1">
      <alignment horizontal="center" vertical="center" wrapText="1"/>
    </xf>
    <xf numFmtId="165" fontId="14" fillId="0" borderId="18" applyAlignment="1" pivotButton="0" quotePrefix="0" xfId="1">
      <alignment horizontal="center" vertical="center"/>
    </xf>
    <xf numFmtId="166" fontId="14" fillId="0" borderId="18" applyAlignment="1" pivotButton="0" quotePrefix="0" xfId="1">
      <alignment horizontal="center" vertical="center"/>
    </xf>
    <xf numFmtId="167" fontId="14" fillId="0" borderId="18" applyAlignment="1" pivotButton="0" quotePrefix="0" xfId="1">
      <alignment horizontal="center" vertical="center"/>
    </xf>
    <xf numFmtId="0" fontId="6" fillId="0" borderId="18" pivotButton="0" quotePrefix="0" xfId="9"/>
    <xf numFmtId="0" fontId="37" fillId="0" borderId="18" pivotButton="0" quotePrefix="0" xfId="13"/>
    <xf numFmtId="0" fontId="28" fillId="0" borderId="18" pivotButton="0" quotePrefix="0" xfId="13"/>
    <xf numFmtId="0" fontId="6" fillId="0" borderId="18" applyAlignment="1" pivotButton="0" quotePrefix="0" xfId="9">
      <alignment horizontal="center"/>
    </xf>
    <xf numFmtId="4" fontId="6" fillId="0" borderId="18" applyAlignment="1" pivotButton="0" quotePrefix="0" xfId="9">
      <alignment horizontal="center"/>
    </xf>
    <xf numFmtId="0" fontId="8" fillId="2" borderId="42" pivotButton="0" quotePrefix="0" xfId="1"/>
    <xf numFmtId="0" fontId="7" fillId="2" borderId="5" pivotButton="0" quotePrefix="0" xfId="1"/>
    <xf numFmtId="0" fontId="7" fillId="2" borderId="4" pivotButton="0" quotePrefix="0" xfId="1"/>
    <xf numFmtId="0" fontId="14" fillId="0" borderId="18" applyAlignment="1" pivotButton="0" quotePrefix="0" xfId="1">
      <alignment horizontal="left" vertical="top" wrapText="1"/>
    </xf>
    <xf numFmtId="0" fontId="10" fillId="0" borderId="18" applyAlignment="1" pivotButton="0" quotePrefix="0" xfId="1">
      <alignment horizontal="left" vertical="top" wrapText="1"/>
    </xf>
    <xf numFmtId="0" fontId="20" fillId="0" borderId="18" applyAlignment="1" pivotButton="0" quotePrefix="0" xfId="1">
      <alignment horizontal="left" vertical="top" wrapText="1"/>
    </xf>
    <xf numFmtId="0" fontId="10" fillId="2" borderId="18" applyAlignment="1" pivotButton="0" quotePrefix="0" xfId="1">
      <alignment horizontal="center" vertical="center"/>
    </xf>
    <xf numFmtId="0" fontId="10" fillId="2" borderId="18" applyAlignment="1" pivotButton="0" quotePrefix="0" xfId="1">
      <alignment horizontal="center" wrapText="1"/>
    </xf>
    <xf numFmtId="0" fontId="10" fillId="2" borderId="18" applyAlignment="1" pivotButton="0" quotePrefix="0" xfId="1">
      <alignment horizontal="center" vertical="center" wrapText="1"/>
    </xf>
    <xf numFmtId="0" fontId="17" fillId="0" borderId="18" applyAlignment="1" pivotButton="0" quotePrefix="0" xfId="1">
      <alignment horizontal="left" vertical="center" wrapText="1"/>
    </xf>
    <xf numFmtId="16" fontId="17" fillId="0" borderId="18" applyAlignment="1" pivotButton="0" quotePrefix="0" xfId="1">
      <alignment horizontal="center" vertical="center"/>
    </xf>
    <xf numFmtId="0" fontId="17" fillId="0" borderId="18" applyAlignment="1" pivotButton="0" quotePrefix="0" xfId="1">
      <alignment horizontal="center" vertical="center" wrapText="1"/>
    </xf>
    <xf numFmtId="165" fontId="17" fillId="0" borderId="18" applyAlignment="1" pivotButton="0" quotePrefix="0" xfId="1">
      <alignment horizontal="center" vertical="center"/>
    </xf>
    <xf numFmtId="166" fontId="17" fillId="0" borderId="18" applyAlignment="1" pivotButton="0" quotePrefix="0" xfId="1">
      <alignment horizontal="center" vertical="center"/>
    </xf>
    <xf numFmtId="0" fontId="17" fillId="0" borderId="18" applyAlignment="1" pivotButton="0" quotePrefix="0" xfId="1">
      <alignment horizontal="center" vertical="center"/>
    </xf>
    <xf numFmtId="0" fontId="10" fillId="0" borderId="18" applyAlignment="1" pivotButton="0" quotePrefix="0" xfId="1">
      <alignment vertical="center" wrapText="1"/>
    </xf>
    <xf numFmtId="165" fontId="21" fillId="0" borderId="18" applyAlignment="1" pivotButton="0" quotePrefix="0" xfId="1">
      <alignment horizontal="center" vertical="center"/>
    </xf>
    <xf numFmtId="0" fontId="8" fillId="2" borderId="18" pivotButton="0" quotePrefix="0" xfId="1"/>
    <xf numFmtId="165" fontId="8" fillId="2" borderId="18" pivotButton="0" quotePrefix="0" xfId="1"/>
    <xf numFmtId="0" fontId="38" fillId="2" borderId="21" pivotButton="0" quotePrefix="0" xfId="1"/>
    <xf numFmtId="0" fontId="39" fillId="2" borderId="22" pivotButton="0" quotePrefix="0" xfId="1"/>
    <xf numFmtId="0" fontId="39" fillId="5" borderId="22" pivotButton="0" quotePrefix="0" xfId="1"/>
    <xf numFmtId="168" fontId="39" fillId="2" borderId="23" applyAlignment="1" pivotButton="0" quotePrefix="0" xfId="1">
      <alignment horizontal="left"/>
    </xf>
    <xf numFmtId="0" fontId="39" fillId="0" borderId="18" pivotButton="0" quotePrefix="0" xfId="1"/>
    <xf numFmtId="0" fontId="38" fillId="0" borderId="18" pivotButton="0" quotePrefix="0" xfId="1"/>
    <xf numFmtId="16" fontId="35" fillId="0" borderId="41" applyAlignment="1" pivotButton="0" quotePrefix="0" xfId="1">
      <alignment horizontal="center" vertical="center" wrapText="1"/>
    </xf>
    <xf numFmtId="0" fontId="35" fillId="0" borderId="41" applyAlignment="1" pivotButton="0" quotePrefix="0" xfId="1">
      <alignment horizontal="center" vertical="center" wrapText="1"/>
    </xf>
    <xf numFmtId="0" fontId="39" fillId="0" borderId="24" applyAlignment="1" pivotButton="0" quotePrefix="0" xfId="0">
      <alignment horizontal="center" vertical="center" wrapText="1"/>
    </xf>
    <xf numFmtId="4" fontId="35" fillId="0" borderId="41" applyAlignment="1" pivotButton="0" quotePrefix="0" xfId="1">
      <alignment horizontal="center" vertical="center"/>
    </xf>
    <xf numFmtId="169" fontId="35" fillId="0" borderId="41" applyAlignment="1" pivotButton="0" quotePrefix="0" xfId="1">
      <alignment horizontal="center" vertical="center"/>
    </xf>
    <xf numFmtId="167" fontId="35" fillId="0" borderId="41" applyAlignment="1" pivotButton="0" quotePrefix="0" xfId="1">
      <alignment vertical="center"/>
    </xf>
    <xf numFmtId="0" fontId="35" fillId="0" borderId="24" applyAlignment="1" pivotButton="0" quotePrefix="0" xfId="1">
      <alignment horizontal="center" vertical="center" wrapText="1"/>
    </xf>
    <xf numFmtId="167" fontId="38" fillId="2" borderId="16" applyAlignment="1" pivotButton="0" quotePrefix="0" xfId="1">
      <alignment vertical="center"/>
    </xf>
    <xf numFmtId="170" fontId="38" fillId="2" borderId="17" applyAlignment="1" pivotButton="0" quotePrefix="0" xfId="1">
      <alignment vertical="center"/>
    </xf>
    <xf numFmtId="0" fontId="6" fillId="0" borderId="18" pivotButton="0" quotePrefix="0" xfId="1"/>
    <xf numFmtId="0" fontId="35" fillId="0" borderId="44" applyAlignment="1" pivotButton="0" quotePrefix="0" xfId="1">
      <alignment horizontal="left" vertical="center" wrapText="1"/>
    </xf>
    <xf numFmtId="170" fontId="35" fillId="0" borderId="45" applyAlignment="1" pivotButton="0" quotePrefix="0" xfId="1">
      <alignment vertical="center"/>
    </xf>
    <xf numFmtId="0" fontId="35" fillId="0" borderId="46" applyAlignment="1" pivotButton="0" quotePrefix="0" xfId="1">
      <alignment horizontal="left" vertical="center" wrapText="1"/>
    </xf>
    <xf numFmtId="16" fontId="35" fillId="0" borderId="47" applyAlignment="1" pivotButton="0" quotePrefix="0" xfId="1">
      <alignment horizontal="center" vertical="center" wrapText="1"/>
    </xf>
    <xf numFmtId="169" fontId="35" fillId="0" borderId="47" applyAlignment="1" pivotButton="0" quotePrefix="0" xfId="1">
      <alignment horizontal="center" vertical="center"/>
    </xf>
    <xf numFmtId="167" fontId="35" fillId="0" borderId="47" applyAlignment="1" pivotButton="0" quotePrefix="0" xfId="1">
      <alignment vertical="center"/>
    </xf>
    <xf numFmtId="170" fontId="35" fillId="0" borderId="48" applyAlignment="1" pivotButton="0" quotePrefix="0" xfId="1">
      <alignment vertical="center"/>
    </xf>
    <xf numFmtId="0" fontId="41" fillId="2" borderId="31" pivotButton="0" quotePrefix="0" xfId="14"/>
    <xf numFmtId="168" fontId="42" fillId="2" borderId="32" applyAlignment="1" pivotButton="0" quotePrefix="0" xfId="1">
      <alignment horizontal="left"/>
    </xf>
    <xf numFmtId="0" fontId="41" fillId="2" borderId="32" applyAlignment="1" pivotButton="0" quotePrefix="0" xfId="1">
      <alignment horizontal="left"/>
    </xf>
    <xf numFmtId="0" fontId="41" fillId="2" borderId="32" applyAlignment="1" pivotButton="0" quotePrefix="0" xfId="1">
      <alignment horizontal="left" vertical="center"/>
    </xf>
    <xf numFmtId="0" fontId="41" fillId="2" borderId="33" pivotButton="0" quotePrefix="0" xfId="14"/>
    <xf numFmtId="0" fontId="41" fillId="2" borderId="34" applyAlignment="1" pivotButton="0" quotePrefix="0" xfId="1">
      <alignment horizontal="left"/>
    </xf>
    <xf numFmtId="0" fontId="30" fillId="7" borderId="18" pivotButton="0" quotePrefix="0" xfId="3"/>
    <xf numFmtId="0" fontId="44" fillId="7" borderId="18" pivotButton="0" quotePrefix="0" xfId="3"/>
    <xf numFmtId="0" fontId="42" fillId="8" borderId="18" pivotButton="0" quotePrefix="0" xfId="3"/>
    <xf numFmtId="0" fontId="46" fillId="7" borderId="18" pivotButton="0" quotePrefix="0" xfId="3"/>
    <xf numFmtId="0" fontId="48" fillId="7" borderId="18" pivotButton="0" quotePrefix="0" xfId="3"/>
    <xf numFmtId="3" fontId="27" fillId="0" borderId="49" applyAlignment="1" pivotButton="0" quotePrefix="0" xfId="3">
      <alignment horizontal="center" vertical="center" wrapText="1"/>
    </xf>
    <xf numFmtId="0" fontId="53" fillId="0" borderId="49" applyAlignment="1" pivotButton="0" quotePrefix="0" xfId="3">
      <alignment horizontal="center" vertical="center" wrapText="1"/>
    </xf>
    <xf numFmtId="171" fontId="53" fillId="0" borderId="49" applyAlignment="1" pivotButton="0" quotePrefix="0" xfId="3">
      <alignment horizontal="center" vertical="center" wrapText="1"/>
    </xf>
    <xf numFmtId="3" fontId="53" fillId="0" borderId="49" applyAlignment="1" pivotButton="0" quotePrefix="0" xfId="3">
      <alignment horizontal="center" vertical="center" wrapText="1"/>
    </xf>
    <xf numFmtId="3" fontId="49" fillId="0" borderId="49" applyAlignment="1" pivotButton="0" quotePrefix="0" xfId="3">
      <alignment horizontal="center" vertical="center" wrapText="1"/>
    </xf>
    <xf numFmtId="14" fontId="53" fillId="0" borderId="49" applyAlignment="1" pivotButton="0" quotePrefix="0" xfId="3">
      <alignment horizontal="center" vertical="center"/>
    </xf>
    <xf numFmtId="0" fontId="46" fillId="0" borderId="18" applyAlignment="1" pivotButton="0" quotePrefix="1" xfId="3">
      <alignment vertical="center" wrapText="1"/>
    </xf>
    <xf numFmtId="2" fontId="54" fillId="0" borderId="18" applyAlignment="1" pivotButton="0" quotePrefix="0" xfId="3">
      <alignment horizontal="left" wrapText="1"/>
    </xf>
    <xf numFmtId="0" fontId="46" fillId="7" borderId="18" applyAlignment="1" pivotButton="0" quotePrefix="1" xfId="3">
      <alignment vertical="center" wrapText="1"/>
    </xf>
    <xf numFmtId="2" fontId="54" fillId="7" borderId="18" applyAlignment="1" pivotButton="0" quotePrefix="0" xfId="3">
      <alignment horizontal="left" wrapText="1"/>
    </xf>
    <xf numFmtId="0" fontId="55" fillId="0" borderId="18" applyAlignment="1" pivotButton="0" quotePrefix="0" xfId="3">
      <alignment vertical="center"/>
    </xf>
    <xf numFmtId="0" fontId="46" fillId="0" borderId="18" applyAlignment="1" pivotButton="0" quotePrefix="0" xfId="3">
      <alignment vertical="top" wrapText="1"/>
    </xf>
    <xf numFmtId="0" fontId="56" fillId="7" borderId="51" pivotButton="0" quotePrefix="0" xfId="3"/>
    <xf numFmtId="0" fontId="56" fillId="7" borderId="18" pivotButton="0" quotePrefix="0" xfId="3"/>
    <xf numFmtId="0" fontId="49" fillId="0" borderId="18" applyAlignment="1" pivotButton="0" quotePrefix="0" xfId="3">
      <alignment horizontal="center" vertical="center" wrapText="1"/>
    </xf>
    <xf numFmtId="0" fontId="58" fillId="0" borderId="18" pivotButton="0" quotePrefix="0" xfId="24"/>
    <xf numFmtId="0" fontId="8" fillId="0" borderId="9" pivotButton="0" quotePrefix="0" xfId="24"/>
    <xf numFmtId="0" fontId="7" fillId="0" borderId="3" pivotButton="0" quotePrefix="0" xfId="24"/>
    <xf numFmtId="0" fontId="8" fillId="0" borderId="11" pivotButton="0" quotePrefix="0" xfId="24"/>
    <xf numFmtId="0" fontId="7" fillId="0" borderId="18" pivotButton="0" quotePrefix="0" xfId="24"/>
    <xf numFmtId="0" fontId="8" fillId="0" borderId="13" pivotButton="0" quotePrefix="0" xfId="24"/>
    <xf numFmtId="0" fontId="7" fillId="0" borderId="14" pivotButton="0" quotePrefix="0" xfId="24"/>
    <xf numFmtId="0" fontId="9" fillId="0" borderId="19" applyAlignment="1" pivotButton="0" quotePrefix="0" xfId="24">
      <alignment vertical="center"/>
    </xf>
    <xf numFmtId="0" fontId="7" fillId="0" borderId="18" applyAlignment="1" pivotButton="0" quotePrefix="0" xfId="24">
      <alignment vertical="center"/>
    </xf>
    <xf numFmtId="0" fontId="9" fillId="0" borderId="58" applyAlignment="1" pivotButton="0" quotePrefix="0" xfId="24">
      <alignment vertical="center"/>
    </xf>
    <xf numFmtId="0" fontId="8" fillId="0" borderId="18" pivotButton="0" quotePrefix="0" xfId="24"/>
    <xf numFmtId="0" fontId="7" fillId="0" borderId="18" applyAlignment="1" pivotButton="0" quotePrefix="0" xfId="24">
      <alignment horizontal="left" wrapText="1"/>
    </xf>
    <xf numFmtId="0" fontId="9" fillId="2" borderId="59" applyAlignment="1" pivotButton="0" quotePrefix="0" xfId="24">
      <alignment horizontal="center" vertical="center"/>
    </xf>
    <xf numFmtId="0" fontId="10" fillId="2" borderId="60" applyAlignment="1" pivotButton="0" quotePrefix="0" xfId="24">
      <alignment horizontal="center" vertical="center"/>
    </xf>
    <xf numFmtId="0" fontId="10" fillId="2" borderId="61" applyAlignment="1" pivotButton="0" quotePrefix="0" xfId="24">
      <alignment horizontal="center" vertical="center" wrapText="1"/>
    </xf>
    <xf numFmtId="0" fontId="8" fillId="0" borderId="64" applyAlignment="1" pivotButton="0" quotePrefix="0" xfId="24">
      <alignment horizontal="center" vertical="center"/>
    </xf>
    <xf numFmtId="16" fontId="7" fillId="0" borderId="65" applyAlignment="1" pivotButton="0" quotePrefix="0" xfId="24">
      <alignment horizontal="center" vertical="center" wrapText="1"/>
    </xf>
    <xf numFmtId="0" fontId="7" fillId="0" borderId="65" applyAlignment="1" pivotButton="0" quotePrefix="0" xfId="24">
      <alignment horizontal="center" vertical="center" wrapText="1"/>
    </xf>
    <xf numFmtId="4" fontId="7" fillId="0" borderId="65" applyAlignment="1" pivotButton="0" quotePrefix="0" xfId="24">
      <alignment horizontal="center" vertical="center" wrapText="1"/>
    </xf>
    <xf numFmtId="4" fontId="7" fillId="0" borderId="66" applyAlignment="1" pivotButton="0" quotePrefix="0" xfId="24">
      <alignment horizontal="center" vertical="center" wrapText="1"/>
    </xf>
    <xf numFmtId="4" fontId="9" fillId="2" borderId="67" applyAlignment="1" pivotButton="0" quotePrefix="0" xfId="24">
      <alignment horizontal="center" vertical="center" wrapText="1"/>
    </xf>
    <xf numFmtId="4" fontId="9" fillId="2" borderId="68" applyAlignment="1" pivotButton="0" quotePrefix="0" xfId="24">
      <alignment horizontal="center" vertical="center" wrapText="1"/>
    </xf>
    <xf numFmtId="0" fontId="8" fillId="0" borderId="18" applyAlignment="1" pivotButton="0" quotePrefix="0" xfId="24">
      <alignment horizontal="right"/>
    </xf>
    <xf numFmtId="0" fontId="7" fillId="0" borderId="18" applyAlignment="1" pivotButton="0" quotePrefix="0" xfId="24">
      <alignment horizontal="center"/>
    </xf>
    <xf numFmtId="172" fontId="0" fillId="0" borderId="18" pivotButton="0" quotePrefix="0" xfId="25"/>
    <xf numFmtId="4" fontId="58" fillId="0" borderId="18" pivotButton="0" quotePrefix="0" xfId="24"/>
    <xf numFmtId="0" fontId="6" fillId="0" borderId="18" pivotButton="0" quotePrefix="0" xfId="24"/>
    <xf numFmtId="0" fontId="27" fillId="5" borderId="21" applyAlignment="1" pivotButton="0" quotePrefix="0" xfId="24">
      <alignment vertical="center"/>
    </xf>
    <xf numFmtId="0" fontId="58" fillId="5" borderId="22" pivotButton="0" quotePrefix="0" xfId="24"/>
    <xf numFmtId="0" fontId="58" fillId="5" borderId="23" pivotButton="0" quotePrefix="0" xfId="24"/>
    <xf numFmtId="0" fontId="58" fillId="0" borderId="31" pivotButton="0" quotePrefix="0" xfId="24"/>
    <xf numFmtId="0" fontId="58" fillId="0" borderId="32" pivotButton="0" quotePrefix="0" xfId="24"/>
    <xf numFmtId="0" fontId="58" fillId="0" borderId="33" pivotButton="0" quotePrefix="0" xfId="24"/>
    <xf numFmtId="0" fontId="58" fillId="0" borderId="58" pivotButton="0" quotePrefix="0" xfId="24"/>
    <xf numFmtId="0" fontId="58" fillId="0" borderId="34" pivotButton="0" quotePrefix="0" xfId="24"/>
    <xf numFmtId="0" fontId="12" fillId="0" borderId="18" pivotButton="0" quotePrefix="0" xfId="24"/>
    <xf numFmtId="0" fontId="7" fillId="0" borderId="18" applyAlignment="1" pivotButton="0" quotePrefix="0" xfId="24">
      <alignment horizontal="left"/>
    </xf>
    <xf numFmtId="0" fontId="10" fillId="2" borderId="73" applyAlignment="1" pivotButton="0" quotePrefix="0" xfId="24">
      <alignment horizontal="center" vertical="center" wrapText="1"/>
    </xf>
    <xf numFmtId="0" fontId="13" fillId="0" borderId="62" applyAlignment="1" pivotButton="0" quotePrefix="0" xfId="24">
      <alignment horizontal="center" vertical="center"/>
    </xf>
    <xf numFmtId="0" fontId="33" fillId="0" borderId="24" applyAlignment="1" pivotButton="0" quotePrefix="0" xfId="24">
      <alignment vertical="center" wrapText="1"/>
    </xf>
    <xf numFmtId="0" fontId="29" fillId="0" borderId="24" applyAlignment="1" pivotButton="0" quotePrefix="0" xfId="24">
      <alignment horizontal="center" vertical="center"/>
    </xf>
    <xf numFmtId="0" fontId="62" fillId="0" borderId="24" applyAlignment="1" pivotButton="0" quotePrefix="0" xfId="24">
      <alignment horizontal="center" vertical="center"/>
    </xf>
    <xf numFmtId="4" fontId="62" fillId="0" borderId="24" applyAlignment="1" pivotButton="0" quotePrefix="0" xfId="24">
      <alignment horizontal="center" vertical="center" wrapText="1"/>
    </xf>
    <xf numFmtId="4" fontId="15" fillId="0" borderId="24" applyAlignment="1" pivotButton="0" quotePrefix="0" xfId="24">
      <alignment horizontal="center" vertical="center" wrapText="1"/>
    </xf>
    <xf numFmtId="0" fontId="14" fillId="0" borderId="24" applyAlignment="1" pivotButton="0" quotePrefix="0" xfId="24">
      <alignment horizontal="center" vertical="center" wrapText="1"/>
    </xf>
    <xf numFmtId="0" fontId="15" fillId="0" borderId="24" applyAlignment="1" pivotButton="0" quotePrefix="0" xfId="24">
      <alignment horizontal="center" vertical="center" wrapText="1"/>
    </xf>
    <xf numFmtId="173" fontId="14" fillId="0" borderId="63" applyAlignment="1" pivotButton="0" quotePrefix="0" xfId="24">
      <alignment horizontal="center" vertical="center" wrapText="1"/>
    </xf>
    <xf numFmtId="0" fontId="58" fillId="0" borderId="18" applyAlignment="1" pivotButton="0" quotePrefix="0" xfId="24">
      <alignment vertical="top"/>
    </xf>
    <xf numFmtId="0" fontId="63" fillId="0" borderId="18" applyAlignment="1" pivotButton="0" quotePrefix="0" xfId="24">
      <alignment vertical="top"/>
    </xf>
    <xf numFmtId="0" fontId="13" fillId="0" borderId="64" applyAlignment="1" pivotButton="0" quotePrefix="0" xfId="24">
      <alignment horizontal="center" vertical="center"/>
    </xf>
    <xf numFmtId="0" fontId="33" fillId="0" borderId="65" applyAlignment="1" pivotButton="0" quotePrefix="0" xfId="24">
      <alignment vertical="center" wrapText="1"/>
    </xf>
    <xf numFmtId="0" fontId="29" fillId="0" borderId="65" applyAlignment="1" pivotButton="0" quotePrefix="0" xfId="24">
      <alignment horizontal="center" vertical="center"/>
    </xf>
    <xf numFmtId="0" fontId="62" fillId="0" borderId="65" applyAlignment="1" pivotButton="0" quotePrefix="0" xfId="24">
      <alignment horizontal="center" vertical="center"/>
    </xf>
    <xf numFmtId="4" fontId="62" fillId="0" borderId="65" applyAlignment="1" pivotButton="0" quotePrefix="0" xfId="24">
      <alignment horizontal="center" vertical="center" wrapText="1"/>
    </xf>
    <xf numFmtId="4" fontId="15" fillId="0" borderId="65" applyAlignment="1" pivotButton="0" quotePrefix="0" xfId="24">
      <alignment horizontal="center" vertical="center" wrapText="1"/>
    </xf>
    <xf numFmtId="0" fontId="14" fillId="0" borderId="65" applyAlignment="1" pivotButton="0" quotePrefix="0" xfId="24">
      <alignment horizontal="center" vertical="center" wrapText="1"/>
    </xf>
    <xf numFmtId="0" fontId="15" fillId="0" borderId="65" applyAlignment="1" pivotButton="0" quotePrefix="0" xfId="24">
      <alignment horizontal="center" vertical="center" wrapText="1"/>
    </xf>
    <xf numFmtId="173" fontId="14" fillId="0" borderId="66" applyAlignment="1" pivotButton="0" quotePrefix="0" xfId="24">
      <alignment horizontal="center" vertical="center" wrapText="1"/>
    </xf>
    <xf numFmtId="0" fontId="18" fillId="0" borderId="18" applyAlignment="1" pivotButton="0" quotePrefix="0" xfId="24">
      <alignment vertical="center"/>
    </xf>
    <xf numFmtId="0" fontId="14" fillId="0" borderId="18" applyAlignment="1" pivotButton="0" quotePrefix="0" xfId="24">
      <alignment vertical="top"/>
    </xf>
    <xf numFmtId="0" fontId="15" fillId="0" borderId="18" applyAlignment="1" pivotButton="0" quotePrefix="0" xfId="24">
      <alignment vertical="center"/>
    </xf>
    <xf numFmtId="0" fontId="64" fillId="2" borderId="75" applyAlignment="1" pivotButton="0" quotePrefix="0" xfId="24">
      <alignment horizontal="center" vertical="center"/>
    </xf>
    <xf numFmtId="4" fontId="64" fillId="2" borderId="76" applyAlignment="1" pivotButton="0" quotePrefix="0" xfId="24">
      <alignment horizontal="center" vertical="center"/>
    </xf>
    <xf numFmtId="4" fontId="64" fillId="2" borderId="1" applyAlignment="1" pivotButton="0" quotePrefix="0" xfId="24">
      <alignment horizontal="center" vertical="center"/>
    </xf>
    <xf numFmtId="0" fontId="15" fillId="0" borderId="18" applyAlignment="1" pivotButton="0" quotePrefix="0" xfId="24">
      <alignment vertical="center" wrapText="1"/>
    </xf>
    <xf numFmtId="174" fontId="64" fillId="2" borderId="77" applyAlignment="1" pivotButton="0" quotePrefix="0" xfId="16">
      <alignment horizontal="center" vertical="center"/>
    </xf>
    <xf numFmtId="0" fontId="64" fillId="0" borderId="18" applyAlignment="1" pivotButton="0" quotePrefix="0" xfId="24">
      <alignment horizontal="center" vertical="center"/>
    </xf>
    <xf numFmtId="165" fontId="64" fillId="0" borderId="18" applyAlignment="1" pivotButton="0" quotePrefix="0" xfId="24">
      <alignment vertical="center"/>
    </xf>
    <xf numFmtId="0" fontId="7" fillId="0" borderId="79" pivotButton="0" quotePrefix="0" xfId="24"/>
    <xf numFmtId="0" fontId="18" fillId="0" borderId="3" applyAlignment="1" pivotButton="0" quotePrefix="0" xfId="24">
      <alignment vertical="center"/>
    </xf>
    <xf numFmtId="0" fontId="14" fillId="0" borderId="3" applyAlignment="1" pivotButton="0" quotePrefix="0" xfId="24">
      <alignment vertical="top"/>
    </xf>
    <xf numFmtId="0" fontId="15" fillId="0" borderId="3" applyAlignment="1" pivotButton="0" quotePrefix="0" xfId="24">
      <alignment vertical="center"/>
    </xf>
    <xf numFmtId="0" fontId="15" fillId="0" borderId="3" applyAlignment="1" pivotButton="0" quotePrefix="0" xfId="24">
      <alignment vertical="center" wrapText="1"/>
    </xf>
    <xf numFmtId="0" fontId="7" fillId="0" borderId="80" pivotButton="0" quotePrefix="0" xfId="24"/>
    <xf numFmtId="0" fontId="7" fillId="0" borderId="30" pivotButton="0" quotePrefix="0" xfId="24"/>
    <xf numFmtId="0" fontId="7" fillId="0" borderId="35" pivotButton="0" quotePrefix="0" xfId="24"/>
    <xf numFmtId="0" fontId="7" fillId="0" borderId="36" pivotButton="0" quotePrefix="0" xfId="24"/>
    <xf numFmtId="0" fontId="18" fillId="0" borderId="37" applyAlignment="1" pivotButton="0" quotePrefix="0" xfId="24">
      <alignment vertical="center"/>
    </xf>
    <xf numFmtId="0" fontId="14" fillId="0" borderId="37" applyAlignment="1" pivotButton="0" quotePrefix="0" xfId="24">
      <alignment vertical="top"/>
    </xf>
    <xf numFmtId="0" fontId="15" fillId="0" borderId="37" applyAlignment="1" pivotButton="0" quotePrefix="0" xfId="24">
      <alignment vertical="center"/>
    </xf>
    <xf numFmtId="0" fontId="15" fillId="0" borderId="37" applyAlignment="1" pivotButton="0" quotePrefix="0" xfId="24">
      <alignment vertical="center" wrapText="1"/>
    </xf>
    <xf numFmtId="0" fontId="7" fillId="0" borderId="38" pivotButton="0" quotePrefix="0" xfId="24"/>
    <xf numFmtId="0" fontId="58" fillId="0" borderId="36" pivotButton="0" quotePrefix="0" xfId="24"/>
    <xf numFmtId="0" fontId="13" fillId="0" borderId="24" applyAlignment="1" pivotButton="0" quotePrefix="0" xfId="24">
      <alignment horizontal="center" vertical="center"/>
    </xf>
    <xf numFmtId="0" fontId="65" fillId="0" borderId="24" applyAlignment="1" pivotButton="0" quotePrefix="0" xfId="24">
      <alignment horizontal="left" vertical="center" wrapText="1"/>
    </xf>
    <xf numFmtId="0" fontId="13" fillId="0" borderId="18" applyAlignment="1" pivotButton="0" quotePrefix="0" xfId="24">
      <alignment horizontal="center" vertical="center"/>
    </xf>
    <xf numFmtId="0" fontId="18" fillId="0" borderId="18" applyAlignment="1" pivotButton="0" quotePrefix="0" xfId="24">
      <alignment vertical="top"/>
    </xf>
    <xf numFmtId="16" fontId="15" fillId="0" borderId="18" applyAlignment="1" pivotButton="0" quotePrefix="0" xfId="24">
      <alignment horizontal="center" vertical="center"/>
    </xf>
    <xf numFmtId="0" fontId="8" fillId="2" borderId="81" applyAlignment="1" pivotButton="0" quotePrefix="0" xfId="24">
      <alignment horizontal="center"/>
    </xf>
    <xf numFmtId="0" fontId="10" fillId="2" borderId="82" applyAlignment="1" pivotButton="0" quotePrefix="0" xfId="24">
      <alignment horizontal="center" vertical="center" wrapText="1"/>
    </xf>
    <xf numFmtId="0" fontId="58" fillId="0" borderId="37" pivotButton="0" quotePrefix="0" xfId="24"/>
    <xf numFmtId="0" fontId="8" fillId="2" borderId="88" applyAlignment="1" pivotButton="0" quotePrefix="0" xfId="24">
      <alignment horizontal="center" vertical="center" wrapText="1"/>
    </xf>
    <xf numFmtId="0" fontId="8" fillId="2" borderId="88" applyAlignment="1" pivotButton="0" quotePrefix="0" xfId="24">
      <alignment horizontal="center" vertical="center"/>
    </xf>
    <xf numFmtId="0" fontId="8" fillId="2" borderId="90" applyAlignment="1" pivotButton="0" quotePrefix="0" xfId="24">
      <alignment horizontal="center" vertical="center" wrapText="1"/>
    </xf>
    <xf numFmtId="0" fontId="8" fillId="2" borderId="90" applyAlignment="1" pivotButton="0" quotePrefix="0" xfId="24">
      <alignment horizontal="center" vertical="center"/>
    </xf>
    <xf numFmtId="0" fontId="8" fillId="2" borderId="39" applyAlignment="1" pivotButton="0" quotePrefix="0" xfId="24">
      <alignment horizontal="center" vertical="center" wrapText="1"/>
    </xf>
    <xf numFmtId="0" fontId="8" fillId="2" borderId="73" applyAlignment="1" pivotButton="0" quotePrefix="0" xfId="24">
      <alignment horizontal="center" vertical="center" wrapText="1"/>
    </xf>
    <xf numFmtId="0" fontId="8" fillId="2" borderId="73" applyAlignment="1" pivotButton="0" quotePrefix="0" xfId="24">
      <alignment horizontal="center" vertical="center"/>
    </xf>
    <xf numFmtId="0" fontId="39" fillId="0" borderId="62" applyAlignment="1" pivotButton="0" quotePrefix="0" xfId="24">
      <alignment horizontal="center" vertical="center"/>
    </xf>
    <xf numFmtId="0" fontId="39" fillId="0" borderId="24" applyAlignment="1" pivotButton="0" quotePrefix="0" xfId="24">
      <alignment horizontal="center" vertical="center"/>
    </xf>
    <xf numFmtId="2" fontId="39" fillId="0" borderId="24" applyAlignment="1" pivotButton="0" quotePrefix="0" xfId="24">
      <alignment horizontal="center" vertical="center"/>
    </xf>
    <xf numFmtId="0" fontId="39" fillId="0" borderId="63" applyAlignment="1" pivotButton="0" quotePrefix="0" xfId="24">
      <alignment horizontal="center" vertical="center"/>
    </xf>
    <xf numFmtId="0" fontId="58" fillId="0" borderId="18" applyAlignment="1" pivotButton="0" quotePrefix="0" xfId="24">
      <alignment vertical="center"/>
    </xf>
    <xf numFmtId="0" fontId="4" fillId="0" borderId="24" applyAlignment="1" pivotButton="0" quotePrefix="0" xfId="24">
      <alignment horizontal="center" vertical="center"/>
    </xf>
    <xf numFmtId="2" fontId="4" fillId="0" borderId="24" applyAlignment="1" pivotButton="0" quotePrefix="0" xfId="24">
      <alignment horizontal="center" vertical="center"/>
    </xf>
    <xf numFmtId="0" fontId="4" fillId="0" borderId="63" applyAlignment="1" pivotButton="0" quotePrefix="0" xfId="24">
      <alignment horizontal="center" vertical="center"/>
    </xf>
    <xf numFmtId="0" fontId="39" fillId="0" borderId="24" applyAlignment="1" pivotButton="0" quotePrefix="0" xfId="24">
      <alignment horizontal="center" vertical="center" wrapText="1"/>
    </xf>
    <xf numFmtId="1" fontId="39" fillId="0" borderId="24" applyAlignment="1" pivotButton="0" quotePrefix="0" xfId="24">
      <alignment horizontal="center" vertical="center"/>
    </xf>
    <xf numFmtId="4" fontId="39" fillId="0" borderId="24" applyAlignment="1" pivotButton="0" quotePrefix="0" xfId="24">
      <alignment horizontal="center" vertical="center" wrapText="1"/>
    </xf>
    <xf numFmtId="0" fontId="39" fillId="0" borderId="64" applyAlignment="1" pivotButton="0" quotePrefix="0" xfId="24">
      <alignment horizontal="center" vertical="center"/>
    </xf>
    <xf numFmtId="0" fontId="39" fillId="0" borderId="65" applyAlignment="1" pivotButton="0" quotePrefix="0" xfId="24">
      <alignment horizontal="center" vertical="center" wrapText="1"/>
    </xf>
    <xf numFmtId="1" fontId="39" fillId="0" borderId="65" applyAlignment="1" pivotButton="0" quotePrefix="0" xfId="24">
      <alignment horizontal="center" vertical="center"/>
    </xf>
    <xf numFmtId="2" fontId="39" fillId="0" borderId="65" applyAlignment="1" pivotButton="0" quotePrefix="0" xfId="24">
      <alignment horizontal="center" vertical="center"/>
    </xf>
    <xf numFmtId="0" fontId="39" fillId="0" borderId="65" applyAlignment="1" pivotButton="0" quotePrefix="0" xfId="24">
      <alignment horizontal="center" vertical="center"/>
    </xf>
    <xf numFmtId="4" fontId="39" fillId="0" borderId="65" applyAlignment="1" pivotButton="0" quotePrefix="0" xfId="24">
      <alignment horizontal="center" vertical="center" wrapText="1"/>
    </xf>
    <xf numFmtId="0" fontId="39" fillId="0" borderId="66" applyAlignment="1" pivotButton="0" quotePrefix="0" xfId="24">
      <alignment horizontal="center" vertical="center" wrapText="1"/>
    </xf>
    <xf numFmtId="0" fontId="4" fillId="0" borderId="18" pivotButton="0" quotePrefix="0" xfId="24"/>
    <xf numFmtId="0" fontId="68" fillId="15" borderId="18" applyAlignment="1" pivotButton="0" quotePrefix="0" xfId="24">
      <alignment vertical="top"/>
    </xf>
    <xf numFmtId="0" fontId="8" fillId="2" borderId="21" pivotButton="0" quotePrefix="0" xfId="24"/>
    <xf numFmtId="0" fontId="8" fillId="2" borderId="22" pivotButton="0" quotePrefix="0" xfId="24"/>
    <xf numFmtId="0" fontId="7" fillId="2" borderId="22" pivotButton="0" quotePrefix="0" xfId="24"/>
    <xf numFmtId="0" fontId="7" fillId="2" borderId="23" pivotButton="0" quotePrefix="0" xfId="24"/>
    <xf numFmtId="0" fontId="8" fillId="2" borderId="93" applyAlignment="1" pivotButton="0" quotePrefix="0" xfId="24">
      <alignment horizontal="center" vertical="center" wrapText="1"/>
    </xf>
    <xf numFmtId="0" fontId="8" fillId="2" borderId="94" applyAlignment="1" pivotButton="0" quotePrefix="0" xfId="24">
      <alignment horizontal="center" vertical="center" wrapText="1"/>
    </xf>
    <xf numFmtId="0" fontId="8" fillId="2" borderId="98" applyAlignment="1" pivotButton="0" quotePrefix="0" xfId="24">
      <alignment horizontal="center" vertical="center" wrapText="1"/>
    </xf>
    <xf numFmtId="0" fontId="8" fillId="2" borderId="99" applyAlignment="1" pivotButton="0" quotePrefix="0" xfId="24">
      <alignment horizontal="center" vertical="center" wrapText="1"/>
    </xf>
    <xf numFmtId="0" fontId="8" fillId="2" borderId="101" applyAlignment="1" pivotButton="0" quotePrefix="0" xfId="24">
      <alignment horizontal="center" vertical="center"/>
    </xf>
    <xf numFmtId="0" fontId="8" fillId="2" borderId="102" applyAlignment="1" pivotButton="0" quotePrefix="0" xfId="24">
      <alignment horizontal="center" vertical="center"/>
    </xf>
    <xf numFmtId="0" fontId="11" fillId="0" borderId="24" applyAlignment="1" pivotButton="0" quotePrefix="0" xfId="24">
      <alignment horizontal="center" vertical="center"/>
    </xf>
    <xf numFmtId="0" fontId="11" fillId="0" borderId="24" applyAlignment="1" pivotButton="0" quotePrefix="0" xfId="24">
      <alignment horizontal="center" vertical="center" wrapText="1"/>
    </xf>
    <xf numFmtId="1" fontId="11" fillId="0" borderId="24" applyAlignment="1" pivotButton="0" quotePrefix="0" xfId="24">
      <alignment horizontal="center" vertical="center"/>
    </xf>
    <xf numFmtId="4" fontId="11" fillId="0" borderId="24" applyAlignment="1" pivotButton="0" quotePrefix="0" xfId="24">
      <alignment horizontal="center" vertical="center" wrapText="1"/>
    </xf>
    <xf numFmtId="4" fontId="11" fillId="0" borderId="24" applyAlignment="1" pivotButton="0" quotePrefix="0" xfId="24">
      <alignment horizontal="center" vertical="center"/>
    </xf>
    <xf numFmtId="174" fontId="11" fillId="0" borderId="24" applyAlignment="1" pivotButton="0" quotePrefix="0" xfId="16">
      <alignment horizontal="center" vertical="center"/>
    </xf>
    <xf numFmtId="170" fontId="9" fillId="0" borderId="24" applyAlignment="1" pivotButton="0" quotePrefix="0" xfId="24">
      <alignment horizontal="center" vertical="center"/>
    </xf>
    <xf numFmtId="0" fontId="7" fillId="15" borderId="13" applyAlignment="1" pivotButton="0" quotePrefix="0" xfId="24">
      <alignment horizontal="center" vertical="center"/>
    </xf>
    <xf numFmtId="2" fontId="9" fillId="15" borderId="104" applyAlignment="1" pivotButton="0" quotePrefix="0" xfId="24">
      <alignment horizontal="center" vertical="center"/>
    </xf>
    <xf numFmtId="4" fontId="9" fillId="2" borderId="104" applyAlignment="1" pivotButton="0" quotePrefix="0" xfId="24">
      <alignment horizontal="center" vertical="center"/>
    </xf>
    <xf numFmtId="0" fontId="11" fillId="15" borderId="104" applyAlignment="1" pivotButton="0" quotePrefix="0" xfId="24">
      <alignment vertical="center"/>
    </xf>
    <xf numFmtId="175" fontId="9" fillId="2" borderId="104" applyAlignment="1" pivotButton="0" quotePrefix="0" xfId="24">
      <alignment horizontal="center" vertical="center"/>
    </xf>
    <xf numFmtId="170" fontId="9" fillId="2" borderId="17" applyAlignment="1" pivotButton="0" quotePrefix="0" xfId="24">
      <alignment horizontal="center" vertical="center"/>
    </xf>
    <xf numFmtId="175" fontId="58" fillId="0" borderId="18" pivotButton="0" quotePrefix="0" xfId="24"/>
    <xf numFmtId="0" fontId="8" fillId="2" borderId="105" pivotButton="0" quotePrefix="0" xfId="24"/>
    <xf numFmtId="0" fontId="8" fillId="2" borderId="6" pivotButton="0" quotePrefix="0" xfId="24"/>
    <xf numFmtId="0" fontId="8" fillId="2" borderId="7" pivotButton="0" quotePrefix="0" xfId="24"/>
    <xf numFmtId="0" fontId="7" fillId="2" borderId="7" pivotButton="0" quotePrefix="0" xfId="24"/>
    <xf numFmtId="0" fontId="7" fillId="2" borderId="8" pivotButton="0" quotePrefix="0" xfId="24"/>
    <xf numFmtId="0" fontId="7" fillId="0" borderId="109" pivotButton="0" quotePrefix="0" xfId="24"/>
    <xf numFmtId="0" fontId="7" fillId="0" borderId="110" pivotButton="0" quotePrefix="0" xfId="24"/>
    <xf numFmtId="0" fontId="7" fillId="0" borderId="111" pivotButton="0" quotePrefix="0" xfId="24"/>
    <xf numFmtId="0" fontId="7" fillId="0" borderId="112" pivotButton="0" quotePrefix="0" xfId="24"/>
    <xf numFmtId="0" fontId="7" fillId="0" borderId="113" pivotButton="0" quotePrefix="0" xfId="24"/>
    <xf numFmtId="0" fontId="14" fillId="0" borderId="18" applyAlignment="1" pivotButton="0" quotePrefix="0" xfId="24">
      <alignment horizontal="left" vertical="top" wrapText="1"/>
    </xf>
    <xf numFmtId="0" fontId="24" fillId="0" borderId="18" pivotButton="0" quotePrefix="0" xfId="15"/>
    <xf numFmtId="0" fontId="6" fillId="0" borderId="18" pivotButton="0" quotePrefix="0" xfId="15"/>
    <xf numFmtId="0" fontId="69" fillId="0" borderId="18" applyAlignment="1" pivotButton="0" quotePrefix="0" xfId="15">
      <alignment horizontal="center"/>
    </xf>
    <xf numFmtId="0" fontId="69" fillId="0" borderId="18" pivotButton="0" quotePrefix="0" xfId="15"/>
    <xf numFmtId="0" fontId="7" fillId="0" borderId="18" pivotButton="0" quotePrefix="0" xfId="15"/>
    <xf numFmtId="0" fontId="25" fillId="0" borderId="18" pivotButton="0" quotePrefix="0" xfId="15"/>
    <xf numFmtId="0" fontId="8" fillId="0" borderId="18" applyAlignment="1" pivotButton="0" quotePrefix="0" xfId="15">
      <alignment horizontal="left"/>
    </xf>
    <xf numFmtId="0" fontId="8" fillId="0" borderId="18" pivotButton="0" quotePrefix="0" xfId="15"/>
    <xf numFmtId="0" fontId="8" fillId="2" borderId="114" applyAlignment="1" pivotButton="0" quotePrefix="0" xfId="15">
      <alignment horizontal="center"/>
    </xf>
    <xf numFmtId="0" fontId="10" fillId="2" borderId="115" applyAlignment="1" pivotButton="0" quotePrefix="0" xfId="15">
      <alignment horizontal="center" wrapText="1"/>
    </xf>
    <xf numFmtId="0" fontId="10" fillId="2" borderId="88" applyAlignment="1" pivotButton="0" quotePrefix="0" xfId="15">
      <alignment horizontal="center" vertical="center" wrapText="1"/>
    </xf>
    <xf numFmtId="0" fontId="10" fillId="2" borderId="88" applyAlignment="1" pivotButton="0" quotePrefix="0" xfId="15">
      <alignment horizontal="center" wrapText="1"/>
    </xf>
    <xf numFmtId="0" fontId="10" fillId="2" borderId="88" applyAlignment="1" pivotButton="0" quotePrefix="0" xfId="15">
      <alignment horizontal="center"/>
    </xf>
    <xf numFmtId="0" fontId="10" fillId="2" borderId="116" applyAlignment="1" pivotButton="0" quotePrefix="0" xfId="15">
      <alignment horizontal="center" wrapText="1"/>
    </xf>
    <xf numFmtId="0" fontId="69" fillId="0" borderId="24" applyAlignment="1" pivotButton="0" quotePrefix="0" xfId="15">
      <alignment horizontal="center" vertical="center"/>
    </xf>
    <xf numFmtId="0" fontId="11" fillId="0" borderId="24" applyAlignment="1" pivotButton="0" quotePrefix="0" xfId="15">
      <alignment horizontal="center" vertical="center" wrapText="1"/>
    </xf>
    <xf numFmtId="4" fontId="11" fillId="0" borderId="24" applyAlignment="1" pivotButton="0" quotePrefix="0" xfId="15">
      <alignment horizontal="center" vertical="center" wrapText="1"/>
    </xf>
    <xf numFmtId="0" fontId="11" fillId="0" borderId="24" applyAlignment="1" pivotButton="0" quotePrefix="0" xfId="15">
      <alignment horizontal="center" vertical="center"/>
    </xf>
    <xf numFmtId="1" fontId="11" fillId="0" borderId="24" applyAlignment="1" pivotButton="0" quotePrefix="0" xfId="15">
      <alignment horizontal="center" vertical="center"/>
    </xf>
    <xf numFmtId="171" fontId="11" fillId="0" borderId="24" applyAlignment="1" pivotButton="0" quotePrefix="0" xfId="15">
      <alignment horizontal="center" vertical="center"/>
    </xf>
    <xf numFmtId="9" fontId="11" fillId="0" borderId="24" applyAlignment="1" pivotButton="0" quotePrefix="0" xfId="15">
      <alignment horizontal="center" vertical="center"/>
    </xf>
    <xf numFmtId="2" fontId="9" fillId="0" borderId="24" applyAlignment="1" pivotButton="0" quotePrefix="0" xfId="15">
      <alignment horizontal="center" vertical="center"/>
    </xf>
    <xf numFmtId="176" fontId="9" fillId="0" borderId="24" applyAlignment="1" pivotButton="0" quotePrefix="0" xfId="15">
      <alignment horizontal="center" vertical="center"/>
    </xf>
    <xf numFmtId="177" fontId="9" fillId="0" borderId="24" applyAlignment="1" pivotButton="0" quotePrefix="0" xfId="15">
      <alignment horizontal="center" vertical="center"/>
    </xf>
    <xf numFmtId="0" fontId="24" fillId="0" borderId="18" applyAlignment="1" pivotButton="0" quotePrefix="0" xfId="15">
      <alignment horizontal="center" vertical="center"/>
    </xf>
    <xf numFmtId="0" fontId="6" fillId="0" borderId="18" applyAlignment="1" pivotButton="0" quotePrefix="0" xfId="15">
      <alignment horizontal="center" vertical="center"/>
    </xf>
    <xf numFmtId="0" fontId="7" fillId="0" borderId="117" applyAlignment="1" pivotButton="0" quotePrefix="0" xfId="15">
      <alignment horizontal="center" wrapText="1"/>
    </xf>
    <xf numFmtId="0" fontId="9" fillId="0" borderId="67" applyAlignment="1" pivotButton="0" quotePrefix="0" xfId="15">
      <alignment horizontal="left" wrapText="1"/>
    </xf>
    <xf numFmtId="0" fontId="8" fillId="0" borderId="118" applyAlignment="1" pivotButton="0" quotePrefix="0" xfId="15">
      <alignment horizontal="left" wrapText="1"/>
    </xf>
    <xf numFmtId="0" fontId="7" fillId="0" borderId="118" applyAlignment="1" pivotButton="0" quotePrefix="0" xfId="15">
      <alignment horizontal="center" wrapText="1"/>
    </xf>
    <xf numFmtId="4" fontId="8" fillId="0" borderId="118" applyAlignment="1" pivotButton="0" quotePrefix="0" xfId="15">
      <alignment horizontal="center" wrapText="1"/>
    </xf>
    <xf numFmtId="0" fontId="7" fillId="0" borderId="118" applyAlignment="1" pivotButton="0" quotePrefix="0" xfId="15">
      <alignment horizontal="center"/>
    </xf>
    <xf numFmtId="1" fontId="7" fillId="0" borderId="118" applyAlignment="1" pivotButton="0" quotePrefix="0" xfId="15">
      <alignment horizontal="center"/>
    </xf>
    <xf numFmtId="2" fontId="7" fillId="0" borderId="118" applyAlignment="1" pivotButton="0" quotePrefix="0" xfId="15">
      <alignment horizontal="center"/>
    </xf>
    <xf numFmtId="177" fontId="9" fillId="2" borderId="68" applyAlignment="1" pivotButton="0" quotePrefix="0" xfId="15">
      <alignment horizontal="center"/>
    </xf>
    <xf numFmtId="0" fontId="7" fillId="0" borderId="18" applyAlignment="1" pivotButton="0" quotePrefix="0" xfId="15">
      <alignment horizontal="center" wrapText="1"/>
    </xf>
    <xf numFmtId="0" fontId="8" fillId="0" borderId="18" applyAlignment="1" pivotButton="0" quotePrefix="0" xfId="15">
      <alignment horizontal="left" wrapText="1"/>
    </xf>
    <xf numFmtId="4" fontId="8" fillId="0" borderId="18" applyAlignment="1" pivotButton="0" quotePrefix="0" xfId="15">
      <alignment horizontal="center" wrapText="1"/>
    </xf>
    <xf numFmtId="0" fontId="7" fillId="0" borderId="18" applyAlignment="1" pivotButton="0" quotePrefix="0" xfId="15">
      <alignment horizontal="center"/>
    </xf>
    <xf numFmtId="1" fontId="7" fillId="0" borderId="18" applyAlignment="1" pivotButton="0" quotePrefix="0" xfId="15">
      <alignment horizontal="center"/>
    </xf>
    <xf numFmtId="2" fontId="7" fillId="0" borderId="18" applyAlignment="1" pivotButton="0" quotePrefix="0" xfId="15">
      <alignment horizontal="center"/>
    </xf>
    <xf numFmtId="178" fontId="70" fillId="2" borderId="15" applyAlignment="1" pivotButton="0" quotePrefix="0" xfId="15">
      <alignment horizontal="center"/>
    </xf>
    <xf numFmtId="0" fontId="8" fillId="2" borderId="119" applyAlignment="1" pivotButton="0" quotePrefix="0" xfId="15">
      <alignment horizontal="center"/>
    </xf>
    <xf numFmtId="0" fontId="10" fillId="2" borderId="120" applyAlignment="1" pivotButton="0" quotePrefix="0" xfId="15">
      <alignment horizontal="center" wrapText="1"/>
    </xf>
    <xf numFmtId="0" fontId="10" fillId="2" borderId="120" applyAlignment="1" pivotButton="0" quotePrefix="0" xfId="15">
      <alignment horizontal="center" vertical="center" wrapText="1"/>
    </xf>
    <xf numFmtId="0" fontId="10" fillId="2" borderId="120" applyAlignment="1" pivotButton="0" quotePrefix="0" xfId="15">
      <alignment horizontal="center"/>
    </xf>
    <xf numFmtId="0" fontId="10" fillId="2" borderId="121" applyAlignment="1" pivotButton="0" quotePrefix="0" xfId="15">
      <alignment horizontal="center" wrapText="1"/>
    </xf>
    <xf numFmtId="0" fontId="69" fillId="0" borderId="122" applyAlignment="1" pivotButton="0" quotePrefix="0" xfId="15">
      <alignment horizontal="center" vertical="center"/>
    </xf>
    <xf numFmtId="0" fontId="11" fillId="0" borderId="41" applyAlignment="1" pivotButton="0" quotePrefix="0" xfId="15">
      <alignment horizontal="center" vertical="center" wrapText="1"/>
    </xf>
    <xf numFmtId="3" fontId="11" fillId="0" borderId="41" applyAlignment="1" pivotButton="0" quotePrefix="0" xfId="15">
      <alignment horizontal="center" vertical="center" wrapText="1"/>
    </xf>
    <xf numFmtId="0" fontId="11" fillId="0" borderId="41" applyAlignment="1" pivotButton="0" quotePrefix="0" xfId="15">
      <alignment horizontal="center" vertical="center"/>
    </xf>
    <xf numFmtId="1" fontId="11" fillId="0" borderId="41" applyAlignment="1" pivotButton="0" quotePrefix="0" xfId="15">
      <alignment horizontal="center" vertical="center"/>
    </xf>
    <xf numFmtId="171" fontId="11" fillId="0" borderId="41" applyAlignment="1" pivotButton="0" quotePrefix="0" xfId="15">
      <alignment horizontal="center" vertical="center"/>
    </xf>
    <xf numFmtId="9" fontId="11" fillId="0" borderId="41" applyAlignment="1" pivotButton="0" quotePrefix="0" xfId="15">
      <alignment horizontal="center" vertical="center"/>
    </xf>
    <xf numFmtId="2" fontId="9" fillId="0" borderId="41" applyAlignment="1" pivotButton="0" quotePrefix="0" xfId="15">
      <alignment horizontal="center" vertical="center"/>
    </xf>
    <xf numFmtId="176" fontId="9" fillId="0" borderId="41" applyAlignment="1" pivotButton="0" quotePrefix="0" xfId="15">
      <alignment horizontal="center" vertical="center"/>
    </xf>
    <xf numFmtId="177" fontId="9" fillId="0" borderId="123" applyAlignment="1" pivotButton="0" quotePrefix="0" xfId="15">
      <alignment horizontal="center" vertical="center"/>
    </xf>
    <xf numFmtId="0" fontId="6" fillId="0" borderId="24" applyAlignment="1" pivotButton="0" quotePrefix="0" xfId="15">
      <alignment horizontal="center"/>
    </xf>
    <xf numFmtId="4" fontId="11" fillId="0" borderId="41" applyAlignment="1" pivotButton="0" quotePrefix="0" xfId="15">
      <alignment horizontal="center" vertical="center" wrapText="1"/>
    </xf>
    <xf numFmtId="0" fontId="7" fillId="0" borderId="64" applyAlignment="1" pivotButton="0" quotePrefix="0" xfId="15">
      <alignment horizontal="center" wrapText="1"/>
    </xf>
    <xf numFmtId="0" fontId="9" fillId="0" borderId="65" applyAlignment="1" pivotButton="0" quotePrefix="0" xfId="15">
      <alignment horizontal="left" wrapText="1"/>
    </xf>
    <xf numFmtId="0" fontId="8" fillId="0" borderId="65" applyAlignment="1" pivotButton="0" quotePrefix="0" xfId="15">
      <alignment horizontal="left" wrapText="1"/>
    </xf>
    <xf numFmtId="0" fontId="7" fillId="0" borderId="65" applyAlignment="1" pivotButton="0" quotePrefix="0" xfId="15">
      <alignment horizontal="center" wrapText="1"/>
    </xf>
    <xf numFmtId="4" fontId="8" fillId="0" borderId="65" applyAlignment="1" pivotButton="0" quotePrefix="0" xfId="15">
      <alignment horizontal="center" wrapText="1"/>
    </xf>
    <xf numFmtId="0" fontId="7" fillId="0" borderId="65" applyAlignment="1" pivotButton="0" quotePrefix="0" xfId="15">
      <alignment horizontal="center"/>
    </xf>
    <xf numFmtId="1" fontId="7" fillId="0" borderId="65" applyAlignment="1" pivotButton="0" quotePrefix="0" xfId="15">
      <alignment horizontal="center"/>
    </xf>
    <xf numFmtId="2" fontId="7" fillId="0" borderId="65" applyAlignment="1" pivotButton="0" quotePrefix="0" xfId="15">
      <alignment horizontal="center"/>
    </xf>
    <xf numFmtId="177" fontId="9" fillId="2" borderId="66" applyAlignment="1" pivotButton="0" quotePrefix="0" xfId="15">
      <alignment horizontal="center"/>
    </xf>
    <xf numFmtId="0" fontId="7" fillId="0" borderId="124" applyAlignment="1" pivotButton="0" quotePrefix="0" xfId="15">
      <alignment horizontal="center" wrapText="1"/>
    </xf>
    <xf numFmtId="0" fontId="9" fillId="0" borderId="125" applyAlignment="1" pivotButton="0" quotePrefix="0" xfId="15">
      <alignment horizontal="left" wrapText="1"/>
    </xf>
    <xf numFmtId="0" fontId="8" fillId="0" borderId="125" applyAlignment="1" pivotButton="0" quotePrefix="0" xfId="15">
      <alignment horizontal="left" wrapText="1"/>
    </xf>
    <xf numFmtId="0" fontId="7" fillId="0" borderId="126" applyAlignment="1" pivotButton="0" quotePrefix="0" xfId="15">
      <alignment horizontal="center" wrapText="1"/>
    </xf>
    <xf numFmtId="4" fontId="8" fillId="0" borderId="126" applyAlignment="1" pivotButton="0" quotePrefix="0" xfId="15">
      <alignment horizontal="center" wrapText="1"/>
    </xf>
    <xf numFmtId="0" fontId="7" fillId="0" borderId="126" applyAlignment="1" pivotButton="0" quotePrefix="0" xfId="15">
      <alignment horizontal="center"/>
    </xf>
    <xf numFmtId="1" fontId="7" fillId="0" borderId="126" applyAlignment="1" pivotButton="0" quotePrefix="0" xfId="15">
      <alignment horizontal="center"/>
    </xf>
    <xf numFmtId="2" fontId="7" fillId="0" borderId="126" applyAlignment="1" pivotButton="0" quotePrefix="0" xfId="15">
      <alignment horizontal="center"/>
    </xf>
    <xf numFmtId="2" fontId="7" fillId="0" borderId="127" applyAlignment="1" pivotButton="0" quotePrefix="0" xfId="15">
      <alignment horizontal="center"/>
    </xf>
    <xf numFmtId="177" fontId="9" fillId="2" borderId="128" applyAlignment="1" pivotButton="0" quotePrefix="0" xfId="15">
      <alignment horizontal="center"/>
    </xf>
    <xf numFmtId="0" fontId="24" fillId="0" borderId="18" applyAlignment="1" pivotButton="0" quotePrefix="0" xfId="15">
      <alignment horizontal="center"/>
    </xf>
    <xf numFmtId="0" fontId="7" fillId="0" borderId="18" applyAlignment="1" pivotButton="0" quotePrefix="0" xfId="15">
      <alignment horizontal="left" wrapText="1"/>
    </xf>
    <xf numFmtId="4" fontId="7" fillId="0" borderId="18" applyAlignment="1" pivotButton="0" quotePrefix="0" xfId="15">
      <alignment horizontal="center" wrapText="1"/>
    </xf>
    <xf numFmtId="9" fontId="7" fillId="0" borderId="18" applyAlignment="1" pivotButton="0" quotePrefix="0" xfId="15">
      <alignment horizontal="center"/>
    </xf>
    <xf numFmtId="2" fontId="8" fillId="0" borderId="18" applyAlignment="1" pivotButton="0" quotePrefix="0" xfId="15">
      <alignment horizontal="center"/>
    </xf>
    <xf numFmtId="176" fontId="8" fillId="0" borderId="18" applyAlignment="1" pivotButton="0" quotePrefix="0" xfId="15">
      <alignment horizontal="center"/>
    </xf>
    <xf numFmtId="177" fontId="8" fillId="0" borderId="18" applyAlignment="1" pivotButton="0" quotePrefix="0" xfId="15">
      <alignment horizontal="center"/>
    </xf>
    <xf numFmtId="176" fontId="9" fillId="2" borderId="6" pivotButton="0" quotePrefix="0" xfId="15"/>
    <xf numFmtId="176" fontId="9" fillId="2" borderId="7" pivotButton="0" quotePrefix="0" xfId="15"/>
    <xf numFmtId="0" fontId="7" fillId="2" borderId="8" pivotButton="0" quotePrefix="0" xfId="15"/>
    <xf numFmtId="2" fontId="7" fillId="0" borderId="18" applyAlignment="1" pivotButton="0" quotePrefix="0" xfId="15">
      <alignment horizontal="center" vertical="top"/>
    </xf>
    <xf numFmtId="2" fontId="7" fillId="0" borderId="18" applyAlignment="1" pivotButton="0" quotePrefix="0" xfId="15">
      <alignment horizontal="left" vertical="top"/>
    </xf>
    <xf numFmtId="0" fontId="24" fillId="0" borderId="9" applyAlignment="1" pivotButton="0" quotePrefix="0" xfId="15">
      <alignment horizontal="center"/>
    </xf>
    <xf numFmtId="0" fontId="24" fillId="0" borderId="3" pivotButton="0" quotePrefix="0" xfId="15"/>
    <xf numFmtId="0" fontId="24" fillId="0" borderId="10" pivotButton="0" quotePrefix="0" xfId="15"/>
    <xf numFmtId="0" fontId="24" fillId="0" borderId="11" applyAlignment="1" pivotButton="0" quotePrefix="0" xfId="15">
      <alignment horizontal="center"/>
    </xf>
    <xf numFmtId="0" fontId="24" fillId="0" borderId="12" pivotButton="0" quotePrefix="0" xfId="15"/>
    <xf numFmtId="0" fontId="24" fillId="0" borderId="13" applyAlignment="1" pivotButton="0" quotePrefix="0" xfId="15">
      <alignment horizontal="center"/>
    </xf>
    <xf numFmtId="0" fontId="24" fillId="0" borderId="14" pivotButton="0" quotePrefix="0" xfId="15"/>
    <xf numFmtId="0" fontId="24" fillId="0" borderId="1" pivotButton="0" quotePrefix="0" xfId="15"/>
    <xf numFmtId="0" fontId="9" fillId="2" borderId="6" applyAlignment="1" pivotButton="0" quotePrefix="0" xfId="15">
      <alignment horizontal="left"/>
    </xf>
    <xf numFmtId="0" fontId="7" fillId="2" borderId="7" applyAlignment="1" pivotButton="0" quotePrefix="0" xfId="15">
      <alignment horizontal="center" vertical="center" wrapText="1"/>
    </xf>
    <xf numFmtId="0" fontId="7" fillId="2" borderId="7" applyAlignment="1" pivotButton="0" quotePrefix="0" xfId="15">
      <alignment horizontal="center" wrapText="1"/>
    </xf>
    <xf numFmtId="0" fontId="7" fillId="2" borderId="8" applyAlignment="1" pivotButton="0" quotePrefix="0" xfId="15">
      <alignment horizontal="center" vertical="center" wrapText="1"/>
    </xf>
    <xf numFmtId="0" fontId="7" fillId="0" borderId="18" applyAlignment="1" pivotButton="0" quotePrefix="0" xfId="15">
      <alignment horizontal="center" vertical="center" wrapText="1"/>
    </xf>
    <xf numFmtId="0" fontId="19" fillId="0" borderId="18" pivotButton="0" quotePrefix="0" xfId="15"/>
    <xf numFmtId="179" fontId="19" fillId="0" borderId="18" applyAlignment="1" pivotButton="0" quotePrefix="0" xfId="15">
      <alignment vertical="center"/>
    </xf>
    <xf numFmtId="0" fontId="9" fillId="2" borderId="129" applyAlignment="1" pivotButton="0" quotePrefix="0" xfId="15">
      <alignment horizontal="center" vertical="center" wrapText="1"/>
    </xf>
    <xf numFmtId="0" fontId="9" fillId="2" borderId="94" applyAlignment="1" pivotButton="0" quotePrefix="0" xfId="15">
      <alignment horizontal="center" vertical="center" wrapText="1"/>
    </xf>
    <xf numFmtId="0" fontId="9" fillId="2" borderId="130" applyAlignment="1" pivotButton="0" quotePrefix="0" xfId="15">
      <alignment horizontal="center" vertical="center" wrapText="1"/>
    </xf>
    <xf numFmtId="0" fontId="11" fillId="0" borderId="59" applyAlignment="1" pivotButton="0" quotePrefix="0" xfId="15">
      <alignment horizontal="center" vertical="center"/>
    </xf>
    <xf numFmtId="0" fontId="11" fillId="0" borderId="60" applyAlignment="1" pivotButton="0" quotePrefix="0" xfId="15">
      <alignment horizontal="center" vertical="center"/>
    </xf>
    <xf numFmtId="1" fontId="11" fillId="0" borderId="60" applyAlignment="1" pivotButton="0" quotePrefix="0" xfId="15">
      <alignment horizontal="center" vertical="center"/>
    </xf>
    <xf numFmtId="1" fontId="11" fillId="0" borderId="60" applyAlignment="1" pivotButton="0" quotePrefix="0" xfId="15">
      <alignment horizontal="center" vertical="center" wrapText="1"/>
    </xf>
    <xf numFmtId="0" fontId="11" fillId="0" borderId="60" applyAlignment="1" pivotButton="0" quotePrefix="0" xfId="15">
      <alignment horizontal="center" vertical="center" wrapText="1"/>
    </xf>
    <xf numFmtId="167" fontId="11" fillId="0" borderId="60" applyAlignment="1" pivotButton="0" quotePrefix="0" xfId="15">
      <alignment vertical="center"/>
    </xf>
    <xf numFmtId="180" fontId="11" fillId="0" borderId="60" applyAlignment="1" pivotButton="0" quotePrefix="0" xfId="15">
      <alignment horizontal="center" vertical="center"/>
    </xf>
    <xf numFmtId="170" fontId="39" fillId="0" borderId="60" applyAlignment="1" pivotButton="0" quotePrefix="0" xfId="15">
      <alignment vertical="center"/>
    </xf>
    <xf numFmtId="0" fontId="11" fillId="0" borderId="61" applyAlignment="1" pivotButton="0" quotePrefix="0" xfId="15">
      <alignment horizontal="center" vertical="center"/>
    </xf>
    <xf numFmtId="166" fontId="7" fillId="0" borderId="18" pivotButton="0" quotePrefix="0" xfId="15"/>
    <xf numFmtId="0" fontId="11" fillId="0" borderId="64" applyAlignment="1" pivotButton="0" quotePrefix="0" xfId="15">
      <alignment horizontal="center" vertical="center"/>
    </xf>
    <xf numFmtId="0" fontId="11" fillId="0" borderId="65" applyAlignment="1" pivotButton="0" quotePrefix="0" xfId="15">
      <alignment horizontal="center" vertical="center"/>
    </xf>
    <xf numFmtId="1" fontId="11" fillId="0" borderId="65" applyAlignment="1" pivotButton="0" quotePrefix="0" xfId="15">
      <alignment horizontal="center" vertical="center"/>
    </xf>
    <xf numFmtId="1" fontId="11" fillId="0" borderId="65" applyAlignment="1" pivotButton="0" quotePrefix="0" xfId="15">
      <alignment horizontal="center" vertical="center" wrapText="1"/>
    </xf>
    <xf numFmtId="0" fontId="11" fillId="0" borderId="65" applyAlignment="1" pivotButton="0" quotePrefix="0" xfId="15">
      <alignment horizontal="center" vertical="center" wrapText="1"/>
    </xf>
    <xf numFmtId="166" fontId="11" fillId="0" borderId="65" applyAlignment="1" pivotButton="0" quotePrefix="0" xfId="15">
      <alignment horizontal="center" vertical="center"/>
    </xf>
    <xf numFmtId="167" fontId="11" fillId="0" borderId="65" applyAlignment="1" pivotButton="0" quotePrefix="0" xfId="15">
      <alignment vertical="center"/>
    </xf>
    <xf numFmtId="180" fontId="11" fillId="0" borderId="65" applyAlignment="1" pivotButton="0" quotePrefix="0" xfId="15">
      <alignment horizontal="center" vertical="center"/>
    </xf>
    <xf numFmtId="170" fontId="39" fillId="0" borderId="65" applyAlignment="1" pivotButton="0" quotePrefix="0" xfId="15">
      <alignment vertical="center"/>
    </xf>
    <xf numFmtId="0" fontId="11" fillId="0" borderId="66" applyAlignment="1" pivotButton="0" quotePrefix="0" xfId="15">
      <alignment horizontal="center" vertical="center"/>
    </xf>
    <xf numFmtId="181" fontId="8" fillId="0" borderId="18" pivotButton="0" quotePrefix="0" xfId="15"/>
    <xf numFmtId="167" fontId="8" fillId="0" borderId="18" pivotButton="0" quotePrefix="0" xfId="15"/>
    <xf numFmtId="180" fontId="8" fillId="0" borderId="18" applyAlignment="1" pivotButton="0" quotePrefix="0" xfId="15">
      <alignment horizontal="center" vertical="center"/>
    </xf>
    <xf numFmtId="2" fontId="11" fillId="0" borderId="60" applyAlignment="1" pivotButton="0" quotePrefix="0" xfId="15">
      <alignment horizontal="center" vertical="center" wrapText="1"/>
    </xf>
    <xf numFmtId="181" fontId="9" fillId="0" borderId="16" applyAlignment="1" pivotButton="0" quotePrefix="0" xfId="15">
      <alignment vertical="center"/>
    </xf>
    <xf numFmtId="0" fontId="11" fillId="0" borderId="104" applyAlignment="1" pivotButton="0" quotePrefix="0" xfId="15">
      <alignment vertical="center"/>
    </xf>
    <xf numFmtId="167" fontId="9" fillId="0" borderId="104" applyAlignment="1" pivotButton="0" quotePrefix="0" xfId="15">
      <alignment vertical="center"/>
    </xf>
    <xf numFmtId="180" fontId="9" fillId="0" borderId="104" applyAlignment="1" pivotButton="0" quotePrefix="0" xfId="15">
      <alignment vertical="center"/>
    </xf>
    <xf numFmtId="170" fontId="9" fillId="0" borderId="17" applyAlignment="1" pivotButton="0" quotePrefix="0" xfId="15">
      <alignment vertical="center"/>
    </xf>
    <xf numFmtId="0" fontId="59" fillId="0" borderId="31" applyAlignment="1" pivotButton="0" quotePrefix="0" xfId="24">
      <alignment horizontal="center" vertical="center"/>
    </xf>
    <xf numFmtId="0" fontId="59" fillId="0" borderId="18" applyAlignment="1" pivotButton="0" quotePrefix="0" xfId="24">
      <alignment horizontal="center" vertical="center"/>
    </xf>
    <xf numFmtId="0" fontId="59" fillId="0" borderId="32" applyAlignment="1" pivotButton="0" quotePrefix="0" xfId="24">
      <alignment horizontal="center" vertical="center"/>
    </xf>
    <xf numFmtId="0" fontId="9" fillId="0" borderId="133" applyAlignment="1" pivotButton="0" quotePrefix="0" xfId="24">
      <alignment horizontal="center" vertical="center" wrapText="1"/>
    </xf>
    <xf numFmtId="0" fontId="6" fillId="0" borderId="19" pivotButton="0" quotePrefix="0" xfId="9"/>
    <xf numFmtId="0" fontId="6" fillId="0" borderId="19" applyAlignment="1" pivotButton="0" quotePrefix="0" xfId="9">
      <alignment horizontal="center"/>
    </xf>
    <xf numFmtId="16" fontId="72" fillId="0" borderId="136" applyAlignment="1" pivotButton="0" quotePrefix="0" xfId="9">
      <alignment horizontal="center" vertical="center"/>
    </xf>
    <xf numFmtId="0" fontId="6" fillId="0" borderId="20" pivotButton="0" quotePrefix="0" xfId="9"/>
    <xf numFmtId="0" fontId="11" fillId="2" borderId="137" applyAlignment="1" pivotButton="0" quotePrefix="0" xfId="24">
      <alignment horizontal="center"/>
    </xf>
    <xf numFmtId="182" fontId="9" fillId="2" borderId="138" applyAlignment="1" pivotButton="0" quotePrefix="0" xfId="24">
      <alignment horizontal="center" wrapText="1"/>
    </xf>
    <xf numFmtId="182" fontId="9" fillId="2" borderId="138" applyAlignment="1" pivotButton="0" quotePrefix="0" xfId="24">
      <alignment horizontal="center" vertical="center" wrapText="1"/>
    </xf>
    <xf numFmtId="182" fontId="9" fillId="2" borderId="139" applyAlignment="1" pivotButton="0" quotePrefix="0" xfId="24">
      <alignment horizontal="center" wrapText="1"/>
    </xf>
    <xf numFmtId="3" fontId="6" fillId="0" borderId="18" pivotButton="0" quotePrefix="0" xfId="9"/>
    <xf numFmtId="0" fontId="6" fillId="0" borderId="32" pivotButton="0" quotePrefix="0" xfId="9"/>
    <xf numFmtId="0" fontId="11" fillId="0" borderId="141" applyAlignment="1" pivotButton="0" quotePrefix="0" xfId="24">
      <alignment horizontal="left"/>
    </xf>
    <xf numFmtId="182" fontId="11" fillId="0" borderId="142" pivotButton="0" quotePrefix="0" xfId="24"/>
    <xf numFmtId="9" fontId="11" fillId="0" borderId="142" applyAlignment="1" pivotButton="0" quotePrefix="0" xfId="24">
      <alignment horizontal="center"/>
    </xf>
    <xf numFmtId="182" fontId="11" fillId="0" borderId="143" pivotButton="0" quotePrefix="0" xfId="24"/>
    <xf numFmtId="0" fontId="11" fillId="0" borderId="144" applyAlignment="1" pivotButton="0" quotePrefix="0" xfId="24">
      <alignment horizontal="left"/>
    </xf>
    <xf numFmtId="182" fontId="11" fillId="0" borderId="145" pivotButton="0" quotePrefix="0" xfId="24"/>
    <xf numFmtId="9" fontId="11" fillId="0" borderId="145" applyAlignment="1" pivotButton="0" quotePrefix="0" xfId="24">
      <alignment horizontal="center"/>
    </xf>
    <xf numFmtId="182" fontId="11" fillId="0" borderId="146" pivotButton="0" quotePrefix="0" xfId="24"/>
    <xf numFmtId="0" fontId="9" fillId="0" borderId="148" applyAlignment="1" pivotButton="0" quotePrefix="0" xfId="24">
      <alignment horizontal="right"/>
    </xf>
    <xf numFmtId="182" fontId="9" fillId="0" borderId="149" pivotButton="0" quotePrefix="0" xfId="24"/>
    <xf numFmtId="182" fontId="9" fillId="0" borderId="150" pivotButton="0" quotePrefix="0" xfId="24"/>
    <xf numFmtId="0" fontId="9" fillId="0" borderId="31" pivotButton="0" quotePrefix="0" xfId="24"/>
    <xf numFmtId="0" fontId="11" fillId="16" borderId="18" pivotButton="0" quotePrefix="0" xfId="24"/>
    <xf numFmtId="182" fontId="11" fillId="16" borderId="18" pivotButton="0" quotePrefix="0" xfId="24"/>
    <xf numFmtId="182" fontId="11" fillId="16" borderId="32" pivotButton="0" quotePrefix="0" xfId="24"/>
    <xf numFmtId="0" fontId="9" fillId="0" borderId="152" applyAlignment="1" pivotButton="0" quotePrefix="0" xfId="24">
      <alignment horizontal="right"/>
    </xf>
    <xf numFmtId="182" fontId="9" fillId="0" borderId="153" pivotButton="0" quotePrefix="0" xfId="24"/>
    <xf numFmtId="182" fontId="9" fillId="0" borderId="154" pivotButton="0" quotePrefix="0" xfId="24"/>
    <xf numFmtId="0" fontId="6" fillId="0" borderId="58" pivotButton="0" quotePrefix="0" xfId="9"/>
    <xf numFmtId="0" fontId="6" fillId="0" borderId="58" applyAlignment="1" pivotButton="0" quotePrefix="0" xfId="9">
      <alignment horizontal="center"/>
    </xf>
    <xf numFmtId="3" fontId="6" fillId="0" borderId="58" pivotButton="0" quotePrefix="0" xfId="9"/>
    <xf numFmtId="0" fontId="6" fillId="0" borderId="34" pivotButton="0" quotePrefix="0" xfId="9"/>
    <xf numFmtId="0" fontId="9" fillId="0" borderId="31" applyAlignment="1" pivotButton="0" quotePrefix="0" xfId="24">
      <alignment horizontal="center" vertical="center"/>
    </xf>
    <xf numFmtId="0" fontId="9" fillId="0" borderId="18" applyAlignment="1" pivotButton="0" quotePrefix="0" xfId="24">
      <alignment horizontal="right"/>
    </xf>
    <xf numFmtId="182" fontId="9" fillId="0" borderId="18" pivotButton="0" quotePrefix="0" xfId="24"/>
    <xf numFmtId="182" fontId="9" fillId="0" borderId="32" pivotButton="0" quotePrefix="0" xfId="24"/>
    <xf numFmtId="4" fontId="6" fillId="0" borderId="18" pivotButton="0" quotePrefix="0" xfId="9"/>
    <xf numFmtId="0" fontId="9" fillId="17" borderId="155" applyAlignment="1" pivotButton="0" quotePrefix="0" xfId="24">
      <alignment horizontal="right"/>
    </xf>
    <xf numFmtId="182" fontId="59" fillId="17" borderId="156" pivotButton="0" quotePrefix="0" xfId="24"/>
    <xf numFmtId="183" fontId="59" fillId="17" borderId="156" pivotButton="0" quotePrefix="0" xfId="24"/>
    <xf numFmtId="182" fontId="59" fillId="17" borderId="157" pivotButton="0" quotePrefix="0" xfId="24"/>
    <xf numFmtId="0" fontId="73" fillId="18" borderId="83" applyAlignment="1" pivotButton="0" quotePrefix="0" xfId="24">
      <alignment horizontal="right"/>
    </xf>
    <xf numFmtId="170" fontId="74" fillId="18" borderId="2" applyAlignment="1" pivotButton="0" quotePrefix="0" xfId="24">
      <alignment horizontal="right"/>
    </xf>
    <xf numFmtId="182" fontId="74" fillId="18" borderId="2" applyAlignment="1" pivotButton="0" quotePrefix="0" xfId="24">
      <alignment horizontal="center"/>
    </xf>
    <xf numFmtId="170" fontId="74" fillId="18" borderId="158" applyAlignment="1" pivotButton="0" quotePrefix="0" xfId="24">
      <alignment horizontal="right"/>
    </xf>
    <xf numFmtId="0" fontId="73" fillId="18" borderId="85" applyAlignment="1" pivotButton="0" quotePrefix="0" xfId="24">
      <alignment horizontal="right"/>
    </xf>
    <xf numFmtId="184" fontId="74" fillId="18" borderId="86" applyAlignment="1" pivotButton="0" quotePrefix="0" xfId="24">
      <alignment horizontal="right"/>
    </xf>
    <xf numFmtId="181" fontId="74" fillId="18" borderId="86" applyAlignment="1" pivotButton="0" quotePrefix="0" xfId="24">
      <alignment horizontal="center"/>
    </xf>
    <xf numFmtId="180" fontId="74" fillId="18" borderId="159" applyAlignment="1" pivotButton="0" quotePrefix="0" xfId="24">
      <alignment horizontal="right"/>
    </xf>
    <xf numFmtId="0" fontId="73" fillId="0" borderId="18" applyAlignment="1" pivotButton="0" quotePrefix="0" xfId="24">
      <alignment horizontal="right"/>
    </xf>
    <xf numFmtId="184" fontId="74" fillId="0" borderId="18" applyAlignment="1" pivotButton="0" quotePrefix="0" xfId="24">
      <alignment horizontal="right"/>
    </xf>
    <xf numFmtId="181" fontId="74" fillId="0" borderId="18" applyAlignment="1" pivotButton="0" quotePrefix="0" xfId="24">
      <alignment horizontal="center"/>
    </xf>
    <xf numFmtId="180" fontId="74" fillId="0" borderId="32" applyAlignment="1" pivotButton="0" quotePrefix="0" xfId="24">
      <alignment horizontal="right"/>
    </xf>
    <xf numFmtId="0" fontId="9" fillId="16" borderId="18" applyAlignment="1" pivotButton="0" quotePrefix="0" xfId="24">
      <alignment horizontal="right"/>
    </xf>
    <xf numFmtId="182" fontId="9" fillId="16" borderId="18" pivotButton="0" quotePrefix="0" xfId="24"/>
    <xf numFmtId="182" fontId="9" fillId="16" borderId="32" pivotButton="0" quotePrefix="0" xfId="24"/>
    <xf numFmtId="0" fontId="63" fillId="0" borderId="18" pivotButton="0" quotePrefix="0" xfId="9"/>
    <xf numFmtId="185" fontId="75" fillId="0" borderId="18" pivotButton="0" quotePrefix="0" xfId="24"/>
    <xf numFmtId="182" fontId="9" fillId="16" borderId="18" applyAlignment="1" pivotButton="0" quotePrefix="0" xfId="24">
      <alignment horizontal="right"/>
    </xf>
    <xf numFmtId="182" fontId="8" fillId="0" borderId="18" pivotButton="0" quotePrefix="0" xfId="24"/>
    <xf numFmtId="185" fontId="9" fillId="0" borderId="160" applyAlignment="1" pivotButton="0" quotePrefix="0" xfId="24">
      <alignment horizontal="center" vertical="center"/>
    </xf>
    <xf numFmtId="186" fontId="9" fillId="0" borderId="161" applyAlignment="1" pivotButton="0" quotePrefix="0" xfId="24">
      <alignment horizontal="center" vertical="center"/>
    </xf>
    <xf numFmtId="185" fontId="76" fillId="0" borderId="18" pivotButton="0" quotePrefix="0" xfId="24"/>
    <xf numFmtId="187" fontId="9" fillId="0" borderId="162" applyAlignment="1" pivotButton="0" quotePrefix="0" xfId="24">
      <alignment horizontal="center" vertical="center"/>
    </xf>
    <xf numFmtId="0" fontId="7" fillId="16" borderId="31" pivotButton="0" quotePrefix="0" xfId="24"/>
    <xf numFmtId="0" fontId="7" fillId="16" borderId="18" pivotButton="0" quotePrefix="0" xfId="24"/>
    <xf numFmtId="0" fontId="7" fillId="16" borderId="32" pivotButton="0" quotePrefix="0" xfId="24"/>
    <xf numFmtId="0" fontId="7" fillId="16" borderId="58" pivotButton="0" quotePrefix="0" xfId="24"/>
    <xf numFmtId="182" fontId="7" fillId="16" borderId="58" pivotButton="0" quotePrefix="0" xfId="24"/>
    <xf numFmtId="182" fontId="7" fillId="16" borderId="34" pivotButton="0" quotePrefix="0" xfId="24"/>
    <xf numFmtId="188" fontId="6" fillId="0" borderId="58" pivotButton="0" quotePrefix="0" xfId="9"/>
    <xf numFmtId="182" fontId="7" fillId="16" borderId="18" pivotButton="0" quotePrefix="0" xfId="24"/>
    <xf numFmtId="188" fontId="6" fillId="0" borderId="18" pivotButton="0" quotePrefix="0" xfId="9"/>
    <xf numFmtId="189" fontId="6" fillId="0" borderId="18" pivotButton="0" quotePrefix="0" xfId="9"/>
    <xf numFmtId="2" fontId="6" fillId="0" borderId="18" pivotButton="0" quotePrefix="0" xfId="9"/>
    <xf numFmtId="182" fontId="7" fillId="0" borderId="18" pivotButton="0" quotePrefix="0" xfId="24"/>
    <xf numFmtId="0" fontId="8" fillId="3" borderId="2" applyAlignment="1" pivotButton="0" quotePrefix="0" xfId="24">
      <alignment horizontal="left" vertical="center"/>
    </xf>
    <xf numFmtId="0" fontId="8" fillId="3" borderId="84" applyAlignment="1" pivotButton="0" quotePrefix="0" xfId="24">
      <alignment horizontal="left" vertical="center"/>
    </xf>
    <xf numFmtId="0" fontId="8" fillId="4" borderId="84" applyAlignment="1" pivotButton="0" quotePrefix="0" xfId="24">
      <alignment horizontal="left" vertical="center" wrapText="1"/>
    </xf>
    <xf numFmtId="49" fontId="8" fillId="4" borderId="84" applyAlignment="1" pivotButton="0" quotePrefix="0" xfId="24">
      <alignment horizontal="left" vertical="center" wrapText="1"/>
    </xf>
    <xf numFmtId="0" fontId="8" fillId="4" borderId="2" applyAlignment="1" pivotButton="0" quotePrefix="0" xfId="24">
      <alignment horizontal="left" vertical="center" wrapText="1"/>
    </xf>
    <xf numFmtId="0" fontId="77" fillId="15" borderId="18" pivotButton="0" quotePrefix="0" xfId="24"/>
    <xf numFmtId="185" fontId="7" fillId="15" borderId="2" applyAlignment="1" pivotButton="0" quotePrefix="0" xfId="24">
      <alignment horizontal="center" vertical="center" wrapText="1"/>
    </xf>
    <xf numFmtId="164" fontId="7" fillId="15" borderId="2" applyAlignment="1" pivotButton="0" quotePrefix="0" xfId="24">
      <alignment horizontal="center" vertical="center" wrapText="1"/>
    </xf>
    <xf numFmtId="0" fontId="7" fillId="0" borderId="2" pivotButton="0" quotePrefix="0" xfId="24"/>
    <xf numFmtId="16" fontId="7" fillId="15" borderId="84" applyAlignment="1" pivotButton="0" quotePrefix="0" xfId="24">
      <alignment horizontal="center" vertical="center"/>
    </xf>
    <xf numFmtId="0" fontId="7" fillId="15" borderId="84" applyAlignment="1" pivotButton="0" quotePrefix="0" xfId="24">
      <alignment horizontal="center" vertical="center" wrapText="1"/>
    </xf>
    <xf numFmtId="4" fontId="7" fillId="15" borderId="84" applyAlignment="1" pivotButton="0" quotePrefix="0" xfId="24">
      <alignment horizontal="center" vertical="center" wrapText="1"/>
    </xf>
    <xf numFmtId="3" fontId="7" fillId="15" borderId="84" applyAlignment="1" pivotButton="0" quotePrefix="0" xfId="24">
      <alignment horizontal="center" vertical="center" wrapText="1"/>
    </xf>
    <xf numFmtId="167" fontId="7" fillId="15" borderId="84" applyAlignment="1" pivotButton="0" quotePrefix="0" xfId="24">
      <alignment horizontal="center" vertical="center"/>
    </xf>
    <xf numFmtId="184" fontId="7" fillId="15" borderId="84" applyAlignment="1" pivotButton="0" quotePrefix="0" xfId="24">
      <alignment horizontal="center" vertical="center"/>
    </xf>
    <xf numFmtId="0" fontId="14" fillId="0" borderId="2" applyAlignment="1" pivotButton="0" quotePrefix="0" xfId="24">
      <alignment horizontal="center" vertical="center" wrapText="1"/>
    </xf>
    <xf numFmtId="0" fontId="7" fillId="0" borderId="84" applyAlignment="1" pivotButton="0" quotePrefix="0" xfId="24">
      <alignment horizontal="center" vertical="center"/>
    </xf>
    <xf numFmtId="0" fontId="77" fillId="15" borderId="18" applyAlignment="1" pivotButton="0" quotePrefix="0" xfId="24">
      <alignment vertical="center"/>
    </xf>
    <xf numFmtId="0" fontId="7" fillId="15" borderId="2" applyAlignment="1" pivotButton="0" quotePrefix="0" xfId="24">
      <alignment horizontal="center" vertical="center"/>
    </xf>
    <xf numFmtId="0" fontId="7" fillId="15" borderId="2" applyAlignment="1" pivotButton="0" quotePrefix="0" xfId="24">
      <alignment horizontal="center" vertical="center" wrapText="1"/>
    </xf>
    <xf numFmtId="0" fontId="7" fillId="15" borderId="2" applyAlignment="1" pivotButton="0" quotePrefix="0" xfId="24">
      <alignment horizontal="left"/>
    </xf>
    <xf numFmtId="185" fontId="7" fillId="15" borderId="2" applyAlignment="1" pivotButton="0" quotePrefix="0" xfId="24">
      <alignment horizontal="left" wrapText="1"/>
    </xf>
    <xf numFmtId="164" fontId="7" fillId="15" borderId="2" applyAlignment="1" pivotButton="0" quotePrefix="0" xfId="24">
      <alignment horizontal="left" wrapText="1"/>
    </xf>
    <xf numFmtId="0" fontId="7" fillId="15" borderId="2" applyAlignment="1" pivotButton="0" quotePrefix="0" xfId="24">
      <alignment horizontal="left" wrapText="1"/>
    </xf>
    <xf numFmtId="49" fontId="7" fillId="15" borderId="2" applyAlignment="1" pivotButton="0" quotePrefix="0" xfId="24">
      <alignment horizontal="left"/>
    </xf>
    <xf numFmtId="4" fontId="7" fillId="0" borderId="2" applyAlignment="1" pivotButton="0" quotePrefix="0" xfId="24">
      <alignment horizontal="left" vertical="center"/>
    </xf>
    <xf numFmtId="167" fontId="7" fillId="15" borderId="2" applyAlignment="1" pivotButton="0" quotePrefix="0" xfId="24">
      <alignment horizontal="left" vertical="center"/>
    </xf>
    <xf numFmtId="0" fontId="7" fillId="0" borderId="2" applyAlignment="1" pivotButton="0" quotePrefix="0" xfId="24">
      <alignment horizontal="left"/>
    </xf>
    <xf numFmtId="3" fontId="7" fillId="0" borderId="2" applyAlignment="1" pivotButton="0" quotePrefix="0" xfId="24">
      <alignment horizontal="left" vertical="center"/>
    </xf>
    <xf numFmtId="0" fontId="7" fillId="0" borderId="2" applyAlignment="1" pivotButton="0" quotePrefix="0" xfId="24">
      <alignment horizontal="left" vertical="center"/>
    </xf>
    <xf numFmtId="0" fontId="7" fillId="15" borderId="2" applyAlignment="1" pivotButton="0" quotePrefix="0" xfId="24">
      <alignment horizontal="left" vertical="center"/>
    </xf>
    <xf numFmtId="0" fontId="7" fillId="0" borderId="2" applyAlignment="1" pivotButton="0" quotePrefix="0" xfId="24">
      <alignment horizontal="left" vertical="center" wrapText="1"/>
    </xf>
    <xf numFmtId="0" fontId="7" fillId="0" borderId="2" applyAlignment="1" pivotButton="0" quotePrefix="0" xfId="24">
      <alignment horizontal="left" wrapText="1"/>
    </xf>
    <xf numFmtId="49" fontId="77" fillId="15" borderId="18" pivotButton="0" quotePrefix="0" xfId="24"/>
    <xf numFmtId="167" fontId="7" fillId="15" borderId="84" applyAlignment="1" pivotButton="0" quotePrefix="0" xfId="24">
      <alignment vertical="center"/>
    </xf>
    <xf numFmtId="0" fontId="13" fillId="0" borderId="122" applyAlignment="1" pivotButton="0" quotePrefix="0" xfId="24">
      <alignment horizontal="center" vertical="center"/>
    </xf>
    <xf numFmtId="0" fontId="33" fillId="0" borderId="41" applyAlignment="1" pivotButton="0" quotePrefix="0" xfId="24">
      <alignment vertical="center" wrapText="1"/>
    </xf>
    <xf numFmtId="0" fontId="29" fillId="0" borderId="41" applyAlignment="1" pivotButton="0" quotePrefix="0" xfId="24">
      <alignment horizontal="center" vertical="center"/>
    </xf>
    <xf numFmtId="0" fontId="62" fillId="0" borderId="41" applyAlignment="1" pivotButton="0" quotePrefix="0" xfId="24">
      <alignment horizontal="center" vertical="center"/>
    </xf>
    <xf numFmtId="4" fontId="62" fillId="0" borderId="41" applyAlignment="1" pivotButton="0" quotePrefix="0" xfId="24">
      <alignment horizontal="center" vertical="center" wrapText="1"/>
    </xf>
    <xf numFmtId="4" fontId="15" fillId="0" borderId="41" applyAlignment="1" pivotButton="0" quotePrefix="0" xfId="24">
      <alignment horizontal="center" vertical="center" wrapText="1"/>
    </xf>
    <xf numFmtId="0" fontId="14" fillId="0" borderId="41" applyAlignment="1" pivotButton="0" quotePrefix="0" xfId="24">
      <alignment horizontal="center" vertical="center" wrapText="1"/>
    </xf>
    <xf numFmtId="0" fontId="15" fillId="0" borderId="41" applyAlignment="1" pivotButton="0" quotePrefix="0" xfId="24">
      <alignment horizontal="center" vertical="center" wrapText="1"/>
    </xf>
    <xf numFmtId="173" fontId="14" fillId="0" borderId="123" applyAlignment="1" pivotButton="0" quotePrefix="0" xfId="24">
      <alignment horizontal="center" vertical="center" wrapText="1"/>
    </xf>
    <xf numFmtId="0" fontId="8" fillId="0" borderId="163" applyAlignment="1" pivotButton="0" quotePrefix="0" xfId="24">
      <alignment horizontal="center" vertical="center"/>
    </xf>
    <xf numFmtId="16" fontId="7" fillId="0" borderId="118" applyAlignment="1" pivotButton="0" quotePrefix="0" xfId="24">
      <alignment horizontal="center" vertical="center" wrapText="1"/>
    </xf>
    <xf numFmtId="0" fontId="7" fillId="0" borderId="118" applyAlignment="1" pivotButton="0" quotePrefix="0" xfId="24">
      <alignment horizontal="center" vertical="center" wrapText="1"/>
    </xf>
    <xf numFmtId="4" fontId="7" fillId="0" borderId="118" applyAlignment="1" pivotButton="0" quotePrefix="0" xfId="24">
      <alignment horizontal="center" vertical="center" wrapText="1"/>
    </xf>
    <xf numFmtId="4" fontId="7" fillId="0" borderId="68" applyAlignment="1" pivotButton="0" quotePrefix="0" xfId="24">
      <alignment horizontal="center" vertical="center" wrapText="1"/>
    </xf>
    <xf numFmtId="0" fontId="6" fillId="0" borderId="0" pivotButton="0" quotePrefix="0" xfId="0"/>
    <xf numFmtId="0" fontId="27" fillId="0" borderId="18" pivotButton="0" quotePrefix="0" xfId="24"/>
    <xf numFmtId="0" fontId="66" fillId="0" borderId="18" pivotButton="0" quotePrefix="0" xfId="24"/>
    <xf numFmtId="0" fontId="78" fillId="0" borderId="18" pivotButton="0" quotePrefix="0" xfId="0"/>
    <xf numFmtId="0" fontId="79" fillId="0" borderId="35" pivotButton="0" quotePrefix="0" xfId="0"/>
    <xf numFmtId="0" fontId="6" fillId="0" borderId="18" pivotButton="0" quotePrefix="0" xfId="0"/>
    <xf numFmtId="0" fontId="6" fillId="0" borderId="35" pivotButton="0" quotePrefix="0" xfId="0"/>
    <xf numFmtId="0" fontId="10" fillId="2" borderId="60" applyAlignment="1" pivotButton="0" quotePrefix="0" xfId="24">
      <alignment horizontal="center" vertical="center" wrapText="1"/>
    </xf>
    <xf numFmtId="185" fontId="7" fillId="15" borderId="2" applyAlignment="1" pivotButton="0" quotePrefix="0" xfId="24">
      <alignment vertical="center" wrapText="1"/>
    </xf>
    <xf numFmtId="164" fontId="7" fillId="15" borderId="2" applyAlignment="1" pivotButton="0" quotePrefix="0" xfId="24">
      <alignment vertical="center" wrapText="1"/>
    </xf>
    <xf numFmtId="16" fontId="7" fillId="15" borderId="84" applyAlignment="1" pivotButton="0" quotePrefix="0" xfId="24">
      <alignment vertical="center"/>
    </xf>
    <xf numFmtId="0" fontId="7" fillId="15" borderId="84" applyAlignment="1" pivotButton="0" quotePrefix="0" xfId="24">
      <alignment vertical="center" wrapText="1"/>
    </xf>
    <xf numFmtId="4" fontId="7" fillId="15" borderId="84" applyAlignment="1" pivotButton="0" quotePrefix="0" xfId="24">
      <alignment vertical="center" wrapText="1"/>
    </xf>
    <xf numFmtId="0" fontId="14" fillId="0" borderId="2" applyAlignment="1" pivotButton="0" quotePrefix="0" xfId="24">
      <alignment vertical="center" wrapText="1"/>
    </xf>
    <xf numFmtId="0" fontId="7" fillId="0" borderId="84" applyAlignment="1" pivotButton="0" quotePrefix="0" xfId="24">
      <alignment vertical="center"/>
    </xf>
    <xf numFmtId="0" fontId="7" fillId="0" borderId="2" applyAlignment="1" pivotButton="0" quotePrefix="0" xfId="24">
      <alignment vertical="center"/>
    </xf>
    <xf numFmtId="0" fontId="13" fillId="0" borderId="163" applyAlignment="1" pivotButton="0" quotePrefix="0" xfId="24">
      <alignment horizontal="center" vertical="center"/>
    </xf>
    <xf numFmtId="0" fontId="33" fillId="0" borderId="118" applyAlignment="1" pivotButton="0" quotePrefix="0" xfId="24">
      <alignment vertical="center" wrapText="1"/>
    </xf>
    <xf numFmtId="0" fontId="29" fillId="0" borderId="118" applyAlignment="1" pivotButton="0" quotePrefix="0" xfId="24">
      <alignment horizontal="center" vertical="center"/>
    </xf>
    <xf numFmtId="0" fontId="62" fillId="0" borderId="118" applyAlignment="1" pivotButton="0" quotePrefix="0" xfId="24">
      <alignment horizontal="center" vertical="center"/>
    </xf>
    <xf numFmtId="4" fontId="62" fillId="0" borderId="118" applyAlignment="1" pivotButton="0" quotePrefix="0" xfId="24">
      <alignment horizontal="center" vertical="center" wrapText="1"/>
    </xf>
    <xf numFmtId="4" fontId="15" fillId="0" borderId="118" applyAlignment="1" pivotButton="0" quotePrefix="0" xfId="24">
      <alignment horizontal="center" vertical="center" wrapText="1"/>
    </xf>
    <xf numFmtId="0" fontId="14" fillId="0" borderId="118" applyAlignment="1" pivotButton="0" quotePrefix="0" xfId="24">
      <alignment horizontal="center" vertical="center" wrapText="1"/>
    </xf>
    <xf numFmtId="0" fontId="15" fillId="0" borderId="118" applyAlignment="1" pivotButton="0" quotePrefix="0" xfId="24">
      <alignment horizontal="center" vertical="center" wrapText="1"/>
    </xf>
    <xf numFmtId="173" fontId="14" fillId="0" borderId="68" applyAlignment="1" pivotButton="0" quotePrefix="0" xfId="24">
      <alignment horizontal="center" vertical="center" wrapText="1"/>
    </xf>
    <xf numFmtId="0" fontId="62" fillId="0" borderId="65" applyAlignment="1" pivotButton="0" quotePrefix="0" xfId="0">
      <alignment horizontal="center" vertical="center" wrapText="1"/>
    </xf>
    <xf numFmtId="4" fontId="62" fillId="0" borderId="65" applyAlignment="1" pivotButton="0" quotePrefix="0" xfId="0">
      <alignment horizontal="center" vertical="center" wrapText="1"/>
    </xf>
    <xf numFmtId="0" fontId="13" fillId="0" borderId="124" applyAlignment="1" pivotButton="0" quotePrefix="0" xfId="24">
      <alignment horizontal="center" vertical="center"/>
    </xf>
    <xf numFmtId="0" fontId="65" fillId="0" borderId="126" applyAlignment="1" pivotButton="0" quotePrefix="0" xfId="24">
      <alignment vertical="center" wrapText="1"/>
    </xf>
    <xf numFmtId="0" fontId="39" fillId="0" borderId="41" applyAlignment="1" pivotButton="0" quotePrefix="0" xfId="0">
      <alignment horizontal="center" vertical="center" wrapText="1"/>
    </xf>
    <xf numFmtId="0" fontId="10" fillId="2" borderId="57" applyAlignment="1" pivotButton="0" quotePrefix="0" xfId="1">
      <alignment vertical="center"/>
    </xf>
    <xf numFmtId="0" fontId="10" fillId="2" borderId="19" applyAlignment="1" pivotButton="0" quotePrefix="0" xfId="1">
      <alignment vertical="center"/>
    </xf>
    <xf numFmtId="0" fontId="10" fillId="2" borderId="20" applyAlignment="1" pivotButton="0" quotePrefix="0" xfId="1">
      <alignment vertical="center"/>
    </xf>
    <xf numFmtId="0" fontId="35" fillId="0" borderId="122" applyAlignment="1" pivotButton="0" quotePrefix="0" xfId="1">
      <alignment horizontal="left" vertical="center" wrapText="1"/>
    </xf>
    <xf numFmtId="170" fontId="35" fillId="0" borderId="123" applyAlignment="1" pivotButton="0" quotePrefix="0" xfId="1">
      <alignment vertical="center"/>
    </xf>
    <xf numFmtId="0" fontId="35" fillId="0" borderId="163" applyAlignment="1" pivotButton="0" quotePrefix="0" xfId="1">
      <alignment horizontal="left" vertical="center" wrapText="1"/>
    </xf>
    <xf numFmtId="16" fontId="35" fillId="0" borderId="118" applyAlignment="1" pivotButton="0" quotePrefix="0" xfId="1">
      <alignment horizontal="center" vertical="center" wrapText="1"/>
    </xf>
    <xf numFmtId="0" fontId="35" fillId="0" borderId="118" applyAlignment="1" pivotButton="0" quotePrefix="0" xfId="1">
      <alignment horizontal="center" vertical="center" wrapText="1"/>
    </xf>
    <xf numFmtId="0" fontId="39" fillId="0" borderId="65" applyAlignment="1" pivotButton="0" quotePrefix="0" xfId="0">
      <alignment horizontal="center" vertical="center" wrapText="1"/>
    </xf>
    <xf numFmtId="167" fontId="35" fillId="0" borderId="118" applyAlignment="1" pivotButton="0" quotePrefix="0" xfId="1">
      <alignment vertical="center"/>
    </xf>
    <xf numFmtId="170" fontId="35" fillId="0" borderId="68" applyAlignment="1" pivotButton="0" quotePrefix="0" xfId="1">
      <alignment vertical="center"/>
    </xf>
    <xf numFmtId="0" fontId="14" fillId="0" borderId="30" applyAlignment="1" pivotButton="0" quotePrefix="0" xfId="1">
      <alignment horizontal="left" vertical="top" wrapText="1"/>
    </xf>
    <xf numFmtId="0" fontId="14" fillId="0" borderId="35" applyAlignment="1" pivotButton="0" quotePrefix="0" xfId="1">
      <alignment horizontal="left" vertical="top" wrapText="1"/>
    </xf>
    <xf numFmtId="0" fontId="11" fillId="6" borderId="18" applyAlignment="1" pivotButton="0" quotePrefix="0" xfId="1">
      <alignment horizontal="left" vertical="top" wrapText="1"/>
    </xf>
    <xf numFmtId="0" fontId="10" fillId="0" borderId="30" applyAlignment="1" pivotButton="0" quotePrefix="0" xfId="1">
      <alignment horizontal="left" vertical="top" wrapText="1"/>
    </xf>
    <xf numFmtId="0" fontId="26" fillId="0" borderId="35" pivotButton="0" quotePrefix="0" xfId="1"/>
    <xf numFmtId="0" fontId="14" fillId="0" borderId="36" applyAlignment="1" pivotButton="0" quotePrefix="0" xfId="1">
      <alignment horizontal="left" vertical="top" wrapText="1"/>
    </xf>
    <xf numFmtId="0" fontId="14" fillId="0" borderId="37" applyAlignment="1" pivotButton="0" quotePrefix="0" xfId="1">
      <alignment horizontal="left" vertical="top" wrapText="1"/>
    </xf>
    <xf numFmtId="0" fontId="14" fillId="0" borderId="38" applyAlignment="1" pivotButton="0" quotePrefix="0" xfId="1">
      <alignment horizontal="left" vertical="top" wrapText="1"/>
    </xf>
    <xf numFmtId="0" fontId="9" fillId="2" borderId="21" pivotButton="0" quotePrefix="0" xfId="24"/>
    <xf numFmtId="0" fontId="9" fillId="2" borderId="22" pivotButton="0" quotePrefix="0" xfId="24"/>
    <xf numFmtId="0" fontId="9" fillId="2" borderId="23" pivotButton="0" quotePrefix="0" xfId="24"/>
    <xf numFmtId="0" fontId="9" fillId="2" borderId="21" applyAlignment="1" pivotButton="0" quotePrefix="0" xfId="15">
      <alignment horizontal="left" vertical="center"/>
    </xf>
    <xf numFmtId="0" fontId="9" fillId="2" borderId="22" applyAlignment="1" pivotButton="0" quotePrefix="0" xfId="15">
      <alignment vertical="center"/>
    </xf>
    <xf numFmtId="190" fontId="9" fillId="2" borderId="22" applyAlignment="1" pivotButton="0" quotePrefix="0" xfId="15">
      <alignment vertical="center"/>
    </xf>
    <xf numFmtId="0" fontId="9" fillId="2" borderId="22" applyAlignment="1" pivotButton="0" quotePrefix="0" xfId="15">
      <alignment horizontal="right" vertical="center"/>
    </xf>
    <xf numFmtId="190" fontId="9" fillId="2" borderId="23" applyAlignment="1" pivotButton="0" quotePrefix="0" xfId="15">
      <alignment vertical="center"/>
    </xf>
    <xf numFmtId="168" fontId="2" fillId="2" borderId="32" applyAlignment="1" pivotButton="0" quotePrefix="0" xfId="1">
      <alignment horizontal="left"/>
    </xf>
    <xf numFmtId="191" fontId="2" fillId="2" borderId="32" applyAlignment="1" pivotButton="0" quotePrefix="0" xfId="1">
      <alignment horizontal="left"/>
    </xf>
    <xf numFmtId="0" fontId="42" fillId="19" borderId="179" applyAlignment="1" pivotButton="0" quotePrefix="0" xfId="3">
      <alignment vertical="center"/>
    </xf>
    <xf numFmtId="0" fontId="77" fillId="19" borderId="180" applyAlignment="1" pivotButton="0" quotePrefix="0" xfId="3">
      <alignment vertical="center"/>
    </xf>
    <xf numFmtId="0" fontId="45" fillId="19" borderId="180" applyAlignment="1" pivotButton="0" quotePrefix="0" xfId="3">
      <alignment vertical="center"/>
    </xf>
    <xf numFmtId="0" fontId="27" fillId="19" borderId="180" applyAlignment="1" pivotButton="0" quotePrefix="0" xfId="3">
      <alignment vertical="center"/>
    </xf>
    <xf numFmtId="0" fontId="30" fillId="19" borderId="180" applyAlignment="1" pivotButton="0" quotePrefix="0" xfId="3">
      <alignment vertical="center"/>
    </xf>
    <xf numFmtId="0" fontId="80" fillId="19" borderId="180" applyAlignment="1" pivotButton="0" quotePrefix="0" xfId="3">
      <alignment vertical="center"/>
    </xf>
    <xf numFmtId="0" fontId="30" fillId="19" borderId="181" applyAlignment="1" pivotButton="0" quotePrefix="0" xfId="3">
      <alignment vertical="center"/>
    </xf>
    <xf numFmtId="0" fontId="3" fillId="7" borderId="18" pivotButton="0" quotePrefix="0" xfId="3"/>
    <xf numFmtId="0" fontId="77" fillId="7" borderId="18" pivotButton="0" quotePrefix="0" xfId="3"/>
    <xf numFmtId="0" fontId="49" fillId="19" borderId="182" applyAlignment="1" pivotButton="0" quotePrefix="0" xfId="3">
      <alignment horizontal="center" vertical="center"/>
    </xf>
    <xf numFmtId="0" fontId="49" fillId="19" borderId="183" applyAlignment="1" pivotButton="0" quotePrefix="0" xfId="3">
      <alignment horizontal="center" vertical="center" wrapText="1"/>
    </xf>
    <xf numFmtId="0" fontId="49" fillId="19" borderId="183" applyAlignment="1" pivotButton="0" quotePrefix="0" xfId="3">
      <alignment horizontal="center" vertical="center"/>
    </xf>
    <xf numFmtId="0" fontId="49" fillId="19" borderId="184" applyAlignment="1" pivotButton="0" quotePrefix="0" xfId="3">
      <alignment horizontal="center" vertical="center"/>
    </xf>
    <xf numFmtId="0" fontId="52" fillId="0" borderId="41" applyAlignment="1" pivotButton="0" quotePrefix="0" xfId="3">
      <alignment horizontal="left" vertical="center" wrapText="1"/>
    </xf>
    <xf numFmtId="0" fontId="53" fillId="0" borderId="41" applyAlignment="1" pivotButton="0" quotePrefix="0" xfId="3">
      <alignment horizontal="center" vertical="center" wrapText="1"/>
    </xf>
    <xf numFmtId="3" fontId="53" fillId="0" borderId="41" applyAlignment="1" pivotButton="0" quotePrefix="0" xfId="3">
      <alignment horizontal="center" vertical="center" wrapText="1"/>
    </xf>
    <xf numFmtId="3" fontId="49" fillId="0" borderId="41" applyAlignment="1" pivotButton="0" quotePrefix="0" xfId="3">
      <alignment horizontal="center" vertical="center" wrapText="1"/>
    </xf>
    <xf numFmtId="14" fontId="53" fillId="0" borderId="41" applyAlignment="1" pivotButton="0" quotePrefix="0" xfId="3">
      <alignment horizontal="center" vertical="center"/>
    </xf>
    <xf numFmtId="2" fontId="49" fillId="0" borderId="41" applyAlignment="1" pivotButton="0" quotePrefix="0" xfId="3">
      <alignment horizontal="center" vertical="center" wrapText="1"/>
    </xf>
    <xf numFmtId="0" fontId="82" fillId="0" borderId="41" applyAlignment="1" pivotButton="0" quotePrefix="0" xfId="3">
      <alignment horizontal="center" vertical="center" wrapText="1"/>
    </xf>
    <xf numFmtId="0" fontId="54" fillId="20" borderId="41" applyAlignment="1" pivotButton="0" quotePrefix="0" xfId="3">
      <alignment horizontal="left" vertical="center" wrapText="1"/>
    </xf>
    <xf numFmtId="0" fontId="50" fillId="0" borderId="24" applyAlignment="1" pivotButton="0" quotePrefix="0" xfId="3">
      <alignment horizontal="left" vertical="center" wrapText="1"/>
    </xf>
    <xf numFmtId="3" fontId="27" fillId="0" borderId="24" applyAlignment="1" pivotButton="0" quotePrefix="0" xfId="3">
      <alignment horizontal="center" vertical="center" wrapText="1"/>
    </xf>
    <xf numFmtId="3" fontId="49" fillId="0" borderId="24" applyAlignment="1" pivotButton="0" quotePrefix="0" xfId="3">
      <alignment horizontal="center" vertical="center" wrapText="1"/>
    </xf>
    <xf numFmtId="2" fontId="49" fillId="0" borderId="24" applyAlignment="1" pivotButton="0" quotePrefix="0" xfId="3">
      <alignment horizontal="center" vertical="center" wrapText="1"/>
    </xf>
    <xf numFmtId="0" fontId="29" fillId="0" borderId="24" applyAlignment="1" pivotButton="0" quotePrefix="0" xfId="3">
      <alignment horizontal="center" vertical="center" wrapText="1"/>
    </xf>
    <xf numFmtId="0" fontId="83" fillId="20" borderId="24" applyAlignment="1" pivotButton="0" quotePrefix="0" xfId="3">
      <alignment horizontal="left" vertical="center" wrapText="1"/>
    </xf>
    <xf numFmtId="0" fontId="84" fillId="0" borderId="24" applyAlignment="1" pivotButton="0" quotePrefix="0" xfId="28">
      <alignment horizontal="center" vertical="center" wrapText="1"/>
    </xf>
    <xf numFmtId="0" fontId="29" fillId="20" borderId="24" applyAlignment="1" pivotButton="0" quotePrefix="0" xfId="3">
      <alignment horizontal="left" vertical="center" wrapText="1"/>
    </xf>
    <xf numFmtId="0" fontId="50" fillId="0" borderId="73" applyAlignment="1" pivotButton="0" quotePrefix="0" xfId="3">
      <alignment horizontal="left" vertical="center" wrapText="1"/>
    </xf>
    <xf numFmtId="3" fontId="27" fillId="0" borderId="73" applyAlignment="1" pivotButton="0" quotePrefix="0" xfId="3">
      <alignment horizontal="center" vertical="center" wrapText="1"/>
    </xf>
    <xf numFmtId="3" fontId="49" fillId="0" borderId="73" applyAlignment="1" pivotButton="0" quotePrefix="0" xfId="3">
      <alignment horizontal="center" vertical="center" wrapText="1"/>
    </xf>
    <xf numFmtId="2" fontId="49" fillId="0" borderId="73" applyAlignment="1" pivotButton="0" quotePrefix="0" xfId="3">
      <alignment horizontal="center" vertical="center" wrapText="1"/>
    </xf>
    <xf numFmtId="0" fontId="84" fillId="0" borderId="73" applyAlignment="1" pivotButton="0" quotePrefix="0" xfId="28">
      <alignment horizontal="center" vertical="center" wrapText="1"/>
    </xf>
    <xf numFmtId="0" fontId="29" fillId="20" borderId="73" applyAlignment="1" pivotButton="0" quotePrefix="0" xfId="3">
      <alignment horizontal="left" vertical="center" wrapText="1"/>
    </xf>
    <xf numFmtId="0" fontId="50" fillId="0" borderId="185" applyAlignment="1" pivotButton="0" quotePrefix="0" xfId="3">
      <alignment horizontal="left" vertical="center" wrapText="1"/>
    </xf>
    <xf numFmtId="3" fontId="27" fillId="0" borderId="185" applyAlignment="1" pivotButton="0" quotePrefix="0" xfId="3">
      <alignment horizontal="center" vertical="center" wrapText="1"/>
    </xf>
    <xf numFmtId="2" fontId="27" fillId="0" borderId="185" applyAlignment="1" pivotButton="0" quotePrefix="0" xfId="3">
      <alignment horizontal="center" vertical="center" wrapText="1"/>
    </xf>
    <xf numFmtId="0" fontId="84" fillId="0" borderId="185" applyAlignment="1" pivotButton="0" quotePrefix="0" xfId="28">
      <alignment horizontal="center" vertical="center" wrapText="1"/>
    </xf>
    <xf numFmtId="0" fontId="32" fillId="0" borderId="185" applyAlignment="1" pivotButton="0" quotePrefix="0" xfId="29">
      <alignment horizontal="center" vertical="center" wrapText="1"/>
    </xf>
    <xf numFmtId="0" fontId="50" fillId="0" borderId="90" applyAlignment="1" pivotButton="0" quotePrefix="0" xfId="3">
      <alignment horizontal="left" vertical="center" wrapText="1"/>
    </xf>
    <xf numFmtId="3" fontId="27" fillId="0" borderId="90" applyAlignment="1" pivotButton="0" quotePrefix="0" xfId="3">
      <alignment horizontal="center" vertical="center" wrapText="1"/>
    </xf>
    <xf numFmtId="2" fontId="27" fillId="0" borderId="90" applyAlignment="1" pivotButton="0" quotePrefix="0" xfId="3">
      <alignment horizontal="center" vertical="center" wrapText="1"/>
    </xf>
    <xf numFmtId="0" fontId="84" fillId="0" borderId="90" applyAlignment="1" pivotButton="0" quotePrefix="0" xfId="28">
      <alignment horizontal="center" vertical="center" wrapText="1"/>
    </xf>
    <xf numFmtId="0" fontId="50" fillId="0" borderId="41" applyAlignment="1" pivotButton="0" quotePrefix="0" xfId="3">
      <alignment horizontal="left" vertical="center" wrapText="1"/>
    </xf>
    <xf numFmtId="3" fontId="27" fillId="0" borderId="41" applyAlignment="1" pivotButton="0" quotePrefix="0" xfId="3">
      <alignment horizontal="center" vertical="center" wrapText="1"/>
    </xf>
    <xf numFmtId="2" fontId="27" fillId="0" borderId="41" applyAlignment="1" pivotButton="0" quotePrefix="0" xfId="3">
      <alignment horizontal="center" vertical="center" wrapText="1"/>
    </xf>
    <xf numFmtId="0" fontId="84" fillId="0" borderId="41" applyAlignment="1" pivotButton="0" quotePrefix="0" xfId="28">
      <alignment horizontal="center" vertical="center" wrapText="1"/>
    </xf>
    <xf numFmtId="2" fontId="27" fillId="0" borderId="73" applyAlignment="1" pivotButton="0" quotePrefix="0" xfId="3">
      <alignment horizontal="center" vertical="center" wrapText="1"/>
    </xf>
    <xf numFmtId="2" fontId="27" fillId="0" borderId="24" applyAlignment="1" pivotButton="0" quotePrefix="0" xfId="3">
      <alignment horizontal="center" vertical="center" wrapText="1"/>
    </xf>
    <xf numFmtId="0" fontId="50" fillId="0" borderId="59" applyAlignment="1" pivotButton="0" quotePrefix="0" xfId="3">
      <alignment horizontal="left" vertical="center" wrapText="1"/>
    </xf>
    <xf numFmtId="3" fontId="27" fillId="0" borderId="60" applyAlignment="1" pivotButton="0" quotePrefix="0" xfId="3">
      <alignment horizontal="center" vertical="center" wrapText="1"/>
    </xf>
    <xf numFmtId="2" fontId="27" fillId="0" borderId="60" applyAlignment="1" pivotButton="0" quotePrefix="0" xfId="3">
      <alignment horizontal="center" vertical="center" wrapText="1"/>
    </xf>
    <xf numFmtId="0" fontId="84" fillId="0" borderId="60" applyAlignment="1" pivotButton="0" quotePrefix="0" xfId="28">
      <alignment horizontal="center" vertical="center" wrapText="1"/>
    </xf>
    <xf numFmtId="0" fontId="29" fillId="20" borderId="61" applyAlignment="1" pivotButton="0" quotePrefix="0" xfId="3">
      <alignment horizontal="left" vertical="center" wrapText="1"/>
    </xf>
    <xf numFmtId="0" fontId="50" fillId="0" borderId="62" applyAlignment="1" pivotButton="0" quotePrefix="0" xfId="3">
      <alignment horizontal="left" vertical="center" wrapText="1"/>
    </xf>
    <xf numFmtId="0" fontId="29" fillId="20" borderId="63" applyAlignment="1" pivotButton="0" quotePrefix="0" xfId="3">
      <alignment horizontal="left" vertical="center" wrapText="1"/>
    </xf>
    <xf numFmtId="0" fontId="29" fillId="20" borderId="74" applyAlignment="1" pivotButton="0" quotePrefix="0" xfId="3">
      <alignment horizontal="left" vertical="center" wrapText="1"/>
    </xf>
    <xf numFmtId="0" fontId="50" fillId="0" borderId="72" applyAlignment="1" pivotButton="0" quotePrefix="0" xfId="3">
      <alignment horizontal="left" vertical="center" wrapText="1"/>
    </xf>
    <xf numFmtId="0" fontId="34" fillId="0" borderId="24" applyAlignment="1" pivotButton="0" quotePrefix="0" xfId="28">
      <alignment horizontal="center" vertical="center" wrapText="1"/>
    </xf>
    <xf numFmtId="0" fontId="86" fillId="0" borderId="18" applyAlignment="1" pivotButton="0" quotePrefix="0" xfId="30">
      <alignment vertical="center" wrapText="1"/>
    </xf>
    <xf numFmtId="0" fontId="29" fillId="20" borderId="24" applyAlignment="1" pivotButton="0" quotePrefix="0" xfId="3">
      <alignment vertical="top" wrapText="1"/>
    </xf>
    <xf numFmtId="0" fontId="52" fillId="0" borderId="24" applyAlignment="1" pivotButton="0" quotePrefix="0" xfId="3">
      <alignment horizontal="left" vertical="center" wrapText="1"/>
    </xf>
    <xf numFmtId="0" fontId="53" fillId="0" borderId="24" applyAlignment="1" pivotButton="0" quotePrefix="0" xfId="3">
      <alignment horizontal="center" vertical="center" wrapText="1"/>
    </xf>
    <xf numFmtId="3" fontId="53" fillId="0" borderId="24" applyAlignment="1" pivotButton="0" quotePrefix="0" xfId="3">
      <alignment horizontal="center" vertical="center" wrapText="1"/>
    </xf>
    <xf numFmtId="14" fontId="53" fillId="0" borderId="24" applyAlignment="1" pivotButton="0" quotePrefix="0" xfId="3">
      <alignment horizontal="center" vertical="center"/>
    </xf>
    <xf numFmtId="0" fontId="82" fillId="0" borderId="24" applyAlignment="1" pivotButton="0" quotePrefix="0" xfId="3">
      <alignment horizontal="center" vertical="center" wrapText="1"/>
    </xf>
    <xf numFmtId="0" fontId="54" fillId="20" borderId="24" applyAlignment="1" pivotButton="0" quotePrefix="0" xfId="3">
      <alignment horizontal="left" vertical="center" wrapText="1"/>
    </xf>
    <xf numFmtId="0" fontId="31" fillId="0" borderId="24" applyAlignment="1" pivotButton="0" quotePrefix="0" xfId="31">
      <alignment horizontal="center" vertical="center" wrapText="1"/>
    </xf>
    <xf numFmtId="4" fontId="53" fillId="0" borderId="24" applyAlignment="1" pivotButton="0" quotePrefix="0" xfId="3">
      <alignment horizontal="center" vertical="center" wrapText="1"/>
    </xf>
    <xf numFmtId="192" fontId="30" fillId="7" borderId="18" pivotButton="0" quotePrefix="0" xfId="3"/>
    <xf numFmtId="1" fontId="53" fillId="0" borderId="24" applyAlignment="1" pivotButton="0" quotePrefix="0" xfId="3">
      <alignment horizontal="center" vertical="center" wrapText="1"/>
    </xf>
    <xf numFmtId="4" fontId="84" fillId="0" borderId="24" applyAlignment="1" pivotButton="0" quotePrefix="0" xfId="28">
      <alignment horizontal="center" vertical="center" wrapText="1"/>
    </xf>
    <xf numFmtId="0" fontId="54" fillId="20" borderId="24" applyAlignment="1" pivotButton="0" quotePrefix="0" xfId="3">
      <alignment horizontal="left" vertical="top" wrapText="1"/>
    </xf>
    <xf numFmtId="3" fontId="46" fillId="0" borderId="18" applyAlignment="1" pivotButton="0" quotePrefix="0" xfId="32">
      <alignment horizontal="right" vertical="center"/>
    </xf>
    <xf numFmtId="43" fontId="46" fillId="0" borderId="18" applyAlignment="1" pivotButton="0" quotePrefix="0" xfId="32">
      <alignment horizontal="center" vertical="center"/>
    </xf>
    <xf numFmtId="193" fontId="46" fillId="0" borderId="18" applyAlignment="1" pivotButton="0" quotePrefix="0" xfId="32">
      <alignment horizontal="center" vertical="center"/>
    </xf>
    <xf numFmtId="43" fontId="46" fillId="7" borderId="18" applyAlignment="1" pivotButton="0" quotePrefix="0" xfId="32">
      <alignment horizontal="center" vertical="center"/>
    </xf>
    <xf numFmtId="194" fontId="46" fillId="7" borderId="18" applyAlignment="1" pivotButton="0" quotePrefix="0" xfId="32">
      <alignment horizontal="center" vertical="center"/>
    </xf>
    <xf numFmtId="194" fontId="3" fillId="7" borderId="18" applyAlignment="1" pivotButton="0" quotePrefix="0" xfId="32">
      <alignment horizontal="center" vertical="center"/>
    </xf>
    <xf numFmtId="2" fontId="83" fillId="7" borderId="18" applyAlignment="1" pivotButton="0" quotePrefix="0" xfId="3">
      <alignment horizontal="left" wrapText="1"/>
    </xf>
    <xf numFmtId="43" fontId="3" fillId="7" borderId="18" applyAlignment="1" pivotButton="0" quotePrefix="0" xfId="32">
      <alignment horizontal="center" vertical="center"/>
    </xf>
    <xf numFmtId="0" fontId="56" fillId="7" borderId="189" pivotButton="0" quotePrefix="0" xfId="3"/>
    <xf numFmtId="3" fontId="57" fillId="0" borderId="18" applyAlignment="1" pivotButton="0" quotePrefix="0" xfId="3">
      <alignment horizontal="center"/>
    </xf>
    <xf numFmtId="0" fontId="47" fillId="0" borderId="18" applyAlignment="1" pivotButton="0" quotePrefix="0" xfId="3">
      <alignment horizontal="center" vertical="center" wrapText="1"/>
    </xf>
    <xf numFmtId="9" fontId="51" fillId="0" borderId="190" applyAlignment="1" pivotButton="0" quotePrefix="0" xfId="3">
      <alignment horizontal="center" vertical="center" wrapText="1"/>
    </xf>
    <xf numFmtId="0" fontId="30" fillId="0" borderId="18" pivotButton="0" quotePrefix="0" xfId="3"/>
    <xf numFmtId="9" fontId="51" fillId="0" borderId="18" applyAlignment="1" pivotButton="0" quotePrefix="0" xfId="3">
      <alignment horizontal="center" vertical="center" wrapText="1"/>
    </xf>
    <xf numFmtId="2" fontId="87" fillId="7" borderId="18" applyAlignment="1" pivotButton="0" quotePrefix="0" xfId="3">
      <alignment horizontal="center"/>
    </xf>
    <xf numFmtId="2" fontId="87" fillId="0" borderId="190" applyAlignment="1" pivotButton="0" quotePrefix="0" xfId="3">
      <alignment horizontal="center" vertical="center" wrapText="1"/>
    </xf>
    <xf numFmtId="0" fontId="49" fillId="0" borderId="190" applyAlignment="1" pivotButton="0" quotePrefix="0" xfId="3">
      <alignment horizontal="center" vertical="center" wrapText="1"/>
    </xf>
    <xf numFmtId="0" fontId="56" fillId="9" borderId="189" pivotButton="0" quotePrefix="0" xfId="3"/>
    <xf numFmtId="0" fontId="30" fillId="9" borderId="18" pivotButton="0" quotePrefix="0" xfId="3"/>
    <xf numFmtId="165" fontId="47" fillId="9" borderId="18" applyAlignment="1" pivotButton="0" quotePrefix="0" xfId="3">
      <alignment horizontal="center"/>
    </xf>
    <xf numFmtId="0" fontId="46" fillId="9" borderId="18" applyAlignment="1" pivotButton="0" quotePrefix="0" xfId="3">
      <alignment horizontal="center"/>
    </xf>
    <xf numFmtId="4" fontId="47" fillId="9" borderId="18" applyAlignment="1" pivotButton="0" quotePrefix="0" xfId="3">
      <alignment horizontal="center"/>
    </xf>
    <xf numFmtId="0" fontId="46" fillId="9" borderId="190" pivotButton="0" quotePrefix="0" xfId="3"/>
    <xf numFmtId="0" fontId="46" fillId="0" borderId="18" pivotButton="0" quotePrefix="0" xfId="3"/>
    <xf numFmtId="0" fontId="56" fillId="12" borderId="189" pivotButton="0" quotePrefix="0" xfId="3"/>
    <xf numFmtId="0" fontId="30" fillId="12" borderId="18" pivotButton="0" quotePrefix="0" xfId="3"/>
    <xf numFmtId="165" fontId="47" fillId="12" borderId="18" applyAlignment="1" pivotButton="0" quotePrefix="0" xfId="3">
      <alignment horizontal="center"/>
    </xf>
    <xf numFmtId="0" fontId="46" fillId="12" borderId="18" applyAlignment="1" pivotButton="0" quotePrefix="0" xfId="3">
      <alignment horizontal="center"/>
    </xf>
    <xf numFmtId="4" fontId="47" fillId="12" borderId="18" applyAlignment="1" pivotButton="0" quotePrefix="0" xfId="3">
      <alignment horizontal="center"/>
    </xf>
    <xf numFmtId="0" fontId="46" fillId="12" borderId="190" pivotButton="0" quotePrefix="0" xfId="3"/>
    <xf numFmtId="0" fontId="56" fillId="0" borderId="18" pivotButton="0" quotePrefix="0" xfId="3"/>
    <xf numFmtId="0" fontId="56" fillId="0" borderId="189" pivotButton="0" quotePrefix="0" xfId="3"/>
    <xf numFmtId="165" fontId="47" fillId="0" borderId="18" applyAlignment="1" pivotButton="0" quotePrefix="0" xfId="3">
      <alignment horizontal="center"/>
    </xf>
    <xf numFmtId="0" fontId="46" fillId="0" borderId="18" applyAlignment="1" pivotButton="0" quotePrefix="0" xfId="3">
      <alignment horizontal="center"/>
    </xf>
    <xf numFmtId="4" fontId="47" fillId="0" borderId="18" applyAlignment="1" pivotButton="0" quotePrefix="0" xfId="3">
      <alignment horizontal="center"/>
    </xf>
    <xf numFmtId="0" fontId="46" fillId="0" borderId="190" pivotButton="0" quotePrefix="0" xfId="3"/>
    <xf numFmtId="0" fontId="56" fillId="10" borderId="189" pivotButton="0" quotePrefix="0" xfId="3"/>
    <xf numFmtId="0" fontId="30" fillId="10" borderId="18" pivotButton="0" quotePrefix="0" xfId="3"/>
    <xf numFmtId="165" fontId="47" fillId="10" borderId="18" applyAlignment="1" pivotButton="0" quotePrefix="0" xfId="3">
      <alignment horizontal="center"/>
    </xf>
    <xf numFmtId="0" fontId="46" fillId="10" borderId="18" applyAlignment="1" pivotButton="0" quotePrefix="0" xfId="3">
      <alignment horizontal="center"/>
    </xf>
    <xf numFmtId="4" fontId="47" fillId="10" borderId="18" applyAlignment="1" pivotButton="0" quotePrefix="0" xfId="3">
      <alignment horizontal="center"/>
    </xf>
    <xf numFmtId="0" fontId="46" fillId="10" borderId="190" pivotButton="0" quotePrefix="0" xfId="3"/>
    <xf numFmtId="0" fontId="56" fillId="11" borderId="189" pivotButton="0" quotePrefix="0" xfId="3"/>
    <xf numFmtId="0" fontId="30" fillId="11" borderId="18" pivotButton="0" quotePrefix="0" xfId="3"/>
    <xf numFmtId="165" fontId="47" fillId="11" borderId="18" applyAlignment="1" pivotButton="0" quotePrefix="0" xfId="3">
      <alignment horizontal="center"/>
    </xf>
    <xf numFmtId="0" fontId="46" fillId="11" borderId="18" applyAlignment="1" pivotButton="0" quotePrefix="0" xfId="3">
      <alignment horizontal="center"/>
    </xf>
    <xf numFmtId="4" fontId="47" fillId="11" borderId="18" applyAlignment="1" pivotButton="0" quotePrefix="0" xfId="3">
      <alignment horizontal="center"/>
    </xf>
    <xf numFmtId="0" fontId="46" fillId="11" borderId="190" pivotButton="0" quotePrefix="0" xfId="3"/>
    <xf numFmtId="0" fontId="30" fillId="7" borderId="189" pivotButton="0" quotePrefix="0" xfId="3"/>
    <xf numFmtId="0" fontId="47" fillId="7" borderId="18" applyAlignment="1" pivotButton="0" quotePrefix="0" xfId="3">
      <alignment horizontal="center"/>
    </xf>
    <xf numFmtId="0" fontId="46" fillId="7" borderId="190" pivotButton="0" quotePrefix="0" xfId="3"/>
    <xf numFmtId="0" fontId="46" fillId="10" borderId="18" pivotButton="0" quotePrefix="0" xfId="3"/>
    <xf numFmtId="0" fontId="46" fillId="11" borderId="18" pivotButton="0" quotePrefix="0" xfId="3"/>
    <xf numFmtId="0" fontId="46" fillId="12" borderId="18" pivotButton="0" quotePrefix="0" xfId="3"/>
    <xf numFmtId="3" fontId="47" fillId="0" borderId="18" pivotButton="0" quotePrefix="0" xfId="3"/>
    <xf numFmtId="0" fontId="56" fillId="12" borderId="191" pivotButton="0" quotePrefix="0" xfId="3"/>
    <xf numFmtId="0" fontId="30" fillId="12" borderId="192" pivotButton="0" quotePrefix="0" xfId="3"/>
    <xf numFmtId="0" fontId="46" fillId="12" borderId="192" pivotButton="0" quotePrefix="0" xfId="3"/>
    <xf numFmtId="4" fontId="47" fillId="12" borderId="192" applyAlignment="1" pivotButton="0" quotePrefix="0" xfId="3">
      <alignment horizontal="center"/>
    </xf>
    <xf numFmtId="0" fontId="46" fillId="12" borderId="193" pivotButton="0" quotePrefix="0" xfId="3"/>
    <xf numFmtId="4" fontId="47" fillId="0" borderId="18" pivotButton="0" quotePrefix="0" xfId="3"/>
    <xf numFmtId="0" fontId="46" fillId="0" borderId="18" applyAlignment="1" pivotButton="0" quotePrefix="0" xfId="3">
      <alignment horizontal="justify" vertical="top" wrapText="1"/>
    </xf>
    <xf numFmtId="0" fontId="7" fillId="0" borderId="59" applyAlignment="1" pivotButton="0" quotePrefix="0" xfId="15">
      <alignment horizontal="center" vertical="center"/>
    </xf>
    <xf numFmtId="0" fontId="7" fillId="0" borderId="60" applyAlignment="1" pivotButton="0" quotePrefix="0" xfId="15">
      <alignment horizontal="center" vertical="center"/>
    </xf>
    <xf numFmtId="0" fontId="7" fillId="0" borderId="62" applyAlignment="1" pivotButton="0" quotePrefix="0" xfId="15">
      <alignment horizontal="center" vertical="center"/>
    </xf>
    <xf numFmtId="0" fontId="7" fillId="0" borderId="24" applyAlignment="1" pivotButton="0" quotePrefix="0" xfId="15">
      <alignment horizontal="center" vertical="center"/>
    </xf>
    <xf numFmtId="0" fontId="7" fillId="0" borderId="64" applyAlignment="1" pivotButton="0" quotePrefix="0" xfId="15">
      <alignment horizontal="center" vertical="center"/>
    </xf>
    <xf numFmtId="0" fontId="7" fillId="0" borderId="65" applyAlignment="1" pivotButton="0" quotePrefix="0" xfId="15">
      <alignment horizontal="center" vertical="center"/>
    </xf>
    <xf numFmtId="0" fontId="7" fillId="0" borderId="24" applyAlignment="1" pivotButton="0" quotePrefix="0" xfId="15">
      <alignment horizontal="center" vertical="center" wrapText="1"/>
    </xf>
    <xf numFmtId="1" fontId="7" fillId="0" borderId="60" applyAlignment="1" pivotButton="0" quotePrefix="0" xfId="15">
      <alignment horizontal="center" vertical="center"/>
    </xf>
    <xf numFmtId="1" fontId="7" fillId="0" borderId="60" applyAlignment="1" pivotButton="0" quotePrefix="0" xfId="15">
      <alignment horizontal="center" vertical="center" wrapText="1"/>
    </xf>
    <xf numFmtId="0" fontId="7" fillId="0" borderId="60" applyAlignment="1" pivotButton="0" quotePrefix="0" xfId="15">
      <alignment horizontal="center" vertical="center" wrapText="1"/>
    </xf>
    <xf numFmtId="166" fontId="7" fillId="0" borderId="60" applyAlignment="1" pivotButton="0" quotePrefix="0" xfId="15">
      <alignment horizontal="center" vertical="center"/>
    </xf>
    <xf numFmtId="167" fontId="7" fillId="0" borderId="60" applyAlignment="1" pivotButton="0" quotePrefix="0" xfId="15">
      <alignment vertical="center"/>
    </xf>
    <xf numFmtId="0" fontId="7" fillId="0" borderId="61" applyAlignment="1" pivotButton="0" quotePrefix="0" xfId="15">
      <alignment horizontal="center" vertical="center"/>
    </xf>
    <xf numFmtId="1" fontId="7" fillId="0" borderId="24" applyAlignment="1" pivotButton="0" quotePrefix="0" xfId="15">
      <alignment horizontal="center" vertical="center"/>
    </xf>
    <xf numFmtId="1" fontId="7" fillId="0" borderId="24" applyAlignment="1" pivotButton="0" quotePrefix="0" xfId="15">
      <alignment horizontal="center" vertical="center" wrapText="1"/>
    </xf>
    <xf numFmtId="166" fontId="7" fillId="0" borderId="24" applyAlignment="1" pivotButton="0" quotePrefix="0" xfId="15">
      <alignment horizontal="center" vertical="center"/>
    </xf>
    <xf numFmtId="167" fontId="7" fillId="0" borderId="24" applyAlignment="1" pivotButton="0" quotePrefix="0" xfId="15">
      <alignment vertical="center"/>
    </xf>
    <xf numFmtId="0" fontId="7" fillId="0" borderId="63" applyAlignment="1" pivotButton="0" quotePrefix="0" xfId="15">
      <alignment horizontal="center" vertical="center"/>
    </xf>
    <xf numFmtId="1" fontId="7" fillId="0" borderId="65" applyAlignment="1" pivotButton="0" quotePrefix="0" xfId="15">
      <alignment horizontal="center" vertical="center"/>
    </xf>
    <xf numFmtId="1" fontId="7" fillId="0" borderId="65" applyAlignment="1" pivotButton="0" quotePrefix="0" xfId="15">
      <alignment horizontal="center" vertical="center" wrapText="1"/>
    </xf>
    <xf numFmtId="0" fontId="7" fillId="0" borderId="65" applyAlignment="1" pivotButton="0" quotePrefix="0" xfId="15">
      <alignment horizontal="center" vertical="center" wrapText="1"/>
    </xf>
    <xf numFmtId="166" fontId="7" fillId="0" borderId="65" applyAlignment="1" pivotButton="0" quotePrefix="0" xfId="15">
      <alignment horizontal="center" vertical="center"/>
    </xf>
    <xf numFmtId="167" fontId="7" fillId="0" borderId="65" applyAlignment="1" pivotButton="0" quotePrefix="0" xfId="15">
      <alignment vertical="center"/>
    </xf>
    <xf numFmtId="0" fontId="7" fillId="0" borderId="66" applyAlignment="1" pivotButton="0" quotePrefix="0" xfId="15">
      <alignment horizontal="center" vertical="center"/>
    </xf>
    <xf numFmtId="0" fontId="1" fillId="0" borderId="18" pivotButton="0" quotePrefix="0" xfId="15"/>
    <xf numFmtId="181" fontId="92" fillId="0" borderId="124" applyAlignment="1" pivotButton="0" quotePrefix="0" xfId="15">
      <alignment vertical="center"/>
    </xf>
    <xf numFmtId="167" fontId="91" fillId="0" borderId="126" applyAlignment="1" pivotButton="0" quotePrefix="0" xfId="15">
      <alignment vertical="center"/>
    </xf>
    <xf numFmtId="0" fontId="38" fillId="2" borderId="92" applyAlignment="1" pivotButton="0" quotePrefix="0" xfId="1">
      <alignment horizontal="center" vertical="center"/>
    </xf>
    <xf numFmtId="0" fontId="38" fillId="2" borderId="194" applyAlignment="1" pivotButton="0" quotePrefix="0" xfId="1">
      <alignment horizontal="center" vertical="center"/>
    </xf>
    <xf numFmtId="0" fontId="38" fillId="2" borderId="194" applyAlignment="1" pivotButton="0" quotePrefix="0" xfId="1">
      <alignment horizontal="center" wrapText="1"/>
    </xf>
    <xf numFmtId="0" fontId="38" fillId="2" borderId="194" applyAlignment="1" pivotButton="0" quotePrefix="0" xfId="1">
      <alignment horizontal="center" vertical="center" wrapText="1"/>
    </xf>
    <xf numFmtId="0" fontId="38" fillId="2" borderId="166" applyAlignment="1" pivotButton="0" quotePrefix="0" xfId="1">
      <alignment horizontal="center" vertical="center" wrapText="1"/>
    </xf>
    <xf numFmtId="0" fontId="38" fillId="2" borderId="66" applyAlignment="1" pivotButton="0" quotePrefix="0" xfId="1">
      <alignment horizontal="center" vertical="center" wrapText="1"/>
    </xf>
    <xf numFmtId="0" fontId="50" fillId="0" borderId="195" applyAlignment="1" pivotButton="0" quotePrefix="0" xfId="3">
      <alignment horizontal="left" vertical="center" wrapText="1"/>
    </xf>
    <xf numFmtId="0" fontId="1" fillId="0" borderId="195" applyAlignment="1" pivotButton="0" quotePrefix="0" xfId="3">
      <alignment horizontal="center" vertical="center" wrapText="1"/>
    </xf>
    <xf numFmtId="3" fontId="1" fillId="0" borderId="195" applyAlignment="1" pivotButton="0" quotePrefix="0" xfId="3">
      <alignment horizontal="center" vertical="center" wrapText="1"/>
    </xf>
    <xf numFmtId="4" fontId="57" fillId="0" borderId="18" applyAlignment="1" pivotButton="0" quotePrefix="0" xfId="3">
      <alignment horizontal="center"/>
    </xf>
    <xf numFmtId="3" fontId="47" fillId="9" borderId="18" pivotButton="0" quotePrefix="0" xfId="3"/>
    <xf numFmtId="3" fontId="47" fillId="10" borderId="18" pivotButton="0" quotePrefix="0" xfId="3"/>
    <xf numFmtId="3" fontId="47" fillId="11" borderId="18" pivotButton="0" quotePrefix="0" xfId="3"/>
    <xf numFmtId="3" fontId="47" fillId="12" borderId="18" pivotButton="0" quotePrefix="0" xfId="3"/>
    <xf numFmtId="0" fontId="97" fillId="8" borderId="18" pivotButton="0" quotePrefix="0" xfId="3"/>
    <xf numFmtId="195" fontId="42" fillId="8" borderId="18" pivotButton="0" quotePrefix="0" xfId="39"/>
    <xf numFmtId="0" fontId="49" fillId="0" borderId="49" applyAlignment="1" pivotButton="0" quotePrefix="0" xfId="3">
      <alignment horizontal="center" vertical="center" wrapText="1"/>
    </xf>
    <xf numFmtId="165" fontId="53" fillId="0" borderId="49" applyAlignment="1" pivotButton="0" quotePrefix="0" xfId="3">
      <alignment horizontal="center" vertical="center" wrapText="1"/>
    </xf>
    <xf numFmtId="165" fontId="49" fillId="0" borderId="49" applyAlignment="1" pivotButton="0" quotePrefix="0" xfId="3">
      <alignment horizontal="center" vertical="center" wrapText="1"/>
    </xf>
    <xf numFmtId="4" fontId="53" fillId="0" borderId="49" applyAlignment="1" pivotButton="0" quotePrefix="0" xfId="3">
      <alignment horizontal="center" vertical="center" wrapText="1"/>
    </xf>
    <xf numFmtId="0" fontId="94" fillId="7" borderId="18" applyAlignment="1" pivotButton="0" quotePrefix="0" xfId="3">
      <alignment horizontal="right"/>
    </xf>
    <xf numFmtId="9" fontId="57" fillId="0" borderId="50" applyAlignment="1" pivotButton="0" quotePrefix="0" xfId="3">
      <alignment horizontal="center" vertical="center" wrapText="1"/>
    </xf>
    <xf numFmtId="0" fontId="56" fillId="9" borderId="51" pivotButton="0" quotePrefix="0" xfId="3"/>
    <xf numFmtId="0" fontId="98" fillId="9" borderId="50" pivotButton="0" quotePrefix="0" xfId="3"/>
    <xf numFmtId="0" fontId="56" fillId="10" borderId="51" pivotButton="0" quotePrefix="0" xfId="3"/>
    <xf numFmtId="0" fontId="98" fillId="10" borderId="50" pivotButton="0" quotePrefix="0" xfId="3"/>
    <xf numFmtId="0" fontId="56" fillId="11" borderId="51" pivotButton="0" quotePrefix="0" xfId="3"/>
    <xf numFmtId="0" fontId="98" fillId="11" borderId="50" pivotButton="0" quotePrefix="0" xfId="3"/>
    <xf numFmtId="0" fontId="56" fillId="12" borderId="51" pivotButton="0" quotePrefix="0" xfId="3"/>
    <xf numFmtId="0" fontId="98" fillId="12" borderId="50" pivotButton="0" quotePrefix="0" xfId="3"/>
    <xf numFmtId="0" fontId="30" fillId="7" borderId="51" pivotButton="0" quotePrefix="0" xfId="3"/>
    <xf numFmtId="0" fontId="98" fillId="7" borderId="50" pivotButton="0" quotePrefix="0" xfId="3"/>
    <xf numFmtId="0" fontId="30" fillId="7" borderId="50" pivotButton="0" quotePrefix="0" xfId="3"/>
    <xf numFmtId="0" fontId="56" fillId="12" borderId="52" pivotButton="0" quotePrefix="0" xfId="3"/>
    <xf numFmtId="0" fontId="30" fillId="12" borderId="53" pivotButton="0" quotePrefix="0" xfId="3"/>
    <xf numFmtId="3" fontId="47" fillId="12" borderId="53" pivotButton="0" quotePrefix="0" xfId="3"/>
    <xf numFmtId="0" fontId="98" fillId="12" borderId="54" pivotButton="0" quotePrefix="0" xfId="3"/>
    <xf numFmtId="0" fontId="27" fillId="8" borderId="196" applyAlignment="1" pivotButton="0" quotePrefix="0" xfId="3">
      <alignment horizontal="center" vertical="center"/>
    </xf>
    <xf numFmtId="0" fontId="27" fillId="8" borderId="196" applyAlignment="1" pivotButton="0" quotePrefix="0" xfId="3">
      <alignment horizontal="center" vertical="center" wrapText="1"/>
    </xf>
    <xf numFmtId="0" fontId="49" fillId="8" borderId="197" applyAlignment="1" pivotButton="0" quotePrefix="0" xfId="3">
      <alignment horizontal="center" vertical="center" wrapText="1"/>
    </xf>
    <xf numFmtId="0" fontId="27" fillId="0" borderId="49" applyAlignment="1" pivotButton="0" quotePrefix="0" xfId="3">
      <alignment horizontal="center" vertical="center" wrapText="1"/>
    </xf>
    <xf numFmtId="0" fontId="1" fillId="0" borderId="49" applyAlignment="1" pivotButton="0" quotePrefix="0" xfId="3">
      <alignment horizontal="center" vertical="center" wrapText="1"/>
    </xf>
    <xf numFmtId="171" fontId="1" fillId="0" borderId="49" applyAlignment="1" pivotButton="0" quotePrefix="0" xfId="3">
      <alignment horizontal="center" vertical="center" wrapText="1"/>
    </xf>
    <xf numFmtId="4" fontId="1" fillId="0" borderId="49" applyAlignment="1" pivotButton="0" quotePrefix="0" xfId="3">
      <alignment horizontal="center" vertical="center" wrapText="1"/>
    </xf>
    <xf numFmtId="165" fontId="1" fillId="0" borderId="49" applyAlignment="1" pivotButton="0" quotePrefix="0" xfId="3">
      <alignment horizontal="center" vertical="center" wrapText="1"/>
    </xf>
    <xf numFmtId="3" fontId="1" fillId="0" borderId="49" applyAlignment="1" pivotButton="0" quotePrefix="0" xfId="3">
      <alignment horizontal="center" vertical="center" wrapText="1"/>
    </xf>
    <xf numFmtId="165" fontId="27" fillId="0" borderId="49" applyAlignment="1" pivotButton="0" quotePrefix="0" xfId="3">
      <alignment horizontal="center" vertical="center" wrapText="1"/>
    </xf>
    <xf numFmtId="14" fontId="1" fillId="0" borderId="49" applyAlignment="1" pivotButton="0" quotePrefix="0" xfId="3">
      <alignment horizontal="center" vertical="center"/>
    </xf>
    <xf numFmtId="0" fontId="99" fillId="0" borderId="49" applyAlignment="1" pivotButton="0" quotePrefix="0" xfId="37">
      <alignment horizontal="center" vertical="center" wrapText="1"/>
    </xf>
    <xf numFmtId="0" fontId="55" fillId="8" borderId="198" applyAlignment="1" pivotButton="0" quotePrefix="0" xfId="3">
      <alignment vertical="center"/>
    </xf>
    <xf numFmtId="0" fontId="55" fillId="8" borderId="199" applyAlignment="1" pivotButton="0" quotePrefix="0" xfId="3">
      <alignment vertical="center"/>
    </xf>
    <xf numFmtId="0" fontId="55" fillId="8" borderId="200" applyAlignment="1" pivotButton="0" quotePrefix="0" xfId="3">
      <alignment vertical="center"/>
    </xf>
    <xf numFmtId="0" fontId="47" fillId="0" borderId="50" applyAlignment="1" pivotButton="0" quotePrefix="0" xfId="3">
      <alignment horizontal="center" vertical="center" wrapText="1"/>
    </xf>
    <xf numFmtId="14" fontId="1" fillId="7" borderId="24" applyAlignment="1" pivotButton="0" quotePrefix="0" xfId="41">
      <alignment horizontal="left" wrapText="1"/>
    </xf>
    <xf numFmtId="164" fontId="1" fillId="7" borderId="24" applyAlignment="1" pivotButton="0" quotePrefix="0" xfId="41">
      <alignment horizontal="left" wrapText="1"/>
    </xf>
    <xf numFmtId="0" fontId="1" fillId="7" borderId="24" applyAlignment="1" pivotButton="0" quotePrefix="0" xfId="41">
      <alignment wrapText="1"/>
    </xf>
    <xf numFmtId="0" fontId="1" fillId="7" borderId="24" applyAlignment="1" pivotButton="0" quotePrefix="0" xfId="41">
      <alignment horizontal="left"/>
    </xf>
    <xf numFmtId="0" fontId="53" fillId="7" borderId="24" applyAlignment="1" pivotButton="0" quotePrefix="0" xfId="3">
      <alignment horizontal="left"/>
    </xf>
    <xf numFmtId="0" fontId="1" fillId="0" borderId="18" pivotButton="0" quotePrefix="0" xfId="41"/>
    <xf numFmtId="0" fontId="1" fillId="0" borderId="24" pivotButton="0" quotePrefix="0" xfId="41"/>
    <xf numFmtId="0" fontId="1" fillId="7" borderId="24" pivotButton="0" quotePrefix="0" xfId="41"/>
    <xf numFmtId="14" fontId="53" fillId="7" borderId="24" applyAlignment="1" pivotButton="0" quotePrefix="0" xfId="3">
      <alignment horizontal="left"/>
    </xf>
    <xf numFmtId="164" fontId="1" fillId="0" borderId="18" applyAlignment="1" pivotButton="0" quotePrefix="0" xfId="41">
      <alignment horizontal="left" wrapText="1"/>
    </xf>
    <xf numFmtId="0" fontId="53" fillId="23" borderId="73" applyAlignment="1" pivotButton="0" quotePrefix="0" xfId="3">
      <alignment horizontal="center" vertical="center"/>
    </xf>
    <xf numFmtId="0" fontId="53" fillId="24" borderId="73" applyAlignment="1" pivotButton="0" quotePrefix="0" xfId="3">
      <alignment horizontal="center" vertical="center" wrapText="1"/>
    </xf>
    <xf numFmtId="0" fontId="53" fillId="24" borderId="24" applyAlignment="1" pivotButton="0" quotePrefix="0" xfId="3">
      <alignment horizontal="center" vertical="center" wrapText="1"/>
    </xf>
    <xf numFmtId="49" fontId="53" fillId="24" borderId="24" applyAlignment="1" pivotButton="0" quotePrefix="0" xfId="3">
      <alignment horizontal="center" vertical="center" wrapText="1"/>
    </xf>
    <xf numFmtId="2" fontId="1" fillId="7" borderId="24" pivotButton="0" quotePrefix="0" xfId="41"/>
    <xf numFmtId="2" fontId="0" fillId="7" borderId="24" applyAlignment="1" pivotButton="0" quotePrefix="0" xfId="44">
      <alignment wrapText="1"/>
    </xf>
    <xf numFmtId="2" fontId="1" fillId="7" borderId="24" applyAlignment="1" pivotButton="0" quotePrefix="0" xfId="41">
      <alignment wrapText="1"/>
    </xf>
    <xf numFmtId="4" fontId="1" fillId="0" borderId="24" applyAlignment="1" pivotButton="0" quotePrefix="0" xfId="41">
      <alignment vertical="center"/>
    </xf>
    <xf numFmtId="196" fontId="1" fillId="7" borderId="24" applyAlignment="1" pivotButton="0" quotePrefix="0" xfId="42">
      <alignment vertical="center"/>
    </xf>
    <xf numFmtId="184" fontId="1" fillId="7" borderId="24" applyAlignment="1" pivotButton="0" quotePrefix="0" xfId="42">
      <alignment horizontal="center" vertical="center"/>
    </xf>
    <xf numFmtId="2" fontId="1" fillId="0" borderId="24" applyAlignment="1" pivotButton="0" quotePrefix="0" xfId="41">
      <alignment vertical="center"/>
    </xf>
    <xf numFmtId="196" fontId="0" fillId="7" borderId="24" applyAlignment="1" pivotButton="0" quotePrefix="0" xfId="42">
      <alignment vertical="center"/>
    </xf>
    <xf numFmtId="0" fontId="1" fillId="7" borderId="73" pivotButton="0" quotePrefix="0" xfId="41"/>
    <xf numFmtId="0" fontId="1" fillId="0" borderId="73" pivotButton="0" quotePrefix="0" xfId="41"/>
    <xf numFmtId="196" fontId="1" fillId="7" borderId="73" applyAlignment="1" pivotButton="0" quotePrefix="0" xfId="42">
      <alignment vertical="center"/>
    </xf>
    <xf numFmtId="2" fontId="1" fillId="25" borderId="24" pivotButton="0" quotePrefix="0" xfId="41"/>
    <xf numFmtId="0" fontId="1" fillId="25" borderId="24" pivotButton="0" quotePrefix="0" xfId="41"/>
    <xf numFmtId="174" fontId="1" fillId="25" borderId="24" pivotButton="0" quotePrefix="0" xfId="45"/>
    <xf numFmtId="10" fontId="1" fillId="25" borderId="24" pivotButton="0" quotePrefix="0" xfId="41"/>
    <xf numFmtId="0" fontId="1" fillId="7" borderId="41" pivotButton="0" quotePrefix="0" xfId="41"/>
    <xf numFmtId="197" fontId="0" fillId="0" borderId="18" pivotButton="0" quotePrefix="0" xfId="42"/>
    <xf numFmtId="196" fontId="0" fillId="0" borderId="24" applyAlignment="1" pivotButton="0" quotePrefix="0" xfId="42">
      <alignment vertical="center"/>
    </xf>
    <xf numFmtId="196" fontId="103" fillId="0" borderId="65" applyAlignment="1" pivotButton="0" quotePrefix="0" xfId="42">
      <alignment vertical="center"/>
    </xf>
    <xf numFmtId="0" fontId="1" fillId="0" borderId="24" applyAlignment="1" pivotButton="0" quotePrefix="0" xfId="41">
      <alignment horizontal="center" vertical="center" wrapText="1"/>
    </xf>
    <xf numFmtId="10" fontId="1" fillId="0" borderId="24" pivotButton="0" quotePrefix="0" xfId="41"/>
    <xf numFmtId="198" fontId="1" fillId="7" borderId="24" applyAlignment="1" pivotButton="0" quotePrefix="0" xfId="42">
      <alignment horizontal="left" vertical="center"/>
    </xf>
    <xf numFmtId="1" fontId="1" fillId="7" borderId="24" applyAlignment="1" pivotButton="0" quotePrefix="0" xfId="41">
      <alignment wrapText="1"/>
    </xf>
    <xf numFmtId="0" fontId="1" fillId="7" borderId="90" pivotButton="0" quotePrefix="0" xfId="41"/>
    <xf numFmtId="14" fontId="29" fillId="7" borderId="24" applyAlignment="1" pivotButton="0" quotePrefix="0" xfId="41">
      <alignment horizontal="left" wrapText="1"/>
    </xf>
    <xf numFmtId="164" fontId="29" fillId="7" borderId="24" applyAlignment="1" pivotButton="0" quotePrefix="0" xfId="41">
      <alignment horizontal="left" wrapText="1"/>
    </xf>
    <xf numFmtId="0" fontId="29" fillId="7" borderId="24" pivotButton="0" quotePrefix="0" xfId="41"/>
    <xf numFmtId="0" fontId="29" fillId="0" borderId="24" pivotButton="0" quotePrefix="0" xfId="41"/>
    <xf numFmtId="196" fontId="29" fillId="7" borderId="24" applyAlignment="1" pivotButton="0" quotePrefix="0" xfId="42">
      <alignment vertical="center"/>
    </xf>
    <xf numFmtId="0" fontId="1" fillId="24" borderId="73" applyAlignment="1" pivotButton="0" quotePrefix="0" xfId="41">
      <alignment horizontal="center" vertical="center" wrapText="1"/>
    </xf>
    <xf numFmtId="0" fontId="1" fillId="24" borderId="73" applyAlignment="1" pivotButton="0" quotePrefix="0" xfId="41">
      <alignment vertical="center" wrapText="1"/>
    </xf>
    <xf numFmtId="188" fontId="0" fillId="22" borderId="73" applyAlignment="1" pivotButton="0" quotePrefix="0" xfId="43">
      <alignment horizontal="center" vertical="center" wrapText="1"/>
    </xf>
    <xf numFmtId="0" fontId="1" fillId="22" borderId="73" applyAlignment="1" pivotButton="0" quotePrefix="0" xfId="41">
      <alignment horizontal="center" vertical="center" wrapText="1"/>
    </xf>
    <xf numFmtId="0" fontId="1" fillId="22" borderId="90" applyAlignment="1" pivotButton="0" quotePrefix="0" xfId="41">
      <alignment horizontal="center" vertical="center" wrapText="1"/>
    </xf>
    <xf numFmtId="0" fontId="1" fillId="24" borderId="90" applyAlignment="1" pivotButton="0" quotePrefix="0" xfId="41">
      <alignment horizontal="center" vertical="center" wrapText="1"/>
    </xf>
    <xf numFmtId="0" fontId="1" fillId="7" borderId="185" applyAlignment="1" pivotButton="0" quotePrefix="0" xfId="41">
      <alignment horizontal="center" vertical="center" wrapText="1"/>
    </xf>
    <xf numFmtId="0" fontId="1" fillId="0" borderId="185" applyAlignment="1" pivotButton="0" quotePrefix="0" xfId="41">
      <alignment horizontal="center" vertical="center"/>
    </xf>
    <xf numFmtId="1" fontId="1" fillId="0" borderId="185" applyAlignment="1" pivotButton="0" quotePrefix="0" xfId="41">
      <alignment horizontal="center" vertical="center" wrapText="1"/>
    </xf>
    <xf numFmtId="0" fontId="1" fillId="0" borderId="185" pivotButton="0" quotePrefix="0" xfId="41"/>
    <xf numFmtId="9" fontId="0" fillId="0" borderId="185" pivotButton="0" quotePrefix="0" xfId="44"/>
    <xf numFmtId="199" fontId="0" fillId="0" borderId="185" pivotButton="0" quotePrefix="0" xfId="46"/>
    <xf numFmtId="200" fontId="1" fillId="0" borderId="185" pivotButton="0" quotePrefix="0" xfId="41"/>
    <xf numFmtId="14" fontId="1" fillId="7" borderId="18" applyAlignment="1" pivotButton="0" quotePrefix="0" xfId="41">
      <alignment horizontal="left" wrapText="1"/>
    </xf>
    <xf numFmtId="198" fontId="1" fillId="7" borderId="18" applyAlignment="1" pivotButton="0" quotePrefix="0" xfId="42">
      <alignment horizontal="left" vertical="center"/>
    </xf>
    <xf numFmtId="0" fontId="1" fillId="7" borderId="18" pivotButton="0" quotePrefix="0" xfId="41"/>
    <xf numFmtId="0" fontId="1" fillId="0" borderId="18" applyAlignment="1" pivotButton="0" quotePrefix="0" xfId="41">
      <alignment horizontal="center" vertical="center"/>
    </xf>
    <xf numFmtId="0" fontId="29" fillId="0" borderId="18" applyAlignment="1" pivotButton="0" quotePrefix="0" xfId="41">
      <alignment horizontal="center" vertical="center" wrapText="1"/>
    </xf>
    <xf numFmtId="0" fontId="1" fillId="0" borderId="18" applyAlignment="1" pivotButton="0" quotePrefix="0" xfId="41">
      <alignment horizontal="center" vertical="center" wrapText="1"/>
    </xf>
    <xf numFmtId="166" fontId="27" fillId="0" borderId="18" applyAlignment="1" pivotButton="0" quotePrefix="0" xfId="43">
      <alignment horizontal="center" vertical="center"/>
    </xf>
    <xf numFmtId="196" fontId="0" fillId="0" borderId="18" applyAlignment="1" pivotButton="0" quotePrefix="0" xfId="42">
      <alignment vertical="center"/>
    </xf>
    <xf numFmtId="199" fontId="27" fillId="0" borderId="185" pivotButton="0" quotePrefix="0" xfId="46"/>
    <xf numFmtId="166" fontId="0" fillId="0" borderId="18" applyAlignment="1" pivotButton="0" quotePrefix="0" xfId="43">
      <alignment horizontal="center" vertical="center"/>
    </xf>
    <xf numFmtId="164" fontId="1" fillId="7" borderId="18" applyAlignment="1" pivotButton="0" quotePrefix="0" xfId="41">
      <alignment horizontal="left" wrapText="1"/>
    </xf>
    <xf numFmtId="0" fontId="1" fillId="7" borderId="18" applyAlignment="1" pivotButton="0" quotePrefix="0" xfId="41">
      <alignment horizontal="left"/>
    </xf>
    <xf numFmtId="14" fontId="1" fillId="0" borderId="18" applyAlignment="1" pivotButton="0" quotePrefix="0" xfId="41">
      <alignment horizontal="center" wrapText="1"/>
    </xf>
    <xf numFmtId="164" fontId="1" fillId="0" borderId="18" applyAlignment="1" pivotButton="0" quotePrefix="0" xfId="41">
      <alignment horizontal="center" wrapText="1"/>
    </xf>
    <xf numFmtId="0" fontId="1" fillId="0" borderId="18" applyAlignment="1" pivotButton="0" quotePrefix="0" xfId="41">
      <alignment horizontal="center" wrapText="1"/>
    </xf>
    <xf numFmtId="166" fontId="0" fillId="0" borderId="18" applyAlignment="1" pivotButton="0" quotePrefix="0" xfId="47">
      <alignment horizontal="center" vertical="center"/>
    </xf>
    <xf numFmtId="0" fontId="104" fillId="0" borderId="18" applyAlignment="1" pivotButton="0" quotePrefix="0" xfId="41">
      <alignment wrapText="1"/>
    </xf>
    <xf numFmtId="0" fontId="15" fillId="0" borderId="18" applyAlignment="1" pivotButton="0" quotePrefix="0" xfId="41">
      <alignment wrapText="1"/>
    </xf>
    <xf numFmtId="201" fontId="104" fillId="0" borderId="18" applyAlignment="1" pivotButton="0" quotePrefix="0" xfId="41">
      <alignment wrapText="1"/>
    </xf>
    <xf numFmtId="0" fontId="29" fillId="0" borderId="18" applyAlignment="1" pivotButton="0" quotePrefix="0" xfId="41">
      <alignment horizontal="left" vertical="center" wrapText="1"/>
    </xf>
    <xf numFmtId="188" fontId="1" fillId="0" borderId="18" pivotButton="0" quotePrefix="0" xfId="43"/>
    <xf numFmtId="2" fontId="1" fillId="0" borderId="18" pivotButton="0" quotePrefix="0" xfId="41"/>
    <xf numFmtId="0" fontId="63" fillId="0" borderId="18" pivotButton="0" quotePrefix="0" xfId="41"/>
    <xf numFmtId="188" fontId="63" fillId="0" borderId="18" pivotButton="0" quotePrefix="0" xfId="43"/>
    <xf numFmtId="166" fontId="1" fillId="0" borderId="18" applyAlignment="1" pivotButton="0" quotePrefix="0" xfId="43">
      <alignment horizontal="center" vertical="center"/>
    </xf>
    <xf numFmtId="196" fontId="1" fillId="0" borderId="18" applyAlignment="1" pivotButton="0" quotePrefix="0" xfId="42">
      <alignment vertical="center"/>
    </xf>
    <xf numFmtId="0" fontId="63" fillId="0" borderId="18" applyAlignment="1" pivotButton="0" quotePrefix="0" xfId="41">
      <alignment horizontal="center" vertical="center" wrapText="1"/>
    </xf>
    <xf numFmtId="14" fontId="53" fillId="7" borderId="18" applyAlignment="1" pivotButton="0" quotePrefix="0" xfId="3">
      <alignment horizontal="left"/>
    </xf>
    <xf numFmtId="0" fontId="53" fillId="7" borderId="18" applyAlignment="1" pivotButton="0" quotePrefix="0" xfId="3">
      <alignment horizontal="left"/>
    </xf>
    <xf numFmtId="0" fontId="1" fillId="25" borderId="18" applyAlignment="1" pivotButton="0" quotePrefix="0" xfId="41">
      <alignment horizontal="center" vertical="center"/>
    </xf>
    <xf numFmtId="0" fontId="1" fillId="25" borderId="18" applyAlignment="1" pivotButton="0" quotePrefix="0" xfId="41">
      <alignment horizontal="center" vertical="center" wrapText="1"/>
    </xf>
    <xf numFmtId="166" fontId="0" fillId="25" borderId="18" applyAlignment="1" pivotButton="0" quotePrefix="0" xfId="43">
      <alignment horizontal="right" vertical="center"/>
    </xf>
    <xf numFmtId="196" fontId="1" fillId="25" borderId="18" applyAlignment="1" pivotButton="0" quotePrefix="0" xfId="41">
      <alignment vertical="center"/>
    </xf>
    <xf numFmtId="0" fontId="63" fillId="25" borderId="18" applyAlignment="1" pivotButton="0" quotePrefix="0" xfId="41">
      <alignment horizontal="center" vertical="center" wrapText="1"/>
    </xf>
    <xf numFmtId="0" fontId="63" fillId="25" borderId="18" applyAlignment="1" pivotButton="0" quotePrefix="0" xfId="41">
      <alignment horizontal="center" vertical="center"/>
    </xf>
    <xf numFmtId="166" fontId="63" fillId="25" borderId="18" applyAlignment="1" pivotButton="0" quotePrefix="0" xfId="43">
      <alignment horizontal="right" vertical="center"/>
    </xf>
    <xf numFmtId="196" fontId="63" fillId="25" borderId="18" applyAlignment="1" pivotButton="0" quotePrefix="0" xfId="41">
      <alignment vertical="center"/>
    </xf>
    <xf numFmtId="0" fontId="100" fillId="0" borderId="18" applyAlignment="1" pivotButton="0" quotePrefix="0" xfId="41">
      <alignment horizontal="center" vertical="center"/>
    </xf>
    <xf numFmtId="0" fontId="100" fillId="0" borderId="18" applyAlignment="1" pivotButton="0" quotePrefix="0" xfId="41">
      <alignment horizontal="center" vertical="center" wrapText="1"/>
    </xf>
    <xf numFmtId="0" fontId="105" fillId="0" borderId="18" applyAlignment="1" pivotButton="0" quotePrefix="0" xfId="41">
      <alignment horizontal="center" vertical="center"/>
    </xf>
    <xf numFmtId="0" fontId="105" fillId="0" borderId="18" applyAlignment="1" pivotButton="0" quotePrefix="0" xfId="41">
      <alignment horizontal="center" vertical="center" wrapText="1"/>
    </xf>
    <xf numFmtId="0" fontId="1" fillId="0" borderId="18" applyAlignment="1" pivotButton="0" quotePrefix="0" xfId="41">
      <alignment horizontal="center"/>
    </xf>
    <xf numFmtId="188" fontId="0" fillId="0" borderId="18" pivotButton="0" quotePrefix="0" xfId="43"/>
    <xf numFmtId="188" fontId="0" fillId="0" borderId="18" pivotButton="0" quotePrefix="0" xfId="43"/>
    <xf numFmtId="0" fontId="27" fillId="0" borderId="18" applyAlignment="1" pivotButton="0" quotePrefix="0" xfId="41">
      <alignment horizontal="center"/>
    </xf>
    <xf numFmtId="0" fontId="53" fillId="0" borderId="18" pivotButton="0" quotePrefix="0" xfId="41"/>
    <xf numFmtId="0" fontId="27" fillId="0" borderId="18" applyAlignment="1" pivotButton="0" quotePrefix="0" xfId="41">
      <alignment horizontal="center" wrapText="1"/>
    </xf>
    <xf numFmtId="171" fontId="1" fillId="0" borderId="18" applyAlignment="1" pivotButton="0" quotePrefix="0" xfId="41">
      <alignment horizontal="center"/>
    </xf>
    <xf numFmtId="1" fontId="1" fillId="0" borderId="18" applyAlignment="1" pivotButton="0" quotePrefix="0" xfId="41">
      <alignment horizontal="center"/>
    </xf>
    <xf numFmtId="176" fontId="0" fillId="0" borderId="18" pivotButton="0" quotePrefix="0" xfId="48"/>
    <xf numFmtId="2" fontId="1" fillId="0" borderId="18" applyAlignment="1" pivotButton="0" quotePrefix="0" xfId="41">
      <alignment horizontal="center"/>
    </xf>
    <xf numFmtId="0" fontId="27" fillId="0" borderId="18" pivotButton="0" quotePrefix="0" xfId="41"/>
    <xf numFmtId="0" fontId="1" fillId="0" borderId="18" applyAlignment="1" pivotButton="0" quotePrefix="0" xfId="41">
      <alignment horizontal="left"/>
    </xf>
    <xf numFmtId="0" fontId="1" fillId="0" borderId="18" applyAlignment="1" pivotButton="0" quotePrefix="0" xfId="41">
      <alignment horizontal="right"/>
    </xf>
    <xf numFmtId="0" fontId="49" fillId="6" borderId="120" applyAlignment="1" pivotButton="0" quotePrefix="0" xfId="49">
      <alignment horizontal="center"/>
    </xf>
    <xf numFmtId="0" fontId="27" fillId="6" borderId="120" applyAlignment="1" pivotButton="0" quotePrefix="0" xfId="41">
      <alignment horizontal="center"/>
    </xf>
    <xf numFmtId="188" fontId="49" fillId="6" borderId="120" applyAlignment="1" pivotButton="0" quotePrefix="0" xfId="50">
      <alignment horizontal="center" wrapText="1"/>
    </xf>
    <xf numFmtId="0" fontId="27" fillId="6" borderId="120" applyAlignment="1" pivotButton="0" quotePrefix="0" xfId="41">
      <alignment horizontal="center" wrapText="1"/>
    </xf>
    <xf numFmtId="188" fontId="49" fillId="6" borderId="120" applyAlignment="1" pivotButton="0" quotePrefix="0" xfId="50">
      <alignment horizontal="center"/>
    </xf>
    <xf numFmtId="0" fontId="106" fillId="6" borderId="120" applyAlignment="1" pivotButton="0" quotePrefix="0" xfId="41">
      <alignment horizontal="center" wrapText="1"/>
    </xf>
    <xf numFmtId="0" fontId="49" fillId="6" borderId="120" applyAlignment="1" pivotButton="0" quotePrefix="0" xfId="41">
      <alignment horizontal="center" wrapText="1"/>
    </xf>
    <xf numFmtId="0" fontId="1" fillId="0" borderId="41" applyAlignment="1" pivotButton="0" quotePrefix="0" xfId="41">
      <alignment horizontal="center"/>
    </xf>
    <xf numFmtId="1" fontId="107" fillId="21" borderId="41" applyAlignment="1" pivotButton="0" quotePrefix="0" xfId="41">
      <alignment horizontal="center" vertical="center"/>
    </xf>
    <xf numFmtId="4" fontId="108" fillId="21" borderId="41" applyAlignment="1" pivotButton="0" quotePrefix="0" xfId="41">
      <alignment horizontal="center" vertical="center"/>
    </xf>
    <xf numFmtId="2" fontId="27" fillId="0" borderId="41" applyAlignment="1" pivotButton="0" quotePrefix="0" xfId="41">
      <alignment horizontal="center"/>
    </xf>
    <xf numFmtId="176" fontId="1" fillId="0" borderId="41" applyAlignment="1" pivotButton="0" quotePrefix="0" xfId="41">
      <alignment horizontal="center"/>
    </xf>
    <xf numFmtId="202" fontId="0" fillId="0" borderId="41" applyAlignment="1" pivotButton="0" quotePrefix="0" xfId="48">
      <alignment horizontal="center"/>
    </xf>
    <xf numFmtId="203" fontId="0" fillId="0" borderId="41" applyAlignment="1" pivotButton="0" quotePrefix="0" xfId="48">
      <alignment horizontal="center"/>
    </xf>
    <xf numFmtId="176" fontId="0" fillId="0" borderId="41" applyAlignment="1" pivotButton="0" quotePrefix="0" xfId="48">
      <alignment horizontal="center"/>
    </xf>
    <xf numFmtId="0" fontId="1" fillId="0" borderId="24" applyAlignment="1" pivotButton="0" quotePrefix="0" xfId="41">
      <alignment horizontal="center"/>
    </xf>
    <xf numFmtId="176" fontId="0" fillId="0" borderId="41" pivotButton="0" quotePrefix="0" xfId="48"/>
    <xf numFmtId="176" fontId="0" fillId="0" borderId="24" pivotButton="0" quotePrefix="0" xfId="48"/>
    <xf numFmtId="172" fontId="27" fillId="0" borderId="41" pivotButton="0" quotePrefix="0" xfId="51"/>
    <xf numFmtId="9" fontId="0" fillId="0" borderId="41" applyAlignment="1" pivotButton="0" quotePrefix="0" xfId="44">
      <alignment horizontal="center"/>
    </xf>
    <xf numFmtId="176" fontId="27" fillId="0" borderId="41" pivotButton="0" quotePrefix="0" xfId="48"/>
    <xf numFmtId="176" fontId="49" fillId="0" borderId="41" pivotButton="0" quotePrefix="0" xfId="48"/>
    <xf numFmtId="176" fontId="49" fillId="0" borderId="36" pivotButton="0" quotePrefix="0" xfId="48"/>
    <xf numFmtId="172" fontId="90" fillId="0" borderId="18" pivotButton="0" quotePrefix="0" xfId="41"/>
    <xf numFmtId="1" fontId="107" fillId="21" borderId="24" applyAlignment="1" pivotButton="0" quotePrefix="0" xfId="41">
      <alignment horizontal="center" vertical="center"/>
    </xf>
    <xf numFmtId="4" fontId="108" fillId="21" borderId="24" applyAlignment="1" pivotButton="0" quotePrefix="0" xfId="41">
      <alignment horizontal="center" vertical="center"/>
    </xf>
    <xf numFmtId="2" fontId="109" fillId="0" borderId="24" applyAlignment="1" pivotButton="0" quotePrefix="0" xfId="41">
      <alignment horizontal="center" vertical="center"/>
    </xf>
    <xf numFmtId="0" fontId="1" fillId="20" borderId="41" applyAlignment="1" pivotButton="0" quotePrefix="0" xfId="41">
      <alignment horizontal="center"/>
    </xf>
    <xf numFmtId="0" fontId="1" fillId="20" borderId="24" applyAlignment="1" pivotButton="0" quotePrefix="0" xfId="41">
      <alignment horizontal="center"/>
    </xf>
    <xf numFmtId="0" fontId="1" fillId="20" borderId="27" applyAlignment="1" pivotButton="0" quotePrefix="0" xfId="41">
      <alignment horizontal="center"/>
    </xf>
    <xf numFmtId="2" fontId="109" fillId="20" borderId="24" applyAlignment="1" pivotButton="0" quotePrefix="0" xfId="41">
      <alignment horizontal="center" vertical="center"/>
    </xf>
    <xf numFmtId="2" fontId="27" fillId="20" borderId="41" applyAlignment="1" pivotButton="0" quotePrefix="0" xfId="41">
      <alignment horizontal="center"/>
    </xf>
    <xf numFmtId="0" fontId="1" fillId="0" borderId="27" applyAlignment="1" pivotButton="0" quotePrefix="0" xfId="41">
      <alignment horizontal="center"/>
    </xf>
    <xf numFmtId="1" fontId="1" fillId="7" borderId="185" applyAlignment="1" pivotButton="0" quotePrefix="0" xfId="41">
      <alignment horizontal="center" vertical="center" wrapText="1"/>
    </xf>
    <xf numFmtId="14" fontId="1" fillId="7" borderId="185" applyAlignment="1" pivotButton="0" quotePrefix="0" xfId="41">
      <alignment horizontal="center" vertical="center" wrapText="1"/>
    </xf>
    <xf numFmtId="164" fontId="1" fillId="7" borderId="185" applyAlignment="1" pivotButton="0" quotePrefix="0" xfId="41">
      <alignment horizontal="center" vertical="center" wrapText="1"/>
    </xf>
    <xf numFmtId="4" fontId="1" fillId="7" borderId="185" applyAlignment="1" pivotButton="0" quotePrefix="0" xfId="41">
      <alignment horizontal="center" vertical="center" wrapText="1"/>
    </xf>
    <xf numFmtId="174" fontId="1" fillId="0" borderId="185" applyAlignment="1" pivotButton="0" quotePrefix="0" xfId="33">
      <alignment horizontal="center" vertical="center"/>
    </xf>
    <xf numFmtId="14" fontId="1" fillId="7" borderId="24" applyAlignment="1" pivotButton="0" quotePrefix="0" xfId="41">
      <alignment horizontal="center" vertical="center" wrapText="1"/>
    </xf>
    <xf numFmtId="164" fontId="1" fillId="7" borderId="24" applyAlignment="1" pivotButton="0" quotePrefix="0" xfId="41">
      <alignment horizontal="center" vertical="center" wrapText="1"/>
    </xf>
    <xf numFmtId="0" fontId="1" fillId="0" borderId="24" applyAlignment="1" pivotButton="0" quotePrefix="0" xfId="41">
      <alignment horizontal="center" vertical="center"/>
    </xf>
    <xf numFmtId="2" fontId="1" fillId="7" borderId="24" applyAlignment="1" pivotButton="0" quotePrefix="0" xfId="41">
      <alignment horizontal="center" vertical="center"/>
    </xf>
    <xf numFmtId="2" fontId="0" fillId="7" borderId="24" applyAlignment="1" pivotButton="0" quotePrefix="0" xfId="44">
      <alignment horizontal="center" vertical="center" wrapText="1"/>
    </xf>
    <xf numFmtId="4" fontId="1" fillId="0" borderId="24" applyAlignment="1" pivotButton="0" quotePrefix="0" xfId="41">
      <alignment horizontal="center" vertical="center"/>
    </xf>
    <xf numFmtId="196" fontId="1" fillId="7" borderId="24" applyAlignment="1" pivotButton="0" quotePrefix="0" xfId="42">
      <alignment horizontal="center" vertical="center"/>
    </xf>
    <xf numFmtId="204" fontId="1" fillId="0" borderId="49" applyAlignment="1" pivotButton="0" quotePrefix="0" xfId="3">
      <alignment horizontal="center" vertical="center" wrapText="1"/>
    </xf>
    <xf numFmtId="0" fontId="84" fillId="0" borderId="24" applyAlignment="1" pivotButton="0" quotePrefix="0" xfId="40">
      <alignment horizontal="center" vertical="center" wrapText="1"/>
    </xf>
    <xf numFmtId="0" fontId="99" fillId="0" borderId="24" applyAlignment="1" pivotButton="0" quotePrefix="0" xfId="37">
      <alignment horizontal="center" vertical="center" wrapText="1"/>
    </xf>
    <xf numFmtId="0" fontId="34" fillId="0" borderId="49" applyAlignment="1" pivotButton="0" quotePrefix="0" xfId="28">
      <alignment horizontal="center" vertical="center" wrapText="1"/>
    </xf>
    <xf numFmtId="205" fontId="57" fillId="0" borderId="50" applyAlignment="1" pivotButton="0" quotePrefix="0" xfId="3">
      <alignment horizontal="center" vertical="center" wrapText="1"/>
    </xf>
    <xf numFmtId="195" fontId="40" fillId="19" borderId="180" applyAlignment="1" pivotButton="0" quotePrefix="0" xfId="39">
      <alignment vertical="center"/>
    </xf>
    <xf numFmtId="0" fontId="1" fillId="0" borderId="24" applyAlignment="1" pivotButton="0" quotePrefix="0" xfId="3">
      <alignment horizontal="center" vertical="center" wrapText="1"/>
    </xf>
    <xf numFmtId="3" fontId="1" fillId="0" borderId="41" applyAlignment="1" pivotButton="0" quotePrefix="0" xfId="3">
      <alignment horizontal="center" vertical="center" wrapText="1"/>
    </xf>
    <xf numFmtId="3" fontId="1" fillId="0" borderId="24" applyAlignment="1" pivotButton="0" quotePrefix="0" xfId="3">
      <alignment horizontal="center" vertical="center" wrapText="1"/>
    </xf>
    <xf numFmtId="14" fontId="1" fillId="0" borderId="24" applyAlignment="1" pivotButton="0" quotePrefix="0" xfId="3">
      <alignment horizontal="center" vertical="center"/>
    </xf>
    <xf numFmtId="0" fontId="1" fillId="0" borderId="73" applyAlignment="1" pivotButton="0" quotePrefix="0" xfId="3">
      <alignment horizontal="center" vertical="center" wrapText="1"/>
    </xf>
    <xf numFmtId="3" fontId="1" fillId="0" borderId="90" applyAlignment="1" pivotButton="0" quotePrefix="0" xfId="3">
      <alignment horizontal="center" vertical="center" wrapText="1"/>
    </xf>
    <xf numFmtId="3" fontId="1" fillId="0" borderId="73" applyAlignment="1" pivotButton="0" quotePrefix="0" xfId="3">
      <alignment horizontal="center" vertical="center" wrapText="1"/>
    </xf>
    <xf numFmtId="14" fontId="1" fillId="0" borderId="73" applyAlignment="1" pivotButton="0" quotePrefix="0" xfId="3">
      <alignment horizontal="center" vertical="center"/>
    </xf>
    <xf numFmtId="0" fontId="1" fillId="0" borderId="185" applyAlignment="1" pivotButton="0" quotePrefix="0" xfId="3">
      <alignment horizontal="center" vertical="center" wrapText="1"/>
    </xf>
    <xf numFmtId="165" fontId="1" fillId="0" borderId="185" applyAlignment="1" pivotButton="0" quotePrefix="0" xfId="3">
      <alignment horizontal="center" vertical="center" wrapText="1"/>
    </xf>
    <xf numFmtId="3" fontId="1" fillId="0" borderId="185" applyAlignment="1" pivotButton="0" quotePrefix="0" xfId="3">
      <alignment horizontal="center" vertical="center" wrapText="1"/>
    </xf>
    <xf numFmtId="14" fontId="1" fillId="0" borderId="185" applyAlignment="1" pivotButton="0" quotePrefix="0" xfId="3">
      <alignment horizontal="center" vertical="center"/>
    </xf>
    <xf numFmtId="0" fontId="1" fillId="0" borderId="185" applyAlignment="1" pivotButton="0" quotePrefix="0" xfId="3">
      <alignment horizontal="left" vertical="center" wrapText="1"/>
    </xf>
    <xf numFmtId="0" fontId="1" fillId="7" borderId="185" applyAlignment="1" pivotButton="0" quotePrefix="0" xfId="3">
      <alignment vertical="center"/>
    </xf>
    <xf numFmtId="0" fontId="1" fillId="0" borderId="90" applyAlignment="1" pivotButton="0" quotePrefix="0" xfId="3">
      <alignment horizontal="center" vertical="center" wrapText="1"/>
    </xf>
    <xf numFmtId="165" fontId="1" fillId="0" borderId="90" applyAlignment="1" pivotButton="0" quotePrefix="0" xfId="3">
      <alignment horizontal="center" vertical="center" wrapText="1"/>
    </xf>
    <xf numFmtId="14" fontId="1" fillId="0" borderId="90" applyAlignment="1" pivotButton="0" quotePrefix="0" xfId="3">
      <alignment horizontal="center" vertical="center"/>
    </xf>
    <xf numFmtId="0" fontId="1" fillId="20" borderId="30" applyAlignment="1" pivotButton="0" quotePrefix="0" xfId="3">
      <alignment horizontal="left" vertical="center" wrapText="1"/>
    </xf>
    <xf numFmtId="0" fontId="1" fillId="7" borderId="90" applyAlignment="1" pivotButton="0" quotePrefix="0" xfId="3">
      <alignment vertical="center"/>
    </xf>
    <xf numFmtId="0" fontId="1" fillId="0" borderId="41" applyAlignment="1" pivotButton="0" quotePrefix="0" xfId="3">
      <alignment horizontal="center" vertical="center" wrapText="1"/>
    </xf>
    <xf numFmtId="165" fontId="1" fillId="0" borderId="41" applyAlignment="1" pivotButton="0" quotePrefix="0" xfId="3">
      <alignment horizontal="center" vertical="center" wrapText="1"/>
    </xf>
    <xf numFmtId="14" fontId="1" fillId="0" borderId="41" applyAlignment="1" pivotButton="0" quotePrefix="0" xfId="3">
      <alignment horizontal="center" vertical="center"/>
    </xf>
    <xf numFmtId="0" fontId="1" fillId="20" borderId="36" applyAlignment="1" pivotButton="0" quotePrefix="0" xfId="3">
      <alignment horizontal="left" vertical="center" wrapText="1"/>
    </xf>
    <xf numFmtId="0" fontId="1" fillId="7" borderId="41" applyAlignment="1" pivotButton="0" quotePrefix="0" xfId="3">
      <alignment vertical="center"/>
    </xf>
    <xf numFmtId="0" fontId="1" fillId="20" borderId="28" applyAlignment="1" pivotButton="0" quotePrefix="0" xfId="3">
      <alignment horizontal="left" vertical="center" wrapText="1"/>
    </xf>
    <xf numFmtId="0" fontId="1" fillId="7" borderId="73" applyAlignment="1" pivotButton="0" quotePrefix="0" xfId="3">
      <alignment vertical="center"/>
    </xf>
    <xf numFmtId="0" fontId="1" fillId="20" borderId="25" applyAlignment="1" pivotButton="0" quotePrefix="0" xfId="3">
      <alignment horizontal="left" vertical="center" wrapText="1"/>
    </xf>
    <xf numFmtId="0" fontId="1" fillId="7" borderId="24" applyAlignment="1" pivotButton="0" quotePrefix="0" xfId="3">
      <alignment vertical="center"/>
    </xf>
    <xf numFmtId="0" fontId="1" fillId="0" borderId="60" applyAlignment="1" pivotButton="0" quotePrefix="0" xfId="3">
      <alignment horizontal="center" vertical="center" wrapText="1"/>
    </xf>
    <xf numFmtId="165" fontId="1" fillId="0" borderId="60" applyAlignment="1" pivotButton="0" quotePrefix="0" xfId="3">
      <alignment horizontal="center" vertical="center" wrapText="1"/>
    </xf>
    <xf numFmtId="3" fontId="1" fillId="0" borderId="60" applyAlignment="1" pivotButton="0" quotePrefix="0" xfId="3">
      <alignment horizontal="center" vertical="center" wrapText="1"/>
    </xf>
    <xf numFmtId="14" fontId="1" fillId="0" borderId="60" applyAlignment="1" pivotButton="0" quotePrefix="0" xfId="3">
      <alignment horizontal="center" vertical="center"/>
    </xf>
    <xf numFmtId="165" fontId="1" fillId="0" borderId="24" applyAlignment="1" pivotButton="0" quotePrefix="0" xfId="3">
      <alignment horizontal="center" vertical="center" wrapText="1"/>
    </xf>
    <xf numFmtId="165" fontId="1" fillId="0" borderId="73" applyAlignment="1" pivotButton="0" quotePrefix="0" xfId="3">
      <alignment horizontal="center" vertical="center" wrapText="1"/>
    </xf>
    <xf numFmtId="1" fontId="1" fillId="0" borderId="24" applyAlignment="1" pivotButton="0" quotePrefix="0" xfId="3">
      <alignment horizontal="center" vertical="center" wrapText="1"/>
    </xf>
    <xf numFmtId="4" fontId="1" fillId="0" borderId="24" applyAlignment="1" pivotButton="0" quotePrefix="0" xfId="3">
      <alignment horizontal="center" vertical="center" wrapText="1"/>
    </xf>
    <xf numFmtId="3" fontId="27" fillId="0" borderId="202" applyAlignment="1" pivotButton="0" quotePrefix="0" xfId="3">
      <alignment horizontal="center" vertical="center" wrapText="1"/>
    </xf>
    <xf numFmtId="0" fontId="1" fillId="7" borderId="203" applyAlignment="1" pivotButton="0" quotePrefix="0" xfId="3">
      <alignment vertical="center"/>
    </xf>
    <xf numFmtId="0" fontId="1" fillId="0" borderId="201" applyAlignment="1" pivotButton="0" quotePrefix="0" xfId="3">
      <alignment horizontal="left" vertical="center" wrapText="1"/>
    </xf>
    <xf numFmtId="2" fontId="27" fillId="0" borderId="204" applyAlignment="1" pivotButton="0" quotePrefix="0" xfId="3">
      <alignment horizontal="center" vertical="center" wrapText="1"/>
    </xf>
    <xf numFmtId="0" fontId="32" fillId="0" borderId="204" applyAlignment="1" pivotButton="0" quotePrefix="0" xfId="29">
      <alignment horizontal="center" vertical="center" wrapText="1"/>
    </xf>
    <xf numFmtId="0" fontId="1" fillId="0" borderId="204" applyAlignment="1" pivotButton="0" quotePrefix="0" xfId="3">
      <alignment horizontal="left" vertical="center" wrapText="1"/>
    </xf>
    <xf numFmtId="182" fontId="58" fillId="0" borderId="18" pivotButton="0" quotePrefix="0" xfId="24"/>
    <xf numFmtId="3" fontId="35" fillId="0" borderId="41" applyAlignment="1" pivotButton="0" quotePrefix="0" xfId="1">
      <alignment horizontal="center" vertical="center"/>
    </xf>
    <xf numFmtId="3" fontId="35" fillId="0" borderId="118" applyAlignment="1" pivotButton="0" quotePrefix="0" xfId="1">
      <alignment horizontal="center" vertical="center"/>
    </xf>
    <xf numFmtId="166" fontId="35" fillId="0" borderId="41" applyAlignment="1" pivotButton="0" quotePrefix="0" xfId="1">
      <alignment horizontal="center" vertical="center"/>
    </xf>
    <xf numFmtId="166" fontId="35" fillId="0" borderId="118" applyAlignment="1" pivotButton="0" quotePrefix="0" xfId="1">
      <alignment horizontal="center" vertical="center"/>
    </xf>
    <xf numFmtId="0" fontId="35" fillId="0" borderId="73" applyAlignment="1" pivotButton="0" quotePrefix="0" xfId="1">
      <alignment horizontal="center" vertical="center" wrapText="1"/>
    </xf>
    <xf numFmtId="0" fontId="39" fillId="0" borderId="73" applyAlignment="1" pivotButton="0" quotePrefix="0" xfId="0">
      <alignment horizontal="center" vertical="center" wrapText="1"/>
    </xf>
    <xf numFmtId="4" fontId="35" fillId="0" borderId="90" applyAlignment="1" pivotButton="0" quotePrefix="0" xfId="1">
      <alignment horizontal="center" vertical="center"/>
    </xf>
    <xf numFmtId="4" fontId="38" fillId="0" borderId="66" applyAlignment="1" pivotButton="0" quotePrefix="0" xfId="1">
      <alignment horizontal="center" vertical="center"/>
    </xf>
    <xf numFmtId="167" fontId="38" fillId="0" borderId="18" applyAlignment="1" pivotButton="0" quotePrefix="0" xfId="1">
      <alignment vertical="center"/>
    </xf>
    <xf numFmtId="170" fontId="38" fillId="0" borderId="18" applyAlignment="1" pivotButton="0" quotePrefix="0" xfId="1">
      <alignment vertical="center"/>
    </xf>
    <xf numFmtId="0" fontId="38" fillId="0" borderId="59" applyAlignment="1" pivotButton="0" quotePrefix="0" xfId="1">
      <alignment horizontal="center"/>
    </xf>
    <xf numFmtId="0" fontId="38" fillId="0" borderId="60" applyAlignment="1" pivotButton="0" quotePrefix="0" xfId="1">
      <alignment horizontal="center"/>
    </xf>
    <xf numFmtId="0" fontId="38" fillId="0" borderId="64" applyAlignment="1" pivotButton="0" quotePrefix="0" xfId="1">
      <alignment horizontal="center"/>
    </xf>
    <xf numFmtId="0" fontId="38" fillId="0" borderId="65" applyAlignment="1" pivotButton="0" quotePrefix="0" xfId="1">
      <alignment horizontal="center"/>
    </xf>
    <xf numFmtId="3" fontId="38" fillId="0" borderId="61" applyAlignment="1" pivotButton="0" quotePrefix="0" xfId="1">
      <alignment horizontal="center" vertical="center"/>
    </xf>
    <xf numFmtId="0" fontId="29" fillId="0" borderId="185" applyAlignment="1" pivotButton="0" quotePrefix="0" xfId="3">
      <alignment horizontal="left" vertical="center" wrapText="1"/>
    </xf>
    <xf numFmtId="180" fontId="7" fillId="15" borderId="84" applyAlignment="1" pivotButton="0" quotePrefix="0" xfId="24">
      <alignment vertical="center"/>
    </xf>
    <xf numFmtId="0" fontId="10" fillId="2" borderId="116" applyAlignment="1" pivotButton="0" quotePrefix="0" xfId="15">
      <alignment horizontal="center" vertical="center" wrapText="1"/>
    </xf>
    <xf numFmtId="0" fontId="71" fillId="0" borderId="119" applyAlignment="1" pivotButton="0" quotePrefix="0" xfId="15">
      <alignment horizontal="center" vertical="center"/>
    </xf>
    <xf numFmtId="0" fontId="11" fillId="0" borderId="120" applyAlignment="1" pivotButton="0" quotePrefix="0" xfId="15">
      <alignment vertical="center" wrapText="1"/>
    </xf>
    <xf numFmtId="0" fontId="11" fillId="0" borderId="120" applyAlignment="1" pivotButton="0" quotePrefix="0" xfId="15">
      <alignment horizontal="center" vertical="center" wrapText="1"/>
    </xf>
    <xf numFmtId="2" fontId="11" fillId="0" borderId="120" applyAlignment="1" pivotButton="0" quotePrefix="0" xfId="15">
      <alignment horizontal="center" vertical="center" wrapText="1"/>
    </xf>
    <xf numFmtId="4" fontId="11" fillId="0" borderId="120" applyAlignment="1" pivotButton="0" quotePrefix="0" xfId="15">
      <alignment horizontal="center" vertical="center" wrapText="1"/>
    </xf>
    <xf numFmtId="0" fontId="11" fillId="0" borderId="120" applyAlignment="1" pivotButton="0" quotePrefix="0" xfId="15">
      <alignment horizontal="center" vertical="center"/>
    </xf>
    <xf numFmtId="1" fontId="11" fillId="0" borderId="120" applyAlignment="1" pivotButton="0" quotePrefix="0" xfId="15">
      <alignment horizontal="center" vertical="center"/>
    </xf>
    <xf numFmtId="171" fontId="11" fillId="0" borderId="120" applyAlignment="1" pivotButton="0" quotePrefix="0" xfId="15">
      <alignment horizontal="center" vertical="center"/>
    </xf>
    <xf numFmtId="9" fontId="11" fillId="0" borderId="120" applyAlignment="1" pivotButton="0" quotePrefix="0" xfId="15">
      <alignment horizontal="center" vertical="center"/>
    </xf>
    <xf numFmtId="2" fontId="9" fillId="0" borderId="120" applyAlignment="1" pivotButton="0" quotePrefix="0" xfId="15">
      <alignment horizontal="center" vertical="center"/>
    </xf>
    <xf numFmtId="167" fontId="111" fillId="0" borderId="60" applyAlignment="1" pivotButton="0" quotePrefix="0" xfId="15">
      <alignment vertical="center"/>
    </xf>
    <xf numFmtId="180" fontId="111" fillId="0" borderId="60" applyAlignment="1" pivotButton="0" quotePrefix="0" xfId="15">
      <alignment horizontal="center" vertical="center"/>
    </xf>
    <xf numFmtId="170" fontId="112" fillId="0" borderId="60" applyAlignment="1" pivotButton="0" quotePrefix="0" xfId="15">
      <alignment vertical="center"/>
    </xf>
    <xf numFmtId="167" fontId="111" fillId="0" borderId="24" applyAlignment="1" pivotButton="0" quotePrefix="0" xfId="15">
      <alignment vertical="center"/>
    </xf>
    <xf numFmtId="180" fontId="111" fillId="0" borderId="24" applyAlignment="1" pivotButton="0" quotePrefix="0" xfId="15">
      <alignment horizontal="center" vertical="center"/>
    </xf>
    <xf numFmtId="170" fontId="112" fillId="0" borderId="24" applyAlignment="1" pivotButton="0" quotePrefix="0" xfId="15">
      <alignment vertical="center"/>
    </xf>
    <xf numFmtId="167" fontId="111" fillId="0" borderId="65" applyAlignment="1" pivotButton="0" quotePrefix="0" xfId="15">
      <alignment vertical="center"/>
    </xf>
    <xf numFmtId="180" fontId="111" fillId="0" borderId="65" applyAlignment="1" pivotButton="0" quotePrefix="0" xfId="15">
      <alignment horizontal="center" vertical="center"/>
    </xf>
    <xf numFmtId="170" fontId="112" fillId="0" borderId="65" applyAlignment="1" pivotButton="0" quotePrefix="0" xfId="15">
      <alignment vertical="center"/>
    </xf>
    <xf numFmtId="167" fontId="113" fillId="0" borderId="126" applyAlignment="1" pivotButton="0" quotePrefix="0" xfId="15">
      <alignment vertical="center"/>
    </xf>
    <xf numFmtId="180" fontId="113" fillId="0" borderId="126" applyAlignment="1" pivotButton="0" quotePrefix="0" xfId="15">
      <alignment vertical="center"/>
    </xf>
    <xf numFmtId="170" fontId="113" fillId="0" borderId="131" applyAlignment="1" pivotButton="0" quotePrefix="0" xfId="15">
      <alignment vertical="center"/>
    </xf>
    <xf numFmtId="204" fontId="7" fillId="15" borderId="84" applyAlignment="1" pivotButton="0" quotePrefix="0" xfId="24">
      <alignment vertical="center" wrapText="1"/>
    </xf>
    <xf numFmtId="0" fontId="4" fillId="0" borderId="122" applyAlignment="1" pivotButton="0" quotePrefix="0" xfId="24">
      <alignment horizontal="center" vertical="center"/>
    </xf>
    <xf numFmtId="0" fontId="67" fillId="0" borderId="41" applyAlignment="1" pivotButton="0" quotePrefix="0" xfId="24">
      <alignment horizontal="center" vertical="center" wrapText="1"/>
    </xf>
    <xf numFmtId="0" fontId="4" fillId="0" borderId="41" applyAlignment="1" pivotButton="0" quotePrefix="0" xfId="24">
      <alignment horizontal="center" vertical="center"/>
    </xf>
    <xf numFmtId="2" fontId="4" fillId="0" borderId="41" applyAlignment="1" pivotButton="0" quotePrefix="0" xfId="24">
      <alignment horizontal="center" vertical="center"/>
    </xf>
    <xf numFmtId="0" fontId="4" fillId="0" borderId="123" applyAlignment="1" pivotButton="0" quotePrefix="0" xfId="24">
      <alignment horizontal="center" vertical="center"/>
    </xf>
    <xf numFmtId="0" fontId="67" fillId="0" borderId="65" applyAlignment="1" pivotButton="0" quotePrefix="0" xfId="24">
      <alignment horizontal="center" vertical="center" wrapText="1"/>
    </xf>
    <xf numFmtId="0" fontId="39" fillId="0" borderId="66" applyAlignment="1" pivotButton="0" quotePrefix="0" xfId="24">
      <alignment horizontal="center" vertical="center"/>
    </xf>
    <xf numFmtId="176" fontId="114" fillId="0" borderId="120" applyAlignment="1" pivotButton="0" quotePrefix="0" xfId="15">
      <alignment horizontal="center" vertical="center"/>
    </xf>
    <xf numFmtId="177" fontId="114" fillId="0" borderId="121" applyAlignment="1" pivotButton="0" quotePrefix="0" xfId="15">
      <alignment horizontal="center" vertical="center"/>
    </xf>
    <xf numFmtId="0" fontId="28" fillId="0" borderId="24" applyAlignment="1" applyProtection="1" pivotButton="0" quotePrefix="0" xfId="13">
      <alignment horizont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28" fillId="0" borderId="24" applyAlignment="1" pivotButton="0" quotePrefix="0" xfId="13">
      <alignment horizontal="left"/>
    </xf>
    <xf numFmtId="0" fontId="0" fillId="0" borderId="26" pivotButton="0" quotePrefix="0" xfId="0"/>
    <xf numFmtId="0" fontId="0" fillId="0" borderId="27" pivotButton="0" quotePrefix="0" xfId="0"/>
    <xf numFmtId="0" fontId="43" fillId="0" borderId="24" applyAlignment="1" pivotButton="0" quotePrefix="0" xfId="13">
      <alignment horizontal="center"/>
    </xf>
    <xf numFmtId="175" fontId="11" fillId="0" borderId="18" applyAlignment="1" pivotButton="0" quotePrefix="0" xfId="24">
      <alignment horizontal="center"/>
    </xf>
    <xf numFmtId="0" fontId="58" fillId="0" borderId="18" pivotButton="0" quotePrefix="0" xfId="24"/>
    <xf numFmtId="180" fontId="11" fillId="0" borderId="32" applyAlignment="1" pivotButton="0" quotePrefix="0" xfId="24">
      <alignment horizontal="center"/>
    </xf>
    <xf numFmtId="0" fontId="0" fillId="0" borderId="32" pivotButton="0" quotePrefix="0" xfId="0"/>
    <xf numFmtId="0" fontId="9" fillId="0" borderId="12" applyAlignment="1" pivotButton="0" quotePrefix="0" xfId="24">
      <alignment horizontal="center" wrapText="1"/>
    </xf>
    <xf numFmtId="0" fontId="0" fillId="0" borderId="12" pivotButton="0" quotePrefix="0" xfId="0"/>
    <xf numFmtId="0" fontId="60" fillId="0" borderId="31" applyAlignment="1" pivotButton="0" quotePrefix="0" xfId="24">
      <alignment horizontal="left"/>
    </xf>
    <xf numFmtId="0" fontId="8" fillId="0" borderId="18" applyAlignment="1" pivotButton="0" quotePrefix="0" xfId="24">
      <alignment horizontal="center" vertical="center"/>
    </xf>
    <xf numFmtId="186" fontId="9" fillId="0" borderId="12" applyAlignment="1" pivotButton="0" quotePrefix="0" xfId="24">
      <alignment horizontal="center" wrapText="1"/>
    </xf>
    <xf numFmtId="0" fontId="8" fillId="2" borderId="163" applyAlignment="1" pivotButton="0" quotePrefix="0" xfId="24">
      <alignment horizontal="center" vertical="center" wrapText="1"/>
    </xf>
    <xf numFmtId="0" fontId="0" fillId="0" borderId="67" pivotButton="0" quotePrefix="0" xfId="0"/>
    <xf numFmtId="0" fontId="9" fillId="2" borderId="60" applyAlignment="1" pivotButton="0" quotePrefix="0" xfId="24">
      <alignment horizontal="center" vertical="center"/>
    </xf>
    <xf numFmtId="0" fontId="0" fillId="0" borderId="70" pivotButton="0" quotePrefix="0" xfId="0"/>
    <xf numFmtId="0" fontId="0" fillId="0" borderId="89" pivotButton="0" quotePrefix="0" xfId="0"/>
    <xf numFmtId="0" fontId="9" fillId="0" borderId="1" applyAlignment="1" pivotButton="0" quotePrefix="0" xfId="24">
      <alignment horizontal="center"/>
    </xf>
    <xf numFmtId="0" fontId="0" fillId="0" borderId="1" pivotButton="0" quotePrefix="0" xfId="0"/>
    <xf numFmtId="0" fontId="9" fillId="0" borderId="19" applyAlignment="1" pivotButton="0" quotePrefix="0" xfId="24">
      <alignment horizontal="center" vertical="center" wrapText="1"/>
    </xf>
    <xf numFmtId="0" fontId="0" fillId="0" borderId="19" pivotButton="0" quotePrefix="0" xfId="0"/>
    <xf numFmtId="170" fontId="11" fillId="0" borderId="18" applyAlignment="1" pivotButton="0" quotePrefix="0" xfId="24">
      <alignment horizontal="center"/>
    </xf>
    <xf numFmtId="0" fontId="9" fillId="0" borderId="20" applyAlignment="1" pivotButton="0" quotePrefix="0" xfId="24">
      <alignment horizontal="center" vertical="center" wrapText="1"/>
    </xf>
    <xf numFmtId="0" fontId="0" fillId="0" borderId="20" pivotButton="0" quotePrefix="0" xfId="0"/>
    <xf numFmtId="0" fontId="9" fillId="0" borderId="33" applyAlignment="1" pivotButton="0" quotePrefix="0" xfId="24">
      <alignment horizontal="left" vertical="center"/>
    </xf>
    <xf numFmtId="0" fontId="0" fillId="0" borderId="58" pivotButton="0" quotePrefix="0" xfId="0"/>
    <xf numFmtId="185" fontId="9" fillId="0" borderId="10" applyAlignment="1" pivotButton="0" quotePrefix="0" xfId="24">
      <alignment horizontal="center" wrapText="1"/>
    </xf>
    <xf numFmtId="0" fontId="0" fillId="0" borderId="10" pivotButton="0" quotePrefix="0" xfId="0"/>
    <xf numFmtId="0" fontId="9" fillId="2" borderId="69" applyAlignment="1" pivotButton="0" quotePrefix="0" xfId="24">
      <alignment horizontal="left" vertical="center"/>
    </xf>
    <xf numFmtId="0" fontId="9" fillId="14" borderId="31" applyAlignment="1" pivotButton="0" quotePrefix="0" xfId="24">
      <alignment horizontal="left"/>
    </xf>
    <xf numFmtId="170" fontId="9" fillId="14" borderId="18" applyAlignment="1" pivotButton="0" quotePrefix="0" xfId="24">
      <alignment horizontal="center"/>
    </xf>
    <xf numFmtId="175" fontId="9" fillId="14" borderId="18" applyAlignment="1" pivotButton="0" quotePrefix="0" xfId="24">
      <alignment horizontal="center"/>
    </xf>
    <xf numFmtId="0" fontId="9" fillId="0" borderId="58" applyAlignment="1" pivotButton="0" quotePrefix="0" xfId="24">
      <alignment horizontal="center" vertical="center"/>
    </xf>
    <xf numFmtId="180" fontId="9" fillId="13" borderId="32" applyAlignment="1" pivotButton="0" quotePrefix="0" xfId="24">
      <alignment horizontal="center"/>
    </xf>
    <xf numFmtId="0" fontId="7" fillId="0" borderId="118" applyAlignment="1" pivotButton="0" quotePrefix="0" xfId="24">
      <alignment horizontal="left" vertical="center" wrapText="1"/>
    </xf>
    <xf numFmtId="170" fontId="9" fillId="13" borderId="18" applyAlignment="1" pivotButton="0" quotePrefix="0" xfId="24">
      <alignment horizontal="center"/>
    </xf>
    <xf numFmtId="0" fontId="59" fillId="0" borderId="56" applyAlignment="1" pivotButton="0" quotePrefix="0" xfId="24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7" fillId="0" borderId="65" applyAlignment="1" pivotButton="0" quotePrefix="0" xfId="24">
      <alignment horizontal="left" vertical="center" wrapText="1"/>
    </xf>
    <xf numFmtId="0" fontId="0" fillId="0" borderId="165" pivotButton="0" quotePrefix="0" xfId="0"/>
    <xf numFmtId="0" fontId="0" fillId="0" borderId="166" pivotButton="0" quotePrefix="0" xfId="0"/>
    <xf numFmtId="180" fontId="9" fillId="14" borderId="32" applyAlignment="1" pivotButton="0" quotePrefix="0" xfId="24">
      <alignment horizontal="center"/>
    </xf>
    <xf numFmtId="14" fontId="9" fillId="0" borderId="12" applyAlignment="1" pivotButton="0" quotePrefix="0" xfId="24">
      <alignment horizontal="center" wrapText="1"/>
    </xf>
    <xf numFmtId="0" fontId="9" fillId="13" borderId="31" applyAlignment="1" pivotButton="0" quotePrefix="0" xfId="24">
      <alignment horizontal="left"/>
    </xf>
    <xf numFmtId="0" fontId="7" fillId="0" borderId="164" applyAlignment="1" pivotButton="0" quotePrefix="0" xfId="24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9" fillId="2" borderId="70" applyAlignment="1" pivotButton="0" quotePrefix="0" xfId="24">
      <alignment horizontal="center" vertical="center"/>
    </xf>
    <xf numFmtId="175" fontId="9" fillId="13" borderId="18" applyAlignment="1" pivotButton="0" quotePrefix="0" xfId="24">
      <alignment horizontal="center"/>
    </xf>
    <xf numFmtId="0" fontId="9" fillId="0" borderId="57" applyAlignment="1" pivotButton="0" quotePrefix="0" xfId="24">
      <alignment horizontal="left" vertical="center"/>
    </xf>
    <xf numFmtId="170" fontId="61" fillId="0" borderId="58" applyAlignment="1" pivotButton="0" quotePrefix="0" xfId="24">
      <alignment horizontal="center"/>
    </xf>
    <xf numFmtId="0" fontId="9" fillId="0" borderId="34" applyAlignment="1" pivotButton="0" quotePrefix="0" xfId="24">
      <alignment horizontal="center" vertical="center"/>
    </xf>
    <xf numFmtId="0" fontId="0" fillId="0" borderId="34" pivotButton="0" quotePrefix="0" xfId="0"/>
    <xf numFmtId="180" fontId="61" fillId="0" borderId="34" applyAlignment="1" pivotButton="0" quotePrefix="0" xfId="24">
      <alignment horizontal="center"/>
    </xf>
    <xf numFmtId="0" fontId="9" fillId="2" borderId="71" applyAlignment="1" pivotButton="0" quotePrefix="0" xfId="24">
      <alignment horizontal="center" vertical="center"/>
    </xf>
    <xf numFmtId="0" fontId="0" fillId="0" borderId="71" pivotButton="0" quotePrefix="0" xfId="0"/>
    <xf numFmtId="0" fontId="61" fillId="0" borderId="33" applyAlignment="1" pivotButton="0" quotePrefix="0" xfId="24">
      <alignment horizontal="left"/>
    </xf>
    <xf numFmtId="175" fontId="61" fillId="0" borderId="58" applyAlignment="1" pivotButton="0" quotePrefix="0" xfId="24">
      <alignment horizontal="center"/>
    </xf>
    <xf numFmtId="0" fontId="14" fillId="0" borderId="24" applyAlignment="1" pivotButton="0" quotePrefix="0" xfId="24">
      <alignment horizontal="center" vertical="center"/>
    </xf>
    <xf numFmtId="16" fontId="15" fillId="0" borderId="24" applyAlignment="1" pivotButton="0" quotePrefix="0" xfId="24">
      <alignment horizontal="center" vertical="center" wrapText="1"/>
    </xf>
    <xf numFmtId="0" fontId="10" fillId="2" borderId="24" applyAlignment="1" pivotButton="0" quotePrefix="0" xfId="24">
      <alignment horizontal="center" vertical="center" wrapText="1"/>
    </xf>
    <xf numFmtId="0" fontId="0" fillId="0" borderId="29" pivotButton="0" quotePrefix="0" xfId="0"/>
    <xf numFmtId="0" fontId="0" fillId="0" borderId="39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10" fillId="2" borderId="167" applyAlignment="1" pivotButton="0" quotePrefix="0" xfId="24">
      <alignment horizontal="left"/>
    </xf>
    <xf numFmtId="0" fontId="10" fillId="2" borderId="60" applyAlignment="1" pivotButton="0" quotePrefix="0" xfId="24">
      <alignment horizontal="center" vertical="center" wrapText="1"/>
    </xf>
    <xf numFmtId="0" fontId="0" fillId="0" borderId="41" pivotButton="0" quotePrefix="0" xfId="0"/>
    <xf numFmtId="0" fontId="13" fillId="2" borderId="61" applyAlignment="1" pivotButton="0" quotePrefix="0" xfId="24">
      <alignment horizontal="center" vertical="center" wrapText="1"/>
    </xf>
    <xf numFmtId="0" fontId="0" fillId="0" borderId="123" pivotButton="0" quotePrefix="0" xfId="0"/>
    <xf numFmtId="0" fontId="8" fillId="2" borderId="168" applyAlignment="1" pivotButton="0" quotePrefix="0" xfId="24">
      <alignment horizontal="left"/>
    </xf>
    <xf numFmtId="0" fontId="0" fillId="0" borderId="78" pivotButton="0" quotePrefix="0" xfId="0"/>
    <xf numFmtId="0" fontId="0" fillId="0" borderId="40" pivotButton="0" quotePrefix="0" xfId="0"/>
    <xf numFmtId="0" fontId="9" fillId="2" borderId="24" applyAlignment="1" pivotButton="0" quotePrefix="0" xfId="24">
      <alignment horizontal="center" vertical="center"/>
    </xf>
    <xf numFmtId="0" fontId="78" fillId="0" borderId="18" pivotButton="0" quotePrefix="0" xfId="0"/>
    <xf numFmtId="0" fontId="10" fillId="0" borderId="131" applyAlignment="1" pivotButton="0" quotePrefix="0" xfId="24">
      <alignment horizontal="left" vertical="center" wrapText="1"/>
    </xf>
    <xf numFmtId="0" fontId="27" fillId="0" borderId="18" pivotButton="0" quotePrefix="0" xfId="0"/>
    <xf numFmtId="0" fontId="10" fillId="2" borderId="24" applyAlignment="1" pivotButton="0" quotePrefix="0" xfId="24">
      <alignment horizontal="left"/>
    </xf>
    <xf numFmtId="0" fontId="10" fillId="2" borderId="169" applyAlignment="1" pivotButton="0" quotePrefix="0" xfId="24">
      <alignment horizontal="left"/>
    </xf>
    <xf numFmtId="0" fontId="10" fillId="2" borderId="170" applyAlignment="1" pivotButton="0" quotePrefix="0" xfId="24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9" fillId="2" borderId="18" applyAlignment="1" pivotButton="0" quotePrefix="0" xfId="24">
      <alignment horizontal="center"/>
    </xf>
    <xf numFmtId="0" fontId="9" fillId="2" borderId="164" applyAlignment="1" pivotButton="0" quotePrefix="0" xfId="24">
      <alignment horizontal="left"/>
    </xf>
    <xf numFmtId="0" fontId="0" fillId="0" borderId="7" pivotButton="0" quotePrefix="0" xfId="0"/>
    <xf numFmtId="0" fontId="0" fillId="0" borderId="8" pivotButton="0" quotePrefix="0" xfId="0"/>
    <xf numFmtId="0" fontId="9" fillId="2" borderId="18" applyAlignment="1" pivotButton="0" quotePrefix="0" xfId="24">
      <alignment horizontal="center" vertical="center"/>
    </xf>
    <xf numFmtId="0" fontId="8" fillId="2" borderId="24" applyAlignment="1" pivotButton="0" quotePrefix="0" xfId="24">
      <alignment horizontal="center"/>
    </xf>
    <xf numFmtId="0" fontId="13" fillId="2" borderId="24" applyAlignment="1" pivotButton="0" quotePrefix="0" xfId="24">
      <alignment horizontal="center" vertical="center" wrapText="1"/>
    </xf>
    <xf numFmtId="0" fontId="8" fillId="2" borderId="59" applyAlignment="1" pivotButton="0" quotePrefix="0" xfId="24">
      <alignment horizontal="center" vertical="center"/>
    </xf>
    <xf numFmtId="0" fontId="0" fillId="0" borderId="122" pivotButton="0" quotePrefix="0" xfId="0"/>
    <xf numFmtId="0" fontId="14" fillId="0" borderId="131" applyAlignment="1" pivotButton="0" quotePrefix="0" xfId="24">
      <alignment horizontal="left" vertical="top" wrapText="1"/>
    </xf>
    <xf numFmtId="170" fontId="23" fillId="2" borderId="18" applyAlignment="1" pivotButton="0" quotePrefix="0" xfId="1">
      <alignment horizontal="right" vertical="center" wrapText="1"/>
    </xf>
    <xf numFmtId="0" fontId="26" fillId="0" borderId="18" pivotButton="0" quotePrefix="0" xfId="1"/>
    <xf numFmtId="167" fontId="17" fillId="0" borderId="18" applyAlignment="1" pivotButton="0" quotePrefix="0" xfId="1">
      <alignment horizontal="center" vertical="center"/>
    </xf>
    <xf numFmtId="0" fontId="38" fillId="2" borderId="89" applyAlignment="1" pivotButton="0" quotePrefix="0" xfId="1">
      <alignment horizontal="center" vertical="center"/>
    </xf>
    <xf numFmtId="0" fontId="39" fillId="0" borderId="171" applyAlignment="1" pivotButton="0" quotePrefix="0" xfId="1">
      <alignment horizontal="justify" vertical="top"/>
    </xf>
    <xf numFmtId="0" fontId="0" fillId="0" borderId="43" pivotButton="0" quotePrefix="0" xfId="0"/>
    <xf numFmtId="167" fontId="10" fillId="2" borderId="18" applyAlignment="1" pivotButton="0" quotePrefix="0" xfId="1">
      <alignment horizontal="center" vertical="center"/>
    </xf>
    <xf numFmtId="0" fontId="38" fillId="2" borderId="69" applyAlignment="1" pivotButton="0" quotePrefix="0" xfId="1">
      <alignment horizontal="center" vertical="center"/>
    </xf>
    <xf numFmtId="0" fontId="0" fillId="0" borderId="33" pivotButton="0" quotePrefix="0" xfId="0"/>
    <xf numFmtId="0" fontId="11" fillId="0" borderId="24" applyAlignment="1" pivotButton="0" quotePrefix="0" xfId="1">
      <alignment horizontal="center" vertical="center" wrapText="1"/>
    </xf>
    <xf numFmtId="170" fontId="22" fillId="2" borderId="18" applyAlignment="1" pivotButton="0" quotePrefix="0" xfId="1">
      <alignment horizontal="right" vertical="center" wrapText="1"/>
    </xf>
    <xf numFmtId="0" fontId="10" fillId="2" borderId="18" applyAlignment="1" pivotButton="0" quotePrefix="0" xfId="1">
      <alignment horizontal="center" vertical="center" wrapText="1"/>
    </xf>
    <xf numFmtId="167" fontId="8" fillId="2" borderId="18" applyAlignment="1" pivotButton="0" quotePrefix="0" xfId="1">
      <alignment horizontal="center" vertical="center"/>
    </xf>
    <xf numFmtId="0" fontId="8" fillId="2" borderId="173" applyAlignment="1" pivotButton="0" quotePrefix="0" xfId="24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8" fillId="2" borderId="60" applyAlignment="1" pivotButton="0" quotePrefix="0" xfId="24">
      <alignment horizontal="center" vertical="center" wrapText="1"/>
    </xf>
    <xf numFmtId="0" fontId="8" fillId="2" borderId="89" applyAlignment="1" pivotButton="0" quotePrefix="0" xfId="24">
      <alignment horizontal="center" vertical="center" wrapText="1"/>
    </xf>
    <xf numFmtId="0" fontId="8" fillId="2" borderId="91" applyAlignment="1" pivotButton="0" quotePrefix="0" xfId="24">
      <alignment horizontal="center" vertical="center"/>
    </xf>
    <xf numFmtId="0" fontId="0" fillId="0" borderId="96" pivotButton="0" quotePrefix="0" xfId="0"/>
    <xf numFmtId="0" fontId="8" fillId="2" borderId="174" applyAlignment="1" pivotButton="0" quotePrefix="0" xfId="24">
      <alignment horizontal="center" vertical="center" wrapText="1"/>
    </xf>
    <xf numFmtId="0" fontId="0" fillId="0" borderId="100" pivotButton="0" quotePrefix="0" xfId="0"/>
    <xf numFmtId="0" fontId="8" fillId="2" borderId="87" applyAlignment="1" pivotButton="0" quotePrefix="0" xfId="24">
      <alignment horizontal="center" vertical="center"/>
    </xf>
    <xf numFmtId="0" fontId="8" fillId="2" borderId="167" applyAlignment="1" pivotButton="0" quotePrefix="0" xfId="24">
      <alignment horizontal="left"/>
    </xf>
    <xf numFmtId="0" fontId="8" fillId="2" borderId="70" applyAlignment="1" pivotButton="0" quotePrefix="0" xfId="24">
      <alignment horizontal="center" vertical="center" wrapText="1"/>
    </xf>
    <xf numFmtId="0" fontId="8" fillId="2" borderId="92" applyAlignment="1" pivotButton="0" quotePrefix="0" xfId="24">
      <alignment horizontal="center" vertical="center" wrapText="1"/>
    </xf>
    <xf numFmtId="0" fontId="0" fillId="0" borderId="97" pivotButton="0" quotePrefix="0" xfId="0"/>
    <xf numFmtId="0" fontId="11" fillId="0" borderId="172" applyAlignment="1" pivotButton="0" quotePrefix="0" xfId="24">
      <alignment horizontal="left" vertical="top" wrapText="1"/>
    </xf>
    <xf numFmtId="0" fontId="0" fillId="0" borderId="5" pivotButton="0" quotePrefix="0" xfId="0"/>
    <xf numFmtId="0" fontId="0" fillId="0" borderId="106" pivotButton="0" quotePrefix="0" xfId="0"/>
    <xf numFmtId="0" fontId="39" fillId="0" borderId="136" applyAlignment="1" pivotButton="0" quotePrefix="0" xfId="24">
      <alignment horizontal="left" vertical="top" wrapText="1"/>
    </xf>
    <xf numFmtId="0" fontId="0" fillId="0" borderId="31" pivotButton="0" quotePrefix="0" xfId="0"/>
    <xf numFmtId="0" fontId="8" fillId="2" borderId="136" applyAlignment="1" pivotButton="0" quotePrefix="0" xfId="24">
      <alignment horizontal="left"/>
    </xf>
    <xf numFmtId="0" fontId="8" fillId="2" borderId="175" applyAlignment="1" pivotButton="0" quotePrefix="0" xfId="24">
      <alignment horizontal="center" vertical="center"/>
    </xf>
    <xf numFmtId="0" fontId="0" fillId="0" borderId="95" pivotButton="0" quotePrefix="0" xfId="0"/>
    <xf numFmtId="0" fontId="9" fillId="2" borderId="104" applyAlignment="1" pivotButton="0" quotePrefix="0" xfId="24">
      <alignment horizontal="center" vertical="center"/>
    </xf>
    <xf numFmtId="0" fontId="0" fillId="0" borderId="103" pivotButton="0" quotePrefix="0" xfId="0"/>
    <xf numFmtId="0" fontId="8" fillId="2" borderId="61" applyAlignment="1" pivotButton="0" quotePrefix="0" xfId="24">
      <alignment horizontal="center" vertical="center" wrapText="1"/>
    </xf>
    <xf numFmtId="0" fontId="11" fillId="0" borderId="120" applyAlignment="1" pivotButton="0" quotePrefix="0" xfId="15">
      <alignment horizontal="center" vertical="center" wrapText="1"/>
    </xf>
    <xf numFmtId="0" fontId="0" fillId="0" borderId="205" pivotButton="0" quotePrefix="0" xfId="0"/>
    <xf numFmtId="2" fontId="7" fillId="0" borderId="164" applyAlignment="1" pivotButton="0" quotePrefix="0" xfId="15">
      <alignment horizontal="center" vertical="top" wrapText="1"/>
    </xf>
    <xf numFmtId="0" fontId="6" fillId="0" borderId="18" pivotButton="0" quotePrefix="0" xfId="15"/>
    <xf numFmtId="49" fontId="14" fillId="0" borderId="18" applyAlignment="1" pivotButton="0" quotePrefix="0" xfId="15">
      <alignment horizontal="right"/>
    </xf>
    <xf numFmtId="0" fontId="10" fillId="2" borderId="88" applyAlignment="1" pivotButton="0" quotePrefix="0" xfId="15">
      <alignment horizontal="center" vertical="center" wrapText="1"/>
    </xf>
    <xf numFmtId="0" fontId="0" fillId="0" borderId="115" pivotButton="0" quotePrefix="0" xfId="0"/>
    <xf numFmtId="0" fontId="7" fillId="0" borderId="126" applyAlignment="1" pivotButton="0" quotePrefix="0" xfId="15">
      <alignment horizontal="center"/>
    </xf>
    <xf numFmtId="0" fontId="0" fillId="0" borderId="125" pivotButton="0" quotePrefix="0" xfId="0"/>
    <xf numFmtId="0" fontId="8" fillId="0" borderId="18" applyAlignment="1" pivotButton="0" quotePrefix="0" xfId="15">
      <alignment horizontal="left"/>
    </xf>
    <xf numFmtId="0" fontId="92" fillId="0" borderId="77" applyAlignment="1" pivotButton="0" quotePrefix="0" xfId="15">
      <alignment horizontal="center"/>
    </xf>
    <xf numFmtId="0" fontId="1" fillId="0" borderId="34" pivotButton="0" quotePrefix="0" xfId="0"/>
    <xf numFmtId="0" fontId="7" fillId="0" borderId="18" applyAlignment="1" pivotButton="0" quotePrefix="0" xfId="15">
      <alignment horizontal="left"/>
    </xf>
    <xf numFmtId="0" fontId="59" fillId="2" borderId="176" applyAlignment="1" pivotButton="0" quotePrefix="0" xfId="24">
      <alignment horizontal="center" vertical="center"/>
    </xf>
    <xf numFmtId="0" fontId="0" fillId="0" borderId="132" pivotButton="0" quotePrefix="0" xfId="0"/>
    <xf numFmtId="0" fontId="9" fillId="0" borderId="177" applyAlignment="1" pivotButton="0" quotePrefix="0" xfId="24">
      <alignment horizontal="center" vertical="center"/>
    </xf>
    <xf numFmtId="0" fontId="0" fillId="0" borderId="140" pivotButton="0" quotePrefix="0" xfId="0"/>
    <xf numFmtId="0" fontId="0" fillId="0" borderId="147" pivotButton="0" quotePrefix="0" xfId="0"/>
    <xf numFmtId="0" fontId="9" fillId="0" borderId="178" applyAlignment="1" pivotButton="0" quotePrefix="0" xfId="24">
      <alignment horizontal="center" vertical="center"/>
    </xf>
    <xf numFmtId="0" fontId="0" fillId="0" borderId="151" pivotButton="0" quotePrefix="0" xfId="0"/>
    <xf numFmtId="0" fontId="9" fillId="0" borderId="135" applyAlignment="1" pivotButton="0" quotePrefix="0" xfId="24">
      <alignment horizontal="center" vertical="center" wrapText="1"/>
    </xf>
    <xf numFmtId="0" fontId="0" fillId="0" borderId="134" pivotButton="0" quotePrefix="0" xfId="0"/>
    <xf numFmtId="0" fontId="0" fillId="0" borderId="135" pivotButton="0" quotePrefix="0" xfId="0"/>
    <xf numFmtId="0" fontId="55" fillId="20" borderId="186" applyAlignment="1" pivotButton="0" quotePrefix="0" xfId="3">
      <alignment horizontal="center" vertical="center"/>
    </xf>
    <xf numFmtId="0" fontId="55" fillId="20" borderId="187" applyAlignment="1" pivotButton="0" quotePrefix="0" xfId="3">
      <alignment horizontal="center" vertical="center"/>
    </xf>
    <xf numFmtId="0" fontId="55" fillId="20" borderId="188" applyAlignment="1" pivotButton="0" quotePrefix="0" xfId="3">
      <alignment horizontal="center" vertical="center"/>
    </xf>
    <xf numFmtId="185" fontId="9" fillId="0" borderId="10" applyAlignment="1" pivotButton="0" quotePrefix="0" xfId="24">
      <alignment horizontal="center" wrapText="1"/>
    </xf>
    <xf numFmtId="186" fontId="9" fillId="0" borderId="12" applyAlignment="1" pivotButton="0" quotePrefix="0" xfId="24">
      <alignment horizontal="center" wrapText="1"/>
    </xf>
    <xf numFmtId="175" fontId="11" fillId="0" borderId="18" applyAlignment="1" pivotButton="0" quotePrefix="0" xfId="24">
      <alignment horizontal="center"/>
    </xf>
    <xf numFmtId="180" fontId="11" fillId="0" borderId="32" applyAlignment="1" pivotButton="0" quotePrefix="0" xfId="24">
      <alignment horizontal="center"/>
    </xf>
    <xf numFmtId="172" fontId="0" fillId="0" borderId="18" pivotButton="0" quotePrefix="0" xfId="25"/>
    <xf numFmtId="175" fontId="9" fillId="13" borderId="18" applyAlignment="1" pivotButton="0" quotePrefix="0" xfId="24">
      <alignment horizontal="center"/>
    </xf>
    <xf numFmtId="180" fontId="9" fillId="13" borderId="32" applyAlignment="1" pivotButton="0" quotePrefix="0" xfId="24">
      <alignment horizontal="center"/>
    </xf>
    <xf numFmtId="175" fontId="9" fillId="14" borderId="18" applyAlignment="1" pivotButton="0" quotePrefix="0" xfId="24">
      <alignment horizontal="center"/>
    </xf>
    <xf numFmtId="180" fontId="9" fillId="14" borderId="32" applyAlignment="1" pivotButton="0" quotePrefix="0" xfId="24">
      <alignment horizontal="center"/>
    </xf>
    <xf numFmtId="175" fontId="61" fillId="0" borderId="58" applyAlignment="1" pivotButton="0" quotePrefix="0" xfId="24">
      <alignment horizontal="center"/>
    </xf>
    <xf numFmtId="180" fontId="61" fillId="0" borderId="34" applyAlignment="1" pivotButton="0" quotePrefix="0" xfId="24">
      <alignment horizontal="center"/>
    </xf>
    <xf numFmtId="173" fontId="14" fillId="0" borderId="66" applyAlignment="1" pivotButton="0" quotePrefix="0" xfId="24">
      <alignment horizontal="center" vertical="center" wrapText="1"/>
    </xf>
    <xf numFmtId="173" fontId="14" fillId="0" borderId="68" applyAlignment="1" pivotButton="0" quotePrefix="0" xfId="24">
      <alignment horizontal="center" vertical="center" wrapText="1"/>
    </xf>
    <xf numFmtId="173" fontId="14" fillId="0" borderId="123" applyAlignment="1" pivotButton="0" quotePrefix="0" xfId="24">
      <alignment horizontal="center" vertical="center" wrapText="1"/>
    </xf>
    <xf numFmtId="173" fontId="14" fillId="0" borderId="63" applyAlignment="1" pivotButton="0" quotePrefix="0" xfId="24">
      <alignment horizontal="center" vertical="center" wrapText="1"/>
    </xf>
    <xf numFmtId="174" fontId="64" fillId="2" borderId="77" applyAlignment="1" pivotButton="0" quotePrefix="0" xfId="16">
      <alignment horizontal="center" vertical="center"/>
    </xf>
    <xf numFmtId="191" fontId="2" fillId="2" borderId="32" applyAlignment="1" pivotButton="0" quotePrefix="0" xfId="1">
      <alignment horizontal="left"/>
    </xf>
    <xf numFmtId="0" fontId="0" fillId="0" borderId="208" pivotButton="0" quotePrefix="0" xfId="0"/>
    <xf numFmtId="174" fontId="11" fillId="0" borderId="24" applyAlignment="1" pivotButton="0" quotePrefix="0" xfId="16">
      <alignment horizontal="center" vertical="center"/>
    </xf>
    <xf numFmtId="175" fontId="9" fillId="2" borderId="104" applyAlignment="1" pivotButton="0" quotePrefix="0" xfId="24">
      <alignment horizontal="center" vertical="center"/>
    </xf>
    <xf numFmtId="175" fontId="58" fillId="0" borderId="18" pivotButton="0" quotePrefix="0" xfId="24"/>
    <xf numFmtId="190" fontId="9" fillId="2" borderId="22" applyAlignment="1" pivotButton="0" quotePrefix="0" xfId="15">
      <alignment vertical="center"/>
    </xf>
    <xf numFmtId="190" fontId="9" fillId="2" borderId="23" applyAlignment="1" pivotButton="0" quotePrefix="0" xfId="15">
      <alignment vertical="center"/>
    </xf>
    <xf numFmtId="171" fontId="11" fillId="0" borderId="24" applyAlignment="1" pivotButton="0" quotePrefix="0" xfId="15">
      <alignment horizontal="center" vertical="center"/>
    </xf>
    <xf numFmtId="176" fontId="9" fillId="0" borderId="24" applyAlignment="1" pivotButton="0" quotePrefix="0" xfId="15">
      <alignment horizontal="center" vertical="center"/>
    </xf>
    <xf numFmtId="177" fontId="9" fillId="0" borderId="24" applyAlignment="1" pivotButton="0" quotePrefix="0" xfId="15">
      <alignment horizontal="center" vertical="center"/>
    </xf>
    <xf numFmtId="177" fontId="9" fillId="2" borderId="68" applyAlignment="1" pivotButton="0" quotePrefix="0" xfId="15">
      <alignment horizontal="center"/>
    </xf>
    <xf numFmtId="178" fontId="70" fillId="2" borderId="15" applyAlignment="1" pivotButton="0" quotePrefix="0" xfId="15">
      <alignment horizontal="center"/>
    </xf>
    <xf numFmtId="171" fontId="11" fillId="0" borderId="41" applyAlignment="1" pivotButton="0" quotePrefix="0" xfId="15">
      <alignment horizontal="center" vertical="center"/>
    </xf>
    <xf numFmtId="176" fontId="9" fillId="0" borderId="41" applyAlignment="1" pivotButton="0" quotePrefix="0" xfId="15">
      <alignment horizontal="center" vertical="center"/>
    </xf>
    <xf numFmtId="177" fontId="9" fillId="0" borderId="123" applyAlignment="1" pivotButton="0" quotePrefix="0" xfId="15">
      <alignment horizontal="center" vertical="center"/>
    </xf>
    <xf numFmtId="177" fontId="9" fillId="2" borderId="66" applyAlignment="1" pivotButton="0" quotePrefix="0" xfId="15">
      <alignment horizontal="center"/>
    </xf>
    <xf numFmtId="171" fontId="11" fillId="0" borderId="120" applyAlignment="1" pivotButton="0" quotePrefix="0" xfId="15">
      <alignment horizontal="center" vertical="center"/>
    </xf>
    <xf numFmtId="176" fontId="114" fillId="0" borderId="120" applyAlignment="1" pivotButton="0" quotePrefix="0" xfId="15">
      <alignment horizontal="center" vertical="center"/>
    </xf>
    <xf numFmtId="177" fontId="114" fillId="0" borderId="121" applyAlignment="1" pivotButton="0" quotePrefix="0" xfId="15">
      <alignment horizontal="center" vertical="center"/>
    </xf>
    <xf numFmtId="177" fontId="9" fillId="2" borderId="128" applyAlignment="1" pivotButton="0" quotePrefix="0" xfId="15">
      <alignment horizontal="center"/>
    </xf>
    <xf numFmtId="176" fontId="8" fillId="0" borderId="18" applyAlignment="1" pivotButton="0" quotePrefix="0" xfId="15">
      <alignment horizontal="center"/>
    </xf>
    <xf numFmtId="177" fontId="8" fillId="0" borderId="18" applyAlignment="1" pivotButton="0" quotePrefix="0" xfId="15">
      <alignment horizontal="center"/>
    </xf>
    <xf numFmtId="176" fontId="9" fillId="2" borderId="6" pivotButton="0" quotePrefix="0" xfId="15"/>
    <xf numFmtId="176" fontId="9" fillId="2" borderId="7" pivotButton="0" quotePrefix="0" xfId="15"/>
    <xf numFmtId="179" fontId="19" fillId="0" borderId="18" applyAlignment="1" pivotButton="0" quotePrefix="0" xfId="15">
      <alignment vertical="center"/>
    </xf>
    <xf numFmtId="180" fontId="111" fillId="0" borderId="60" applyAlignment="1" pivotButton="0" quotePrefix="0" xfId="15">
      <alignment horizontal="center" vertical="center"/>
    </xf>
    <xf numFmtId="180" fontId="111" fillId="0" borderId="24" applyAlignment="1" pivotButton="0" quotePrefix="0" xfId="15">
      <alignment horizontal="center" vertical="center"/>
    </xf>
    <xf numFmtId="180" fontId="111" fillId="0" borderId="65" applyAlignment="1" pivotButton="0" quotePrefix="0" xfId="15">
      <alignment horizontal="center" vertical="center"/>
    </xf>
    <xf numFmtId="181" fontId="92" fillId="0" borderId="124" applyAlignment="1" pivotButton="0" quotePrefix="0" xfId="15">
      <alignment vertical="center"/>
    </xf>
    <xf numFmtId="180" fontId="113" fillId="0" borderId="126" applyAlignment="1" pivotButton="0" quotePrefix="0" xfId="15">
      <alignment vertical="center"/>
    </xf>
    <xf numFmtId="181" fontId="8" fillId="0" borderId="18" pivotButton="0" quotePrefix="0" xfId="15"/>
    <xf numFmtId="180" fontId="8" fillId="0" borderId="18" applyAlignment="1" pivotButton="0" quotePrefix="0" xfId="15">
      <alignment horizontal="center" vertical="center"/>
    </xf>
    <xf numFmtId="180" fontId="11" fillId="0" borderId="60" applyAlignment="1" pivotButton="0" quotePrefix="0" xfId="15">
      <alignment horizontal="center" vertical="center"/>
    </xf>
    <xf numFmtId="180" fontId="11" fillId="0" borderId="65" applyAlignment="1" pivotButton="0" quotePrefix="0" xfId="15">
      <alignment horizontal="center" vertical="center"/>
    </xf>
    <xf numFmtId="181" fontId="9" fillId="0" borderId="16" applyAlignment="1" pivotButton="0" quotePrefix="0" xfId="15">
      <alignment vertical="center"/>
    </xf>
    <xf numFmtId="180" fontId="9" fillId="0" borderId="104" applyAlignment="1" pivotButton="0" quotePrefix="0" xfId="15">
      <alignment vertical="center"/>
    </xf>
    <xf numFmtId="182" fontId="9" fillId="2" borderId="138" applyAlignment="1" pivotButton="0" quotePrefix="0" xfId="24">
      <alignment horizontal="center" wrapText="1"/>
    </xf>
    <xf numFmtId="182" fontId="9" fillId="2" borderId="138" applyAlignment="1" pivotButton="0" quotePrefix="0" xfId="24">
      <alignment horizontal="center" vertical="center" wrapText="1"/>
    </xf>
    <xf numFmtId="182" fontId="9" fillId="2" borderId="139" applyAlignment="1" pivotButton="0" quotePrefix="0" xfId="24">
      <alignment horizontal="center" wrapText="1"/>
    </xf>
    <xf numFmtId="182" fontId="11" fillId="0" borderId="142" pivotButton="0" quotePrefix="0" xfId="24"/>
    <xf numFmtId="182" fontId="11" fillId="0" borderId="143" pivotButton="0" quotePrefix="0" xfId="24"/>
    <xf numFmtId="182" fontId="11" fillId="0" borderId="145" pivotButton="0" quotePrefix="0" xfId="24"/>
    <xf numFmtId="182" fontId="11" fillId="0" borderId="146" pivotButton="0" quotePrefix="0" xfId="24"/>
    <xf numFmtId="182" fontId="9" fillId="0" borderId="149" pivotButton="0" quotePrefix="0" xfId="24"/>
    <xf numFmtId="182" fontId="9" fillId="0" borderId="150" pivotButton="0" quotePrefix="0" xfId="24"/>
    <xf numFmtId="182" fontId="58" fillId="0" borderId="18" pivotButton="0" quotePrefix="0" xfId="24"/>
    <xf numFmtId="182" fontId="11" fillId="16" borderId="18" pivotButton="0" quotePrefix="0" xfId="24"/>
    <xf numFmtId="182" fontId="11" fillId="16" borderId="32" pivotButton="0" quotePrefix="0" xfId="24"/>
    <xf numFmtId="182" fontId="9" fillId="0" borderId="153" pivotButton="0" quotePrefix="0" xfId="24"/>
    <xf numFmtId="182" fontId="9" fillId="0" borderId="154" pivotButton="0" quotePrefix="0" xfId="24"/>
    <xf numFmtId="182" fontId="9" fillId="0" borderId="18" pivotButton="0" quotePrefix="0" xfId="24"/>
    <xf numFmtId="182" fontId="9" fillId="0" borderId="32" pivotButton="0" quotePrefix="0" xfId="24"/>
    <xf numFmtId="182" fontId="59" fillId="17" borderId="156" pivotButton="0" quotePrefix="0" xfId="24"/>
    <xf numFmtId="183" fontId="59" fillId="17" borderId="156" pivotButton="0" quotePrefix="0" xfId="24"/>
    <xf numFmtId="182" fontId="59" fillId="17" borderId="157" pivotButton="0" quotePrefix="0" xfId="24"/>
    <xf numFmtId="182" fontId="74" fillId="18" borderId="2" applyAlignment="1" pivotButton="0" quotePrefix="0" xfId="24">
      <alignment horizontal="center"/>
    </xf>
    <xf numFmtId="184" fontId="74" fillId="18" borderId="86" applyAlignment="1" pivotButton="0" quotePrefix="0" xfId="24">
      <alignment horizontal="right"/>
    </xf>
    <xf numFmtId="181" fontId="74" fillId="18" borderId="86" applyAlignment="1" pivotButton="0" quotePrefix="0" xfId="24">
      <alignment horizontal="center"/>
    </xf>
    <xf numFmtId="180" fontId="74" fillId="18" borderId="159" applyAlignment="1" pivotButton="0" quotePrefix="0" xfId="24">
      <alignment horizontal="right"/>
    </xf>
    <xf numFmtId="184" fontId="74" fillId="0" borderId="18" applyAlignment="1" pivotButton="0" quotePrefix="0" xfId="24">
      <alignment horizontal="right"/>
    </xf>
    <xf numFmtId="181" fontId="74" fillId="0" borderId="18" applyAlignment="1" pivotButton="0" quotePrefix="0" xfId="24">
      <alignment horizontal="center"/>
    </xf>
    <xf numFmtId="180" fontId="74" fillId="0" borderId="32" applyAlignment="1" pivotButton="0" quotePrefix="0" xfId="24">
      <alignment horizontal="right"/>
    </xf>
    <xf numFmtId="182" fontId="9" fillId="16" borderId="18" pivotButton="0" quotePrefix="0" xfId="24"/>
    <xf numFmtId="182" fontId="9" fillId="16" borderId="32" pivotButton="0" quotePrefix="0" xfId="24"/>
    <xf numFmtId="185" fontId="75" fillId="0" borderId="18" pivotButton="0" quotePrefix="0" xfId="24"/>
    <xf numFmtId="182" fontId="9" fillId="16" borderId="18" applyAlignment="1" pivotButton="0" quotePrefix="0" xfId="24">
      <alignment horizontal="right"/>
    </xf>
    <xf numFmtId="182" fontId="8" fillId="0" borderId="18" pivotButton="0" quotePrefix="0" xfId="24"/>
    <xf numFmtId="185" fontId="9" fillId="0" borderId="160" applyAlignment="1" pivotButton="0" quotePrefix="0" xfId="24">
      <alignment horizontal="center" vertical="center"/>
    </xf>
    <xf numFmtId="186" fontId="9" fillId="0" borderId="161" applyAlignment="1" pivotButton="0" quotePrefix="0" xfId="24">
      <alignment horizontal="center" vertical="center"/>
    </xf>
    <xf numFmtId="185" fontId="76" fillId="0" borderId="18" pivotButton="0" quotePrefix="0" xfId="24"/>
    <xf numFmtId="187" fontId="9" fillId="0" borderId="162" applyAlignment="1" pivotButton="0" quotePrefix="0" xfId="24">
      <alignment horizontal="center" vertical="center"/>
    </xf>
    <xf numFmtId="182" fontId="7" fillId="16" borderId="58" pivotButton="0" quotePrefix="0" xfId="24"/>
    <xf numFmtId="182" fontId="7" fillId="16" borderId="34" pivotButton="0" quotePrefix="0" xfId="24"/>
    <xf numFmtId="188" fontId="6" fillId="0" borderId="58" pivotButton="0" quotePrefix="0" xfId="9"/>
    <xf numFmtId="182" fontId="7" fillId="16" borderId="18" pivotButton="0" quotePrefix="0" xfId="24"/>
    <xf numFmtId="188" fontId="6" fillId="0" borderId="18" pivotButton="0" quotePrefix="0" xfId="9"/>
    <xf numFmtId="189" fontId="6" fillId="0" borderId="18" pivotButton="0" quotePrefix="0" xfId="9"/>
    <xf numFmtId="182" fontId="7" fillId="0" borderId="18" pivotButton="0" quotePrefix="0" xfId="24"/>
    <xf numFmtId="195" fontId="40" fillId="19" borderId="180" applyAlignment="1" pivotButton="0" quotePrefix="0" xfId="39">
      <alignment vertical="center"/>
    </xf>
    <xf numFmtId="192" fontId="30" fillId="7" borderId="18" pivotButton="0" quotePrefix="0" xfId="3"/>
    <xf numFmtId="43" fontId="46" fillId="0" borderId="18" applyAlignment="1" pivotButton="0" quotePrefix="0" xfId="32">
      <alignment horizontal="center" vertical="center"/>
    </xf>
    <xf numFmtId="193" fontId="46" fillId="0" borderId="18" applyAlignment="1" pivotButton="0" quotePrefix="0" xfId="32">
      <alignment horizontal="center" vertical="center"/>
    </xf>
    <xf numFmtId="43" fontId="46" fillId="7" borderId="18" applyAlignment="1" pivotButton="0" quotePrefix="0" xfId="32">
      <alignment horizontal="center" vertical="center"/>
    </xf>
    <xf numFmtId="194" fontId="46" fillId="7" borderId="18" applyAlignment="1" pivotButton="0" quotePrefix="0" xfId="32">
      <alignment horizontal="center" vertical="center"/>
    </xf>
    <xf numFmtId="194" fontId="3" fillId="7" borderId="18" applyAlignment="1" pivotButton="0" quotePrefix="0" xfId="32">
      <alignment horizontal="center" vertical="center"/>
    </xf>
    <xf numFmtId="43" fontId="3" fillId="7" borderId="18" applyAlignment="1" pivotButton="0" quotePrefix="0" xfId="32">
      <alignment horizontal="center" vertical="center"/>
    </xf>
    <xf numFmtId="0" fontId="55" fillId="20" borderId="201" applyAlignment="1" pivotButton="0" quotePrefix="0" xfId="3">
      <alignment horizontal="center" vertical="center"/>
    </xf>
    <xf numFmtId="0" fontId="0" fillId="0" borderId="187" pivotButton="0" quotePrefix="0" xfId="0"/>
    <xf numFmtId="0" fontId="0" fillId="0" borderId="188" pivotButton="0" quotePrefix="0" xfId="0"/>
    <xf numFmtId="195" fontId="42" fillId="8" borderId="18" pivotButton="0" quotePrefix="0" xfId="39"/>
    <xf numFmtId="171" fontId="1" fillId="0" borderId="49" applyAlignment="1" pivotButton="0" quotePrefix="0" xfId="3">
      <alignment horizontal="center" vertical="center" wrapText="1"/>
    </xf>
    <xf numFmtId="204" fontId="1" fillId="0" borderId="49" applyAlignment="1" pivotButton="0" quotePrefix="0" xfId="3">
      <alignment horizontal="center" vertical="center" wrapText="1"/>
    </xf>
    <xf numFmtId="171" fontId="53" fillId="0" borderId="49" applyAlignment="1" pivotButton="0" quotePrefix="0" xfId="3">
      <alignment horizontal="center" vertical="center" wrapText="1"/>
    </xf>
    <xf numFmtId="185" fontId="7" fillId="15" borderId="2" applyAlignment="1" pivotButton="0" quotePrefix="0" xfId="24">
      <alignment vertical="center" wrapText="1"/>
    </xf>
    <xf numFmtId="204" fontId="7" fillId="15" borderId="84" applyAlignment="1" pivotButton="0" quotePrefix="0" xfId="24">
      <alignment vertical="center" wrapText="1"/>
    </xf>
    <xf numFmtId="180" fontId="7" fillId="15" borderId="84" applyAlignment="1" pivotButton="0" quotePrefix="0" xfId="24">
      <alignment vertical="center"/>
    </xf>
    <xf numFmtId="185" fontId="7" fillId="15" borderId="2" applyAlignment="1" pivotButton="0" quotePrefix="0" xfId="24">
      <alignment horizontal="center" vertical="center" wrapText="1"/>
    </xf>
    <xf numFmtId="184" fontId="7" fillId="15" borderId="84" applyAlignment="1" pivotButton="0" quotePrefix="0" xfId="24">
      <alignment horizontal="center" vertical="center"/>
    </xf>
    <xf numFmtId="185" fontId="7" fillId="15" borderId="2" applyAlignment="1" pivotButton="0" quotePrefix="0" xfId="24">
      <alignment horizontal="left" wrapText="1"/>
    </xf>
    <xf numFmtId="196" fontId="1" fillId="7" borderId="24" applyAlignment="1" pivotButton="0" quotePrefix="0" xfId="42">
      <alignment horizontal="center" vertical="center"/>
    </xf>
    <xf numFmtId="184" fontId="1" fillId="7" borderId="24" applyAlignment="1" pivotButton="0" quotePrefix="0" xfId="42">
      <alignment horizontal="center" vertical="center"/>
    </xf>
    <xf numFmtId="196" fontId="1" fillId="7" borderId="24" applyAlignment="1" pivotButton="0" quotePrefix="0" xfId="42">
      <alignment vertical="center"/>
    </xf>
    <xf numFmtId="196" fontId="0" fillId="7" borderId="24" applyAlignment="1" pivotButton="0" quotePrefix="0" xfId="42">
      <alignment vertical="center"/>
    </xf>
    <xf numFmtId="196" fontId="1" fillId="7" borderId="73" applyAlignment="1" pivotButton="0" quotePrefix="0" xfId="42">
      <alignment vertical="center"/>
    </xf>
    <xf numFmtId="174" fontId="1" fillId="25" borderId="24" pivotButton="0" quotePrefix="0" xfId="45"/>
    <xf numFmtId="197" fontId="0" fillId="0" borderId="18" pivotButton="0" quotePrefix="0" xfId="42"/>
    <xf numFmtId="196" fontId="0" fillId="0" borderId="24" applyAlignment="1" pivotButton="0" quotePrefix="0" xfId="42">
      <alignment vertical="center"/>
    </xf>
    <xf numFmtId="196" fontId="103" fillId="0" borderId="65" applyAlignment="1" pivotButton="0" quotePrefix="0" xfId="42">
      <alignment vertical="center"/>
    </xf>
    <xf numFmtId="198" fontId="1" fillId="7" borderId="24" applyAlignment="1" pivotButton="0" quotePrefix="0" xfId="42">
      <alignment horizontal="left" vertical="center"/>
    </xf>
    <xf numFmtId="196" fontId="29" fillId="7" borderId="24" applyAlignment="1" pivotButton="0" quotePrefix="0" xfId="42">
      <alignment vertical="center"/>
    </xf>
    <xf numFmtId="188" fontId="0" fillId="0" borderId="18" pivotButton="0" quotePrefix="0" xfId="43"/>
    <xf numFmtId="188" fontId="0" fillId="22" borderId="73" applyAlignment="1" pivotButton="0" quotePrefix="0" xfId="43">
      <alignment horizontal="center" vertical="center" wrapText="1"/>
    </xf>
    <xf numFmtId="174" fontId="1" fillId="0" borderId="185" applyAlignment="1" pivotButton="0" quotePrefix="0" xfId="33">
      <alignment horizontal="center" vertical="center"/>
    </xf>
    <xf numFmtId="199" fontId="0" fillId="0" borderId="185" pivotButton="0" quotePrefix="0" xfId="46"/>
    <xf numFmtId="200" fontId="1" fillId="0" borderId="185" pivotButton="0" quotePrefix="0" xfId="41"/>
    <xf numFmtId="198" fontId="1" fillId="7" borderId="18" applyAlignment="1" pivotButton="0" quotePrefix="0" xfId="42">
      <alignment horizontal="left" vertical="center"/>
    </xf>
    <xf numFmtId="196" fontId="0" fillId="0" borderId="18" applyAlignment="1" pivotButton="0" quotePrefix="0" xfId="42">
      <alignment vertical="center"/>
    </xf>
    <xf numFmtId="199" fontId="27" fillId="0" borderId="185" pivotButton="0" quotePrefix="0" xfId="46"/>
    <xf numFmtId="201" fontId="104" fillId="0" borderId="18" applyAlignment="1" pivotButton="0" quotePrefix="0" xfId="41">
      <alignment wrapText="1"/>
    </xf>
    <xf numFmtId="188" fontId="1" fillId="0" borderId="18" pivotButton="0" quotePrefix="0" xfId="43"/>
    <xf numFmtId="188" fontId="63" fillId="0" borderId="18" pivotButton="0" quotePrefix="0" xfId="43"/>
    <xf numFmtId="196" fontId="1" fillId="0" borderId="18" applyAlignment="1" pivotButton="0" quotePrefix="0" xfId="42">
      <alignment vertical="center"/>
    </xf>
    <xf numFmtId="196" fontId="1" fillId="25" borderId="18" applyAlignment="1" pivotButton="0" quotePrefix="0" xfId="41">
      <alignment vertical="center"/>
    </xf>
    <xf numFmtId="196" fontId="63" fillId="25" borderId="18" applyAlignment="1" pivotButton="0" quotePrefix="0" xfId="41">
      <alignment vertical="center"/>
    </xf>
    <xf numFmtId="171" fontId="1" fillId="0" borderId="18" applyAlignment="1" pivotButton="0" quotePrefix="0" xfId="41">
      <alignment horizontal="center"/>
    </xf>
    <xf numFmtId="176" fontId="0" fillId="0" borderId="18" pivotButton="0" quotePrefix="0" xfId="48"/>
    <xf numFmtId="188" fontId="49" fillId="6" borderId="120" applyAlignment="1" pivotButton="0" quotePrefix="0" xfId="50">
      <alignment horizontal="center" wrapText="1"/>
    </xf>
    <xf numFmtId="188" fontId="49" fillId="6" borderId="120" applyAlignment="1" pivotButton="0" quotePrefix="0" xfId="50">
      <alignment horizontal="center"/>
    </xf>
    <xf numFmtId="176" fontId="1" fillId="0" borderId="41" applyAlignment="1" pivotButton="0" quotePrefix="0" xfId="41">
      <alignment horizontal="center"/>
    </xf>
    <xf numFmtId="202" fontId="0" fillId="0" borderId="41" applyAlignment="1" pivotButton="0" quotePrefix="0" xfId="48">
      <alignment horizontal="center"/>
    </xf>
    <xf numFmtId="203" fontId="0" fillId="0" borderId="41" applyAlignment="1" pivotButton="0" quotePrefix="0" xfId="48">
      <alignment horizontal="center"/>
    </xf>
    <xf numFmtId="176" fontId="0" fillId="0" borderId="41" applyAlignment="1" pivotButton="0" quotePrefix="0" xfId="48">
      <alignment horizontal="center"/>
    </xf>
    <xf numFmtId="176" fontId="0" fillId="0" borderId="41" pivotButton="0" quotePrefix="0" xfId="48"/>
    <xf numFmtId="176" fontId="0" fillId="0" borderId="24" pivotButton="0" quotePrefix="0" xfId="48"/>
    <xf numFmtId="172" fontId="27" fillId="0" borderId="41" pivotButton="0" quotePrefix="0" xfId="51"/>
    <xf numFmtId="176" fontId="27" fillId="0" borderId="41" pivotButton="0" quotePrefix="0" xfId="48"/>
    <xf numFmtId="176" fontId="49" fillId="0" borderId="41" pivotButton="0" quotePrefix="0" xfId="48"/>
    <xf numFmtId="176" fontId="49" fillId="0" borderId="36" pivotButton="0" quotePrefix="0" xfId="48"/>
    <xf numFmtId="172" fontId="90" fillId="0" borderId="18" pivotButton="0" quotePrefix="0" xfId="41"/>
  </cellXfs>
  <cellStyles count="52">
    <cellStyle name="Normal" xfId="0" builtinId="0"/>
    <cellStyle name="Normal 2" xfId="1"/>
    <cellStyle name="Normal 3" xfId="2"/>
    <cellStyle name="Normal 2 2 2" xfId="3"/>
    <cellStyle name="Moneda [0] 2 3" xfId="4"/>
    <cellStyle name="Hipervínculo 2 2 2" xfId="5"/>
    <cellStyle name="Hipervínculo 2 2 2 2" xfId="6"/>
    <cellStyle name="Hipervínculo 4" xfId="7"/>
    <cellStyle name="Millares 5 2 2" xfId="8"/>
    <cellStyle name="Normal 4" xfId="9"/>
    <cellStyle name="Normal 8" xfId="10"/>
    <cellStyle name="Millares 2" xfId="11"/>
    <cellStyle name="Moneda 2" xfId="12"/>
    <cellStyle name="Normal 12" xfId="13"/>
    <cellStyle name="Normal 2 3" xfId="14"/>
    <cellStyle name="Normal 3 2" xfId="15"/>
    <cellStyle name="Moneda [0] 2 2 2" xfId="16"/>
    <cellStyle name="Hipervínculo 2 2 2 2 2" xfId="17"/>
    <cellStyle name="Hipervínculo 4 2" xfId="18"/>
    <cellStyle name="Hipervínculo 3 2" xfId="19"/>
    <cellStyle name="Normal 5" xfId="20"/>
    <cellStyle name="Hipervínculo 2 2 2 2 2 2" xfId="21"/>
    <cellStyle name="Hipervínculo 3" xfId="22"/>
    <cellStyle name="Normal 6" xfId="23"/>
    <cellStyle name="Normal 7" xfId="24"/>
    <cellStyle name="Millares [0] 2" xfId="25"/>
    <cellStyle name="Normal 6 2" xfId="26"/>
    <cellStyle name="Moneda [0] 2 3 2" xfId="27"/>
    <cellStyle name="Hipervínculo 2 3" xfId="28"/>
    <cellStyle name="Hipervínculo 2" xfId="29"/>
    <cellStyle name="Normal 11" xfId="30"/>
    <cellStyle name="Hipervínculo 3 3" xfId="31"/>
    <cellStyle name="Millares 5 2 2 2" xfId="32"/>
    <cellStyle name="Moneda [0]" xfId="33" builtinId="7"/>
    <cellStyle name="Moneda [0] 2 2 2 2" xfId="34"/>
    <cellStyle name="Normal 11 4" xfId="35"/>
    <cellStyle name="Hipervínculo 4 3" xfId="36"/>
    <cellStyle name="Hipervínculo 2 2 2 2 2 2 2" xfId="37"/>
    <cellStyle name="Hipervínculo 2 2" xfId="38"/>
    <cellStyle name="Moneda [0] 2 3 3" xfId="39"/>
    <cellStyle name="Hipervínculo 3 2 2" xfId="40"/>
    <cellStyle name="Normal 9" xfId="41"/>
    <cellStyle name="Moneda 3" xfId="42"/>
    <cellStyle name="Comma 2" xfId="43"/>
    <cellStyle name="Porcentaje 2" xfId="44"/>
    <cellStyle name="Moneda [0] 3 2" xfId="45"/>
    <cellStyle name="Moneda [0] 2" xfId="46"/>
    <cellStyle name="Comma 3" xfId="47"/>
    <cellStyle name="Millares [0] 6 2" xfId="48"/>
    <cellStyle name="Normal 2 2" xfId="49"/>
    <cellStyle name="Millares 2 4" xfId="50"/>
    <cellStyle name="Millares [0] 7" xfId="51"/>
  </cellStyles>
  <dxfs count="12"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  <alignment horizontal="center" vertical="bottom"/>
    </dxf>
    <dxf>
      <numFmt numFmtId="173" formatCode="0.0"/>
      <alignment horizontal="center" vertical="bottom"/>
    </dxf>
    <dxf>
      <alignment horizontal="center" vertical="bottom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1"/>
          <bgColor theme="1"/>
        </patternFill>
      </fill>
    </dxf>
  </dxfs>
  <tableStyles count="2" defaultTableStyle="TableStyleMedium9" defaultPivotStyle="PivotStyleLight16">
    <tableStyle name="PLANT-style" pivot="0" count="3">
      <tableStyleElement type="headerRow" dxfId="11"/>
      <tableStyleElement type="firstRowStripe" dxfId="10"/>
      <tableStyleElement type="secondRowStripe" dxfId="9"/>
    </tableStyle>
    <tableStyle name="PLANT-style 2" pivot="0" count="3">
      <tableStyleElement type="headerRow" dxfId="8"/>
      <tableStyleElement type="firstRowStripe" dxfId="7"/>
      <tableStyleElement type="secondRow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Agrónomo</author>
  </authors>
  <commentList>
    <comment ref="C60" authorId="0" shapeId="0">
      <text>
        <t>Agrónomo:
Homolación entre oferta y valores de cierre de compraventa.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H145" authorId="0" shapeId="0">
      <text>
        <t>======
ID#AAABM8cZjzs
palaciosc    (2024-05-06 19:10:42)
*Basado en la Resolución SII. N° 118 del año 2015.</t>
      </text>
    </comment>
    <comment ref="I165" authorId="0" shapeId="0">
      <text>
        <t>======
ID#AAABM8cZjzY
Palacios, C (Carolina)    (2024-05-06 19:10:42)
M2</t>
      </text>
    </comment>
    <comment ref="I182" authorId="0" shapeId="0">
      <text>
        <t>======
ID#AAABM8f33QQ
Palacios, C (Carolina)    (2024-05-06 19:10:42)
M2</t>
      </text>
    </comment>
    <comment ref="I222" authorId="0" shapeId="0">
      <text>
        <t>======
ID#AAABM8f33QI
Palacios, C (Carolina)    (2024-05-06 19:10:42)
M2</t>
      </text>
    </comment>
    <comment ref="I223" authorId="0" shapeId="0">
      <text>
        <t>======
ID#AAABM8cZjzk
Palacios, C (Carolina)    (2024-05-06 19:10:42)
M2</t>
      </text>
    </comment>
    <comment ref="I224" authorId="0" shapeId="0">
      <text>
        <t>======
ID#AAABM8f33QM
Palacios, C (Carolina)    (2024-05-06 19:10:42)
M2</t>
      </text>
    </comment>
    <comment ref="I225" authorId="0" shapeId="0">
      <text>
        <t>======
ID#AAABM8f33QU
Palacios, C (Carolina)    (2024-05-06 19:10:42)
M2</t>
      </text>
    </comment>
    <comment ref="I226" authorId="0" shapeId="0">
      <text>
        <t>======
ID#AAABM8cZjzw
Palacios, C (Carolina)    (2024-05-06 19:10:42)
M2</t>
      </text>
    </comment>
    <comment ref="I227" authorId="0" shapeId="0">
      <text>
        <t>======
ID#AAABM8f33Ps
Palacios, C (Carolina)    (2024-05-06 19:10:42)
M2</t>
      </text>
    </comment>
    <comment ref="I228" authorId="0" shapeId="0">
      <text>
        <t>======
ID#AAABM8f33P8
Palacios, C (Carolina)    (2024-05-06 19:10:42)
M2</t>
      </text>
    </comment>
    <comment ref="I542" authorId="0" shapeId="0">
      <text>
        <t>======
ID#AAABM8cZjz4
Palacios, C (Carolina)    (2024-05-06 19:10:42)
M2</t>
      </text>
    </comment>
    <comment ref="I593" authorId="0" shapeId="0">
      <text>
        <t>======
ID#AAABM8cZjzo
Palacios, C (Carolina)    (2024-05-06 19:10:42)
M2</t>
      </text>
    </comment>
    <comment ref="I594" authorId="0" shapeId="0">
      <text>
        <t>======
ID#AAABM8cZjzc
Palacios, C (Carolina)    (2024-05-06 19:10:42)
M2</t>
      </text>
    </comment>
    <comment ref="I595" authorId="0" shapeId="0">
      <text>
        <t>======
ID#AAABM8f33QY
Palacios, C (Carolina)    (2024-05-06 19:10:42)
M2</t>
      </text>
    </comment>
    <comment ref="I720" authorId="0" shapeId="0">
      <text>
        <t>======
ID#AAABM8cZjz0
Palacios, C (Carolina)    (2024-05-06 19:10:42)
M2</t>
      </text>
    </comment>
    <comment ref="I887" authorId="0" shapeId="0">
      <text>
        <t>======
ID#AAABM8f33Pw
Palacios, C (Carolina)    (2024-05-06 19:10:42)
M2</t>
      </text>
    </comment>
  </commentList>
</comments>
</file>

<file path=xl/comments/comment3.xml><?xml version="1.0" encoding="utf-8"?>
<comments xmlns="http://schemas.openxmlformats.org/spreadsheetml/2006/main">
  <authors>
    <author>Palacios, C (Carolina)</author>
  </authors>
  <commentList>
    <comment ref="H96" authorId="0" shapeId="0">
      <text>
        <t xml:space="preserve">Palacios, C (Carolina):
REGADORES 
</t>
      </text>
    </comment>
    <comment ref="H97" authorId="0" shapeId="0">
      <text>
        <t xml:space="preserve">Palacios, C (Carolina):
REGADORES </t>
      </text>
    </comment>
    <comment ref="H98" authorId="0" shapeId="0">
      <text>
        <t xml:space="preserve">Palacios, C (Carolina):
REGADORES </t>
      </text>
    </comment>
    <comment ref="H135" authorId="0" shapeId="0">
      <text>
        <t xml:space="preserve">Palacios, C (Carolin
superficiales permanente </t>
      </text>
    </comment>
    <comment ref="H136" authorId="0" shapeId="0">
      <text>
        <t xml:space="preserve">Palacios, C (Carolina):
superficiales eventuales 
</t>
      </text>
    </comment>
  </commentList>
</comments>
</file>

<file path=xl/comments/comment4.xml><?xml version="1.0" encoding="utf-8"?>
<comments xmlns="http://schemas.openxmlformats.org/spreadsheetml/2006/main">
  <authors>
    <author>Palacios, C (Carolina)</author>
  </authors>
  <commentList>
    <comment ref="L249" authorId="0" shapeId="0">
      <text>
        <t xml:space="preserve">Palacios, C (Carolina):
SERAN ARRANCADAS 
</t>
      </text>
    </comment>
  </commentList>
</comments>
</file>

<file path=xl/comments/comment5.xml><?xml version="1.0" encoding="utf-8"?>
<comments xmlns="http://schemas.openxmlformats.org/spreadsheetml/2006/main">
  <authors>
    <author>Agrónomo</author>
  </authors>
  <commentList>
    <comment ref="V36" authorId="0" shapeId="0">
      <text>
        <t>Agrónomo:
Para plantaciones de 2022, se considera mantención de medio año.</t>
      </text>
    </comment>
  </commentList>
</comment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n_fg1.png"/><Relationship Id="rIdFg1" Type="http://schemas.openxmlformats.org/officeDocument/2006/relationships/image" Target="../media/imagen_fg1.jpeg"/></Relationships>
</file>

<file path=xl/drawings/_rels/drawing7.xml.rels><?xml version="1.0" encoding="UTF-8" standalone="yes"?>
<Relationships xmlns="http://schemas.openxmlformats.org/package/2006/relationships"><Relationship Id="rIdFg1" Type="http://schemas.openxmlformats.org/officeDocument/2006/relationships/image" Target="../media/imagen_fg2.jpeg"/><Relationship Id="rIdFg2" Type="http://schemas.openxmlformats.org/officeDocument/2006/relationships/image" Target="../media/imagen_fg3.jpeg"/><Relationship Id="rIdFg3" Type="http://schemas.openxmlformats.org/officeDocument/2006/relationships/image" Target="../media/imagen_fg4.jpeg"/><Relationship Id="rIdFg4" Type="http://schemas.openxmlformats.org/officeDocument/2006/relationships/image" Target="../media/imagen_fg5.jpeg"/><Relationship Id="rIdFg5" Type="http://schemas.openxmlformats.org/officeDocument/2006/relationships/image" Target="../media/imagen_fg6.jpeg"/></Relationships>
</file>

<file path=xl/drawings/_rels/drawing8.xml.rels><?xml version="1.0" encoding="UTF-8" standalone="yes"?>
<Relationships xmlns="http://schemas.openxmlformats.org/package/2006/relationships"><Relationship Id="rIdFg1" Type="http://schemas.openxmlformats.org/officeDocument/2006/relationships/image" Target="../media/imagen_fg7.jpeg"/><Relationship Id="rIdFg2" Type="http://schemas.openxmlformats.org/officeDocument/2006/relationships/image" Target="../media/imagen_fg8.jpeg"/><Relationship Id="rIdFg3" Type="http://schemas.openxmlformats.org/officeDocument/2006/relationships/image" Target="../media/imagen_fg9.jpeg"/></Relationships>
</file>

<file path=xl/drawings/_rels/drawing9.xml.rels><?xml version="1.0" encoding="UTF-8" standalone="yes"?>
<Relationships xmlns="http://schemas.openxmlformats.org/package/2006/relationships"></Relationships>
</file>

<file path=xl/drawings/_rels/drawing10.xml.rels><?xml version="1.0" encoding="UTF-8" standalone="yes"?>
<Relationships xmlns="http://schemas.openxmlformats.org/package/2006/relationships"></Relationships>
</file>

<file path=xl/drawings/_rels/drawing11.xml.rels><?xml version="1.0" encoding="UTF-8" standalone="yes"?>
<Relationships xmlns="http://schemas.openxmlformats.org/package/2006/relationships"><Relationship Id="rIdFg1" Type="http://schemas.openxmlformats.org/officeDocument/2006/relationships/image" Target="../media/imagen_fg10.jpeg"/></Relationships>
</file>

<file path=xl/drawings/_rels/drawing12.xml.rels><?xml version="1.0" encoding="UTF-8" standalone="yes"?>
<Relationships xmlns="http://schemas.openxmlformats.org/package/2006/relationships"><Relationship Id="rIdFg1" Type="http://schemas.openxmlformats.org/officeDocument/2006/relationships/image" Target="../media/imagen_fg11.jpeg"/><Relationship Id="rIdFg2" Type="http://schemas.openxmlformats.org/officeDocument/2006/relationships/image" Target="../media/imagen_fg12.jpeg"/><Relationship Id="rIdFg3" Type="http://schemas.openxmlformats.org/officeDocument/2006/relationships/image" Target="../media/imagen_fg13.jpeg"/><Relationship Id="rIdFg4" Type="http://schemas.openxmlformats.org/officeDocument/2006/relationships/image" Target="../media/imagen_fg14.jpeg"/><Relationship Id="rIdFg5" Type="http://schemas.openxmlformats.org/officeDocument/2006/relationships/image" Target="../media/imagen_fg15.jpeg"/><Relationship Id="rIdFg6" Type="http://schemas.openxmlformats.org/officeDocument/2006/relationships/image" Target="../media/imagen_fg16.jpeg"/><Relationship Id="rIdFg7" Type="http://schemas.openxmlformats.org/officeDocument/2006/relationships/image" Target="../media/imagen_fg17.jpeg"/><Relationship Id="rIdFg8" Type="http://schemas.openxmlformats.org/officeDocument/2006/relationships/image" Target="../media/imagen_fg18.jpeg"/><Relationship Id="rIdFg9" Type="http://schemas.openxmlformats.org/officeDocument/2006/relationships/image" Target="../media/imagen_fg19.jpeg"/><Relationship Id="rIdFg10" Type="http://schemas.openxmlformats.org/officeDocument/2006/relationships/image" Target="../media/imagen_fg20.jpeg"/><Relationship Id="rIdFg11" Type="http://schemas.openxmlformats.org/officeDocument/2006/relationships/image" Target="../media/imagen_fg21.jpeg"/><Relationship Id="rIdFg12" Type="http://schemas.openxmlformats.org/officeDocument/2006/relationships/image" Target="../media/imagen_fg22.jpeg"/><Relationship Id="rIdFg13" Type="http://schemas.openxmlformats.org/officeDocument/2006/relationships/image" Target="../media/imagen_fg23.jpeg"/><Relationship Id="rIdFg14" Type="http://schemas.openxmlformats.org/officeDocument/2006/relationships/image" Target="../media/imagen_fg24.jpeg"/><Relationship Id="rIdFg15" Type="http://schemas.openxmlformats.org/officeDocument/2006/relationships/image" Target="../media/imagen_fg25.jpeg"/></Relationships>
</file>

<file path=xl/drawings/_rels/drawing13.xml.rels><?xml version="1.0" encoding="UTF-8" standalone="yes"?>
<Relationships xmlns="http://schemas.openxmlformats.org/package/2006/relationships"></Relationships>
</file>

<file path=xl/drawings/_rels/drawing14.xml.rels><?xml version="1.0" encoding="UTF-8" standalone="yes"?>
<Relationships xmlns="http://schemas.openxmlformats.org/package/2006/relationships"></Relationships>
</file>

<file path=xl/drawings/drawing6.xml><?xml version="1.0" encoding="utf-8"?>
<xdr:wsDr xmlns:a="http://schemas.openxmlformats.org/drawingml/2006/main" xmlns:a14="http://schemas.microsoft.com/office/drawing/2010/main" xmlns:a16="http://schemas.microsoft.com/office/drawing/2014/main" xmlns:r="http://schemas.openxmlformats.org/officeDocument/2006/relationships" xmlns:xdr="http://schemas.openxmlformats.org/drawingml/2006/spreadsheetDrawing">
  <xdr:oneCellAnchor>
    <xdr:from>
      <xdr:col>0</xdr:col>
      <xdr:colOff>38100</xdr:colOff>
      <xdr:row>0</xdr:row>
      <xdr:rowOff>57150</xdr:rowOff>
    </xdr:from>
    <xdr:ext cx="2105025" cy="561975"/>
    <xdr:pic>
      <xdr:nvPicPr>
        <xdr:cNvPr id="2" name="image2.png" descr="Resultado de imagen para rabofinance">
          <a:extLst>
            <a:ext uri="{FF2B5EF4-FFF2-40B4-BE49-F238E27FC236}">
              <a16:creationId id="{BA84F1CF-AED5-484C-909D-A629DA7CB59B}"/>
            </a:ext>
          </a:extLst>
        </xdr:cNvPr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8100" y="57150"/>
          <a:ext cx="2105025" cy="56197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58796</xdr:colOff>
      <xdr:row>36</xdr:row>
      <xdr:rowOff>23519</xdr:rowOff>
    </xdr:from>
    <xdr:to>
      <xdr:col>9</xdr:col>
      <xdr:colOff>2352</xdr:colOff>
      <xdr:row>44</xdr:row>
      <xdr:rowOff>447675</xdr:rowOff>
    </xdr:to>
    <xdr:sp macro="" textlink="">
      <xdr:nvSpPr>
        <xdr:cNvPr id="3" name="CuadroTexto 2">
          <a:extLst>
            <a:ext uri="{FF2B5EF4-FFF2-40B4-BE49-F238E27FC236}">
              <a16:creationId id="{EE6CF2A9-DB82-4146-B190-567F883CD6CF}"/>
            </a:ext>
          </a:extLst>
        </xdr:cNvPr>
        <xdr:cNvSpPr txBox="1"/>
      </xdr:nvSpPr>
      <xdr:spPr>
        <a:xfrm>
          <a:off x="58796" y="9110369"/>
          <a:ext cx="7106356" cy="2024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endParaRPr lang="es-C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142875</xdr:colOff>
      <xdr:row>3</xdr:row>
      <xdr:rowOff>133349</xdr:rowOff>
    </xdr:from>
    <xdr:to>
      <xdr:col>4</xdr:col>
      <xdr:colOff>702483</xdr:colOff>
      <xdr:row>11</xdr:row>
      <xdr:rowOff>209549</xdr:rowOff>
    </xdr:to>
    <xdr:pic>
      <xdr:nvPicPr>
        <xdr:cNvPr id="4" name="Imagen 3">
          <a:extLst>
            <a:ext uri="{FF2B5EF4-FFF2-40B4-BE49-F238E27FC236}">
              <a16:creationId id="{60C36E3C-3171-488C-9C66-3EF75DCE234D}"/>
            </a:ext>
          </a:extLst>
        </xdr:cNvPr>
        <xdr:cNvPicPr>
          <a:picLocks noChangeAspect="1"/>
        </xdr:cNvPicPr>
      </xdr:nvPicPr>
      <xdr:blipFill>
        <a:blip r:embed="rIdFg1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142875" y="885824"/>
          <a:ext cx="3664758" cy="20669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a="http://schemas.openxmlformats.org/drawingml/2006/main" xmlns:a14="http://schemas.microsoft.com/office/drawing/2010/main" xmlns:a16="http://schemas.microsoft.com/office/drawing/2014/main" xmlns:r="http://schemas.openxmlformats.org/officeDocument/2006/relationships" xmlns:xdr="http://schemas.openxmlformats.org/drawingml/2006/spreadsheetDrawing">
  <xdr:oneCellAnchor>
    <xdr:from>
      <xdr:col>0</xdr:col>
      <xdr:colOff>116232</xdr:colOff>
      <xdr:row>14</xdr:row>
      <xdr:rowOff>38884</xdr:rowOff>
    </xdr:from>
    <xdr:ext cx="8562101" cy="987699"/>
    <xdr:sp macro="" textlink="">
      <xdr:nvSpPr>
        <xdr:cNvPr id="2" name="CuadroTexto 1">
          <a:extLst>
            <a:ext uri="{FF2B5EF4-FFF2-40B4-BE49-F238E27FC236}">
              <a16:creationId id="{57B7C88B-2C0E-8141-9B3B-3A7C8914BD63}"/>
            </a:ext>
          </a:extLst>
        </xdr:cNvPr>
        <xdr:cNvSpPr txBox="1"/>
      </xdr:nvSpPr>
      <xdr:spPr>
        <a:xfrm>
          <a:off x="116232" y="2102634"/>
          <a:ext cx="8562101" cy="987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ES_tradnl" sz="1100" b="0" i="0" baseline="0">
            <a:solidFill>
              <a:schemeClr val="tx1"/>
            </a:solidFill>
          </a:endParaRPr>
        </a:p>
      </xdr:txBody>
    </xdr:sp>
    <xdr:clientData/>
  </xdr:oneCellAnchor>
  <xdr:twoCellAnchor editAs="oneCell">
    <xdr:from>
      <xdr:col>1</xdr:col>
      <xdr:colOff>687915</xdr:colOff>
      <xdr:row>58</xdr:row>
      <xdr:rowOff>116417</xdr:rowOff>
    </xdr:from>
    <xdr:to>
      <xdr:col>10</xdr:col>
      <xdr:colOff>560916</xdr:colOff>
      <xdr:row>82</xdr:row>
      <xdr:rowOff>49367</xdr:rowOff>
    </xdr:to>
    <xdr:pic>
      <xdr:nvPicPr>
        <xdr:cNvPr id="11" name="Imagen 10">
          <a:extLst>
            <a:ext uri="{FF2B5EF4-FFF2-40B4-BE49-F238E27FC236}">
              <a16:creationId id="{DEFEA74B-55C9-94C9-9B57-FFD8C818292E}"/>
            </a:ext>
          </a:extLst>
        </xdr:cNvPr>
        <xdr:cNvPicPr>
          <a:picLocks noChangeAspect="1"/>
        </xdr:cNvPicPr>
      </xdr:nvPicPr>
      <xdr:blipFill rotWithShape="1">
        <a:blip r:embed="rIdFg2" cstate="email">
          <a:extLst>
            <a:ext uri="{28A0092B-C50C-407E-A947-70E740481C1C}">
              <a14:useLocalDpi/>
            </a:ext>
          </a:extLst>
        </a:blip>
        <a:srcRect/>
        <a:stretch>
          <a:fillRect/>
        </a:stretch>
      </xdr:blipFill>
      <xdr:spPr>
        <a:xfrm>
          <a:off x="899582" y="13260917"/>
          <a:ext cx="6942667" cy="47589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38</xdr:row>
      <xdr:rowOff>148167</xdr:rowOff>
    </xdr:from>
    <xdr:to>
      <xdr:col>11</xdr:col>
      <xdr:colOff>47572</xdr:colOff>
      <xdr:row>56</xdr:row>
      <xdr:rowOff>89587</xdr:rowOff>
    </xdr:to>
    <xdr:pic>
      <xdr:nvPicPr>
        <xdr:cNvPr id="12" name="Imagen 11">
          <a:extLst>
            <a:ext uri="{FF2B5EF4-FFF2-40B4-BE49-F238E27FC236}">
              <a16:creationId id="{162DDCE8-53D7-268F-A35A-BFAE6E7534C5}"/>
            </a:ext>
          </a:extLst>
        </xdr:cNvPr>
        <xdr:cNvPicPr>
          <a:picLocks noChangeAspect="1"/>
        </xdr:cNvPicPr>
      </xdr:nvPicPr>
      <xdr:blipFill>
        <a:blip r:embed="rIdFg1"/>
        <a:stretch>
          <a:fillRect/>
        </a:stretch>
      </xdr:blipFill>
      <xdr:spPr>
        <a:xfrm>
          <a:off x="687917" y="7164917"/>
          <a:ext cx="7201905" cy="4915586"/>
        </a:xfrm>
        <a:prstGeom prst="rect">
          <a:avLst/>
        </a:prstGeom>
      </xdr:spPr>
    </xdr:pic>
    <xdr:clientData/>
  </xdr:twoCellAnchor>
  <xdr:oneCellAnchor>
    <xdr:from>
      <xdr:col>0</xdr:col>
      <xdr:colOff>52917</xdr:colOff>
      <xdr:row>29</xdr:row>
      <xdr:rowOff>63500</xdr:rowOff>
    </xdr:from>
    <xdr:ext cx="8572500" cy="1227666"/>
    <xdr:sp macro="" textlink="">
      <xdr:nvSpPr>
        <xdr:cNvPr id="3" name="CuadroTexto 2">
          <a:extLst>
            <a:ext uri="{FF2B5EF4-FFF2-40B4-BE49-F238E27FC236}">
              <a16:creationId id="{27B4217C-FB1E-7E09-7C01-6C156ED6EAF3}"/>
            </a:ext>
          </a:extLst>
        </xdr:cNvPr>
        <xdr:cNvSpPr txBox="1"/>
      </xdr:nvSpPr>
      <xdr:spPr>
        <a:xfrm>
          <a:off x="52917" y="4466167"/>
          <a:ext cx="8572500" cy="12276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1100"/>
        </a:p>
      </xdr:txBody>
    </xdr:sp>
    <xdr:clientData/>
  </xdr:oneCellAnchor>
  <xdr:twoCellAnchor editAs="oneCell">
    <xdr:from>
      <xdr:col>1</xdr:col>
      <xdr:colOff>941916</xdr:colOff>
      <xdr:row>85</xdr:row>
      <xdr:rowOff>84666</xdr:rowOff>
    </xdr:from>
    <xdr:to>
      <xdr:col>9</xdr:col>
      <xdr:colOff>539517</xdr:colOff>
      <xdr:row>106</xdr:row>
      <xdr:rowOff>110659</xdr:rowOff>
    </xdr:to>
    <xdr:pic>
      <xdr:nvPicPr>
        <xdr:cNvPr id="4" name="Imagen 3">
          <a:extLst>
            <a:ext uri="{FF2B5EF4-FFF2-40B4-BE49-F238E27FC236}">
              <a16:creationId id="{DF820AA3-035D-E13D-6DBC-F8D2D73D2037}"/>
            </a:ext>
          </a:extLst>
        </xdr:cNvPr>
        <xdr:cNvPicPr>
          <a:picLocks noChangeAspect="1"/>
        </xdr:cNvPicPr>
      </xdr:nvPicPr>
      <xdr:blipFill>
        <a:blip r:embed="rIdFg3"/>
        <a:stretch>
          <a:fillRect/>
        </a:stretch>
      </xdr:blipFill>
      <xdr:spPr>
        <a:xfrm>
          <a:off x="1153583" y="20267083"/>
          <a:ext cx="5915851" cy="4248743"/>
        </a:xfrm>
        <a:prstGeom prst="rect">
          <a:avLst/>
        </a:prstGeom>
      </xdr:spPr>
    </xdr:pic>
    <xdr:clientData/>
  </xdr:twoCellAnchor>
  <xdr:twoCellAnchor editAs="oneCell">
    <xdr:from>
      <xdr:col>1</xdr:col>
      <xdr:colOff>709083</xdr:colOff>
      <xdr:row>108</xdr:row>
      <xdr:rowOff>158750</xdr:rowOff>
    </xdr:from>
    <xdr:to>
      <xdr:col>9</xdr:col>
      <xdr:colOff>249526</xdr:colOff>
      <xdr:row>126</xdr:row>
      <xdr:rowOff>54466</xdr:rowOff>
    </xdr:to>
    <xdr:pic>
      <xdr:nvPicPr>
        <xdr:cNvPr id="5" name="Imagen 4">
          <a:extLst>
            <a:ext uri="{FF2B5EF4-FFF2-40B4-BE49-F238E27FC236}">
              <a16:creationId id="{37043B44-E48C-BBE1-D8AE-C5E5FE63B433}"/>
            </a:ext>
          </a:extLst>
        </xdr:cNvPr>
        <xdr:cNvPicPr>
          <a:picLocks noChangeAspect="1"/>
        </xdr:cNvPicPr>
      </xdr:nvPicPr>
      <xdr:blipFill>
        <a:blip r:embed="rIdFg4"/>
        <a:stretch>
          <a:fillRect/>
        </a:stretch>
      </xdr:blipFill>
      <xdr:spPr>
        <a:xfrm>
          <a:off x="920750" y="23357417"/>
          <a:ext cx="5858693" cy="3515216"/>
        </a:xfrm>
        <a:prstGeom prst="rect">
          <a:avLst/>
        </a:prstGeom>
      </xdr:spPr>
    </xdr:pic>
    <xdr:clientData/>
  </xdr:twoCellAnchor>
  <xdr:twoCellAnchor editAs="oneCell">
    <xdr:from>
      <xdr:col>1</xdr:col>
      <xdr:colOff>751418</xdr:colOff>
      <xdr:row>127</xdr:row>
      <xdr:rowOff>176551</xdr:rowOff>
    </xdr:from>
    <xdr:to>
      <xdr:col>9</xdr:col>
      <xdr:colOff>560918</xdr:colOff>
      <xdr:row>143</xdr:row>
      <xdr:rowOff>141259</xdr:rowOff>
    </xdr:to>
    <xdr:pic>
      <xdr:nvPicPr>
        <xdr:cNvPr id="6" name="Imagen 5">
          <a:extLst>
            <a:ext uri="{FF2B5EF4-FFF2-40B4-BE49-F238E27FC236}">
              <a16:creationId id="{C62B558B-A5F7-E67C-7CA9-5C3C1F20D550}"/>
            </a:ext>
          </a:extLst>
        </xdr:cNvPr>
        <xdr:cNvPicPr>
          <a:picLocks noChangeAspect="1"/>
        </xdr:cNvPicPr>
      </xdr:nvPicPr>
      <xdr:blipFill>
        <a:blip r:embed="rIdFg5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963085" y="27195801"/>
          <a:ext cx="6127750" cy="31820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a="http://schemas.openxmlformats.org/drawingml/2006/main" xmlns:a14="http://schemas.microsoft.com/office/drawing/2010/main" xmlns:a16="http://schemas.microsoft.com/office/drawing/2014/main" xmlns:r="http://schemas.openxmlformats.org/officeDocument/2006/relationships" xmlns:xdr="http://schemas.openxmlformats.org/drawingml/2006/spreadsheetDrawing">
  <xdr:twoCellAnchor>
    <xdr:from>
      <xdr:col>0</xdr:col>
      <xdr:colOff>71348</xdr:colOff>
      <xdr:row>33</xdr:row>
      <xdr:rowOff>28540</xdr:rowOff>
    </xdr:from>
    <xdr:to>
      <xdr:col>5</xdr:col>
      <xdr:colOff>1327079</xdr:colOff>
      <xdr:row>39</xdr:row>
      <xdr:rowOff>256854</xdr:rowOff>
    </xdr:to>
    <xdr:sp macro="" textlink="">
      <xdr:nvSpPr>
        <xdr:cNvPr id="2" name="CuadroTexto 1">
          <a:extLst>
            <a:ext uri="{FF2B5EF4-FFF2-40B4-BE49-F238E27FC236}">
              <a16:creationId id="{C255B4BD-EC54-4640-A41C-87C2B680B6BC}"/>
            </a:ext>
          </a:extLst>
        </xdr:cNvPr>
        <xdr:cNvSpPr txBox="1"/>
      </xdr:nvSpPr>
      <xdr:spPr>
        <a:xfrm>
          <a:off x="71348" y="6706742"/>
          <a:ext cx="6506967" cy="21119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100" b="0" i="0"/>
        </a:p>
      </xdr:txBody>
    </xdr:sp>
    <xdr:clientData/>
  </xdr:twoCellAnchor>
  <xdr:twoCellAnchor editAs="oneCell">
    <xdr:from>
      <xdr:col>0</xdr:col>
      <xdr:colOff>81062</xdr:colOff>
      <xdr:row>1</xdr:row>
      <xdr:rowOff>138745</xdr:rowOff>
    </xdr:from>
    <xdr:to>
      <xdr:col>7</xdr:col>
      <xdr:colOff>911967</xdr:colOff>
      <xdr:row>26</xdr:row>
      <xdr:rowOff>164915</xdr:rowOff>
    </xdr:to>
    <xdr:pic>
      <xdr:nvPicPr>
        <xdr:cNvPr id="19" name="Imagen 18">
          <a:extLst>
            <a:ext uri="{FF2B5EF4-FFF2-40B4-BE49-F238E27FC236}">
              <a16:creationId id="{82068062-7C60-C1DE-1C49-A08DF2073872}"/>
            </a:ext>
          </a:extLst>
        </xdr:cNvPr>
        <xdr:cNvPicPr>
          <a:picLocks noChangeAspect="1"/>
        </xdr:cNvPicPr>
      </xdr:nvPicPr>
      <xdr:blipFill>
        <a:blip r:embed="rIdFg1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81062" y="341405"/>
          <a:ext cx="7954389" cy="4839334"/>
        </a:xfrm>
        <a:prstGeom prst="rect">
          <a:avLst/>
        </a:prstGeom>
      </xdr:spPr>
    </xdr:pic>
    <xdr:clientData/>
  </xdr:twoCellAnchor>
  <xdr:twoCellAnchor editAs="oneCell">
    <xdr:from>
      <xdr:col>0</xdr:col>
      <xdr:colOff>192525</xdr:colOff>
      <xdr:row>78</xdr:row>
      <xdr:rowOff>60798</xdr:rowOff>
    </xdr:from>
    <xdr:to>
      <xdr:col>7</xdr:col>
      <xdr:colOff>831848</xdr:colOff>
      <xdr:row>96</xdr:row>
      <xdr:rowOff>142671</xdr:rowOff>
    </xdr:to>
    <xdr:pic>
      <xdr:nvPicPr>
        <xdr:cNvPr id="21" name="Imagen 20">
          <a:extLst>
            <a:ext uri="{FF2B5EF4-FFF2-40B4-BE49-F238E27FC236}">
              <a16:creationId id="{57970215-0087-D145-D1A6-2F5A1AC15921}"/>
            </a:ext>
          </a:extLst>
        </xdr:cNvPr>
        <xdr:cNvPicPr>
          <a:picLocks noChangeAspect="1"/>
        </xdr:cNvPicPr>
      </xdr:nvPicPr>
      <xdr:blipFill>
        <a:blip r:embed="rIdFg3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192525" y="15209601"/>
          <a:ext cx="7762807" cy="4722778"/>
        </a:xfrm>
        <a:prstGeom prst="rect">
          <a:avLst/>
        </a:prstGeom>
      </xdr:spPr>
    </xdr:pic>
    <xdr:clientData/>
  </xdr:twoCellAnchor>
  <xdr:twoCellAnchor>
    <xdr:from>
      <xdr:col>0</xdr:col>
      <xdr:colOff>212793</xdr:colOff>
      <xdr:row>60</xdr:row>
      <xdr:rowOff>62263</xdr:rowOff>
    </xdr:from>
    <xdr:to>
      <xdr:col>7</xdr:col>
      <xdr:colOff>800505</xdr:colOff>
      <xdr:row>77</xdr:row>
      <xdr:rowOff>144951</xdr:rowOff>
    </xdr:to>
    <xdr:grpSp>
      <xdr:nvGrpSpPr>
        <xdr:cNvPr id="26" name="Grupo 25">
          <a:extLst>
            <a:ext uri="{FF2B5EF4-FFF2-40B4-BE49-F238E27FC236}">
              <a16:creationId id="{6F1647BB-0C8E-42B3-6549-ABCACFD325B9}"/>
            </a:ext>
          </a:extLst>
        </xdr:cNvPr>
        <xdr:cNvGrpSpPr/>
      </xdr:nvGrpSpPr>
      <xdr:grpSpPr>
        <a:xfrm>
          <a:off x="212793" y="11930008"/>
          <a:ext cx="7907776" cy="4071028"/>
          <a:chOff x="212793" y="11249072"/>
          <a:chExt cx="7711196" cy="4034549"/>
        </a:xfrm>
      </xdr:grpSpPr>
      <xdr:grpSp>
        <xdr:nvGrpSpPr>
          <xdr:cNvPr id="17" name="Grupo 16">
            <a:extLst>
              <a:ext uri="{FF2B5EF4-FFF2-40B4-BE49-F238E27FC236}">
                <a16:creationId id="{4CE011B2-9C0F-60FE-AA3D-EDD7165E7CCD}"/>
              </a:ext>
            </a:extLst>
          </xdr:cNvPr>
          <xdr:cNvGrpSpPr/>
        </xdr:nvGrpSpPr>
        <xdr:grpSpPr>
          <a:xfrm>
            <a:off x="212793" y="11249072"/>
            <a:ext cx="7711196" cy="4034549"/>
            <a:chOff x="212793" y="11066678"/>
            <a:chExt cx="7711196" cy="4034550"/>
          </a:xfrm>
        </xdr:grpSpPr>
        <xdr:grpSp>
          <xdr:nvGrpSpPr>
            <xdr:cNvPr id="14" name="Grupo 13">
              <a:extLst>
                <a:ext uri="{FF2B5EF4-FFF2-40B4-BE49-F238E27FC236}">
                  <a16:creationId id="{37FBCE76-B0A6-A39C-78B7-13E7BF69263F}"/>
                </a:ext>
              </a:extLst>
            </xdr:cNvPr>
            <xdr:cNvGrpSpPr/>
          </xdr:nvGrpSpPr>
          <xdr:grpSpPr>
            <a:xfrm>
              <a:off x="212793" y="11066678"/>
              <a:ext cx="7711196" cy="4034550"/>
              <a:chOff x="212793" y="11066678"/>
              <a:chExt cx="7711196" cy="4034550"/>
            </a:xfrm>
          </xdr:grpSpPr>
          <xdr:pic>
            <xdr:nvPicPr>
              <xdr:cNvPr id="3" name="Imagen 2">
                <a:extLst>
                  <a:ext uri="{FF2B5EF4-FFF2-40B4-BE49-F238E27FC236}">
                    <a16:creationId id="{A357660D-A1BF-0CAE-629C-CB2771483717}"/>
                  </a:ext>
                </a:extLst>
              </xdr:cNvPr>
              <xdr:cNvPicPr>
                <a:picLocks noChangeAspect="1"/>
              </xdr:cNvPicPr>
            </xdr:nvPicPr>
            <xdr:blipFill>
              <a:blip r:embed="rIdFg2" cstate="email">
                <a:extLst>
                  <a:ext uri="{28A0092B-C50C-407E-A947-70E740481C1C}">
                    <a14:useLocalDpi/>
                  </a:ext>
                </a:extLst>
              </a:blip>
              <a:stretch>
                <a:fillRect/>
              </a:stretch>
            </xdr:blipFill>
            <xdr:spPr>
              <a:xfrm>
                <a:off x="212793" y="11066678"/>
                <a:ext cx="7711196" cy="4034550"/>
              </a:xfrm>
              <a:prstGeom prst="rect">
                <a:avLst/>
              </a:prstGeom>
            </xdr:spPr>
          </xdr:pic>
        </xdr:grpSp>
      </xdr:grpSp>
    </xdr:grpSp>
    <xdr:clientData/>
  </xdr:twoCellAnchor>
</xdr:wsDr>
</file>

<file path=xl/drawings/drawing9.xml><?xml version="1.0" encoding="utf-8"?>
<xdr:wsDr xmlns:a="http://schemas.openxmlformats.org/drawingml/2006/main" xmlns:a16="http://schemas.microsoft.com/office/drawing/2014/main" xmlns:xdr="http://schemas.openxmlformats.org/drawingml/2006/spreadsheetDrawing">
  <xdr:oneCellAnchor>
    <xdr:from>
      <xdr:col>0</xdr:col>
      <xdr:colOff>0</xdr:colOff>
      <xdr:row>1</xdr:row>
      <xdr:rowOff>-19050</xdr:rowOff>
    </xdr:from>
    <xdr:ext cx="11287125" cy="57150"/>
    <xdr:sp macro="" textlink="">
      <xdr:nvSpPr>
        <xdr:cNvPr id="2" name="Shape 3">
          <a:extLst>
            <a:ext uri="{FF2B5EF4-FFF2-40B4-BE49-F238E27FC236}">
              <a16:creationId id="{E864399C-AB98-7649-9C29-A50103EBF5BF}"/>
            </a:ext>
          </a:extLst>
        </xdr:cNvPr>
        <xdr:cNvSpPr txBox="1"/>
      </xdr:nvSpPr>
      <xdr:spPr>
        <a:xfrm>
          <a:off x="0" y="95250"/>
          <a:ext cx="1128712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just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>
            <a:latin typeface="Calibri"/>
            <a:ea typeface="Calibri"/>
            <a:cs typeface="Calibri"/>
            <a:sym typeface="Calibri"/>
          </a:endParaRPr>
        </a:p>
        <a:p>
          <a:pPr marL="0" lvl="0" indent="0" algn="just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26</xdr:row>
      <xdr:rowOff>101599</xdr:rowOff>
    </xdr:from>
    <xdr:ext cx="13644562" cy="1065213"/>
    <xdr:sp macro="" textlink="">
      <xdr:nvSpPr>
        <xdr:cNvPr id="3" name="Shape 4">
          <a:extLst>
            <a:ext uri="{FF2B5EF4-FFF2-40B4-BE49-F238E27FC236}">
              <a16:creationId id="{9EBDDC4B-F82D-F74A-924A-55E4FD98F0CF}"/>
            </a:ext>
          </a:extLst>
        </xdr:cNvPr>
        <xdr:cNvSpPr txBox="1"/>
      </xdr:nvSpPr>
      <xdr:spPr>
        <a:xfrm>
          <a:off x="0" y="10067130"/>
          <a:ext cx="13644562" cy="106521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endParaRPr lang="en-US" sz="1100" b="0" i="0">
            <a:solidFill>
              <a:schemeClr val="dk1"/>
            </a:solidFill>
            <a:latin typeface="+mn-lt"/>
            <a:ea typeface="Avenir"/>
            <a:cs typeface="Avenir"/>
            <a:sym typeface="Avenir"/>
          </a:endParaRPr>
        </a:p>
      </xdr:txBody>
    </xdr:sp>
    <xdr:clientData fLocksWithSheet="0"/>
  </xdr:oneCellAnchor>
</xdr:wsDr>
</file>

<file path=xl/drawings/drawing10.xml><?xml version="1.0" encoding="utf-8"?>
<xdr:wsDr xmlns:a="http://schemas.openxmlformats.org/drawingml/2006/main" xmlns:a16="http://schemas.microsoft.com/office/drawing/2014/main" xmlns:xdr="http://schemas.openxmlformats.org/drawingml/2006/spreadsheetDrawing">
  <xdr:oneCellAnchor>
    <xdr:from>
      <xdr:col>0</xdr:col>
      <xdr:colOff>20933</xdr:colOff>
      <xdr:row>19</xdr:row>
      <xdr:rowOff>28574</xdr:rowOff>
    </xdr:from>
    <xdr:ext cx="10037886" cy="1332140"/>
    <xdr:sp macro="" textlink="">
      <xdr:nvSpPr>
        <xdr:cNvPr id="2" name="Shape 5">
          <a:extLst>
            <a:ext uri="{FF2B5EF4-FFF2-40B4-BE49-F238E27FC236}">
              <a16:creationId id="{7F865148-4741-3043-8D71-FAB8FB8F7569}"/>
            </a:ext>
          </a:extLst>
        </xdr:cNvPr>
        <xdr:cNvSpPr txBox="1"/>
      </xdr:nvSpPr>
      <xdr:spPr>
        <a:xfrm>
          <a:off x="20933" y="5722640"/>
          <a:ext cx="10037886" cy="1332140"/>
        </a:xfrm>
        <a:prstGeom prst="rect">
          <a:avLst/>
        </a:prstGeom>
        <a:noFill/>
        <a:ln w="22225" cap="flat" cmpd="sng">
          <a:solidFill>
            <a:srgbClr val="49442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endParaRPr lang="es-ES" sz="1050"/>
        </a:p>
      </xdr:txBody>
    </xdr:sp>
    <xdr:clientData fLocksWithSheet="0"/>
  </xdr:oneCellAnchor>
  <xdr:oneCellAnchor>
    <xdr:from>
      <xdr:col>0</xdr:col>
      <xdr:colOff>0</xdr:colOff>
      <xdr:row>23</xdr:row>
      <xdr:rowOff>195384</xdr:rowOff>
    </xdr:from>
    <xdr:ext cx="9996015" cy="537307"/>
    <xdr:sp macro="" textlink="">
      <xdr:nvSpPr>
        <xdr:cNvPr id="3" name="Shape 6">
          <a:extLst>
            <a:ext uri="{FF2B5EF4-FFF2-40B4-BE49-F238E27FC236}">
              <a16:creationId id="{0783033E-3F99-944D-98DA-25A92E60EF30}"/>
            </a:ext>
          </a:extLst>
        </xdr:cNvPr>
        <xdr:cNvSpPr txBox="1"/>
      </xdr:nvSpPr>
      <xdr:spPr>
        <a:xfrm>
          <a:off x="0" y="7815384"/>
          <a:ext cx="9996015" cy="537307"/>
        </a:xfrm>
        <a:prstGeom prst="rect">
          <a:avLst/>
        </a:prstGeom>
        <a:noFill/>
        <a:ln w="22225" cap="flat" cmpd="sng">
          <a:solidFill>
            <a:srgbClr val="49442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endParaRPr lang="es-ES" sz="1050" baseline="0"/>
        </a:p>
      </xdr:txBody>
    </xdr:sp>
    <xdr:clientData fLocksWithSheet="0"/>
  </xdr:oneCellAnchor>
</xdr:wsDr>
</file>

<file path=xl/drawings/drawing11.xml><?xml version="1.0" encoding="utf-8"?>
<xdr:wsDr xmlns:a="http://schemas.openxmlformats.org/drawingml/2006/main" xmlns:a16="http://schemas.microsoft.com/office/drawing/2014/main" xmlns:r="http://schemas.openxmlformats.org/officeDocument/2006/relationships" xmlns:xdr="http://schemas.openxmlformats.org/drawingml/2006/spreadsheetDrawing">
  <xdr:oneCellAnchor>
    <xdr:from>
      <xdr:col>1</xdr:col>
      <xdr:colOff>1513259</xdr:colOff>
      <xdr:row>22</xdr:row>
      <xdr:rowOff>53231</xdr:rowOff>
    </xdr:from>
    <xdr:ext cx="3905250" cy="1019175"/>
    <xdr:pic>
      <xdr:nvPicPr>
        <xdr:cNvPr id="2" name="image107.png">
          <a:extLst>
            <a:ext uri="{FF2B5EF4-FFF2-40B4-BE49-F238E27FC236}">
              <a16:creationId id="{8C03A7F4-DEFE-6F4B-B2F6-84D307407AA6}"/>
            </a:ext>
          </a:extLst>
        </xdr:cNvPr>
        <xdr:cNvPicPr preferRelativeResize="0"/>
      </xdr:nvPicPr>
      <xdr:blipFill>
        <a:blip r:embed="rIdFg1" cstate="print"/>
        <a:stretch>
          <a:fillRect/>
        </a:stretch>
      </xdr:blipFill>
      <xdr:spPr>
        <a:xfrm>
          <a:off x="2973759" y="36641931"/>
          <a:ext cx="3905250" cy="10191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a="http://schemas.openxmlformats.org/drawingml/2006/main" xmlns:a14="http://schemas.microsoft.com/office/drawing/2010/main" xmlns:a16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16</xdr:col>
      <xdr:colOff>97575</xdr:colOff>
      <xdr:row>14</xdr:row>
      <xdr:rowOff>145200</xdr:rowOff>
    </xdr:from>
    <xdr:to>
      <xdr:col>30</xdr:col>
      <xdr:colOff>117115</xdr:colOff>
      <xdr:row>23</xdr:row>
      <xdr:rowOff>42150</xdr:rowOff>
    </xdr:to>
    <xdr:pic>
      <xdr:nvPicPr>
        <xdr:cNvPr id="13" name="Imagen 12">
          <a:extLst>
            <a:ext uri="{FF2B5EF4-FFF2-40B4-BE49-F238E27FC236}">
              <a16:creationId id="{82B65503-5A14-890C-72D3-73A63191FC7F}"/>
            </a:ext>
          </a:extLst>
        </xdr:cNvPr>
        <xdr:cNvPicPr>
          <a:picLocks noChangeAspect="1"/>
        </xdr:cNvPicPr>
      </xdr:nvPicPr>
      <xdr:blipFill>
        <a:blip r:embed="rIdFg5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2859825" y="2602650"/>
          <a:ext cx="255319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16575</xdr:colOff>
      <xdr:row>3</xdr:row>
      <xdr:rowOff>168975</xdr:rowOff>
    </xdr:from>
    <xdr:to>
      <xdr:col>15</xdr:col>
      <xdr:colOff>121840</xdr:colOff>
      <xdr:row>12</xdr:row>
      <xdr:rowOff>65925</xdr:rowOff>
    </xdr:to>
    <xdr:pic>
      <xdr:nvPicPr>
        <xdr:cNvPr id="17" name="Imagen 16">
          <a:extLst>
            <a:ext uri="{FF2B5EF4-FFF2-40B4-BE49-F238E27FC236}">
              <a16:creationId id="{78523FF3-980B-E740-0DCC-5A1FB2F65310}"/>
            </a:ext>
          </a:extLst>
        </xdr:cNvPr>
        <xdr:cNvPicPr>
          <a:picLocks noChangeAspect="1"/>
        </xdr:cNvPicPr>
      </xdr:nvPicPr>
      <xdr:blipFill>
        <a:blip r:embed="rIdFg1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149925" y="740475"/>
          <a:ext cx="2553190" cy="1440000"/>
        </a:xfrm>
        <a:prstGeom prst="rect">
          <a:avLst/>
        </a:prstGeom>
      </xdr:spPr>
    </xdr:pic>
    <xdr:clientData/>
  </xdr:twoCellAnchor>
  <xdr:twoCellAnchor editAs="oneCell">
    <xdr:from>
      <xdr:col>31</xdr:col>
      <xdr:colOff>116550</xdr:colOff>
      <xdr:row>14</xdr:row>
      <xdr:rowOff>135600</xdr:rowOff>
    </xdr:from>
    <xdr:to>
      <xdr:col>45</xdr:col>
      <xdr:colOff>136090</xdr:colOff>
      <xdr:row>23</xdr:row>
      <xdr:rowOff>32550</xdr:rowOff>
    </xdr:to>
    <xdr:pic>
      <xdr:nvPicPr>
        <xdr:cNvPr id="21" name="Imagen 20">
          <a:extLst>
            <a:ext uri="{FF2B5EF4-FFF2-40B4-BE49-F238E27FC236}">
              <a16:creationId id="{B4CF8786-8AD6-562C-EB37-2978CA05246B}"/>
            </a:ext>
          </a:extLst>
        </xdr:cNvPr>
        <xdr:cNvPicPr>
          <a:picLocks noChangeAspect="1"/>
        </xdr:cNvPicPr>
      </xdr:nvPicPr>
      <xdr:blipFill>
        <a:blip r:embed="rIdFg6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5593425" y="2593050"/>
          <a:ext cx="2553190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76050</xdr:colOff>
      <xdr:row>3</xdr:row>
      <xdr:rowOff>142725</xdr:rowOff>
    </xdr:from>
    <xdr:to>
      <xdr:col>30</xdr:col>
      <xdr:colOff>95590</xdr:colOff>
      <xdr:row>12</xdr:row>
      <xdr:rowOff>39675</xdr:rowOff>
    </xdr:to>
    <xdr:pic>
      <xdr:nvPicPr>
        <xdr:cNvPr id="23" name="Imagen 22">
          <a:extLst>
            <a:ext uri="{FF2B5EF4-FFF2-40B4-BE49-F238E27FC236}">
              <a16:creationId id="{C5B32DC0-FB54-E7CD-32C0-124E173E68C6}"/>
            </a:ext>
          </a:extLst>
        </xdr:cNvPr>
        <xdr:cNvPicPr>
          <a:picLocks noChangeAspect="1"/>
        </xdr:cNvPicPr>
      </xdr:nvPicPr>
      <xdr:blipFill>
        <a:blip r:embed="rIdFg2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2838300" y="714225"/>
          <a:ext cx="2553190" cy="1440000"/>
        </a:xfrm>
        <a:prstGeom prst="rect">
          <a:avLst/>
        </a:prstGeom>
      </xdr:spPr>
    </xdr:pic>
    <xdr:clientData/>
  </xdr:twoCellAnchor>
  <xdr:twoCellAnchor editAs="oneCell">
    <xdr:from>
      <xdr:col>31</xdr:col>
      <xdr:colOff>54600</xdr:colOff>
      <xdr:row>3</xdr:row>
      <xdr:rowOff>130800</xdr:rowOff>
    </xdr:from>
    <xdr:to>
      <xdr:col>45</xdr:col>
      <xdr:colOff>74140</xdr:colOff>
      <xdr:row>12</xdr:row>
      <xdr:rowOff>27750</xdr:rowOff>
    </xdr:to>
    <xdr:pic>
      <xdr:nvPicPr>
        <xdr:cNvPr id="25" name="Imagen 24">
          <a:extLst>
            <a:ext uri="{FF2B5EF4-FFF2-40B4-BE49-F238E27FC236}">
              <a16:creationId id="{21CF5D42-C755-12BF-F47C-C4FEF6974513}"/>
            </a:ext>
          </a:extLst>
        </xdr:cNvPr>
        <xdr:cNvPicPr>
          <a:picLocks noChangeAspect="1"/>
        </xdr:cNvPicPr>
      </xdr:nvPicPr>
      <xdr:blipFill>
        <a:blip r:embed="rIdFg3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5531475" y="702300"/>
          <a:ext cx="255319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33150</xdr:colOff>
      <xdr:row>14</xdr:row>
      <xdr:rowOff>128400</xdr:rowOff>
    </xdr:from>
    <xdr:to>
      <xdr:col>15</xdr:col>
      <xdr:colOff>138415</xdr:colOff>
      <xdr:row>23</xdr:row>
      <xdr:rowOff>25350</xdr:rowOff>
    </xdr:to>
    <xdr:pic>
      <xdr:nvPicPr>
        <xdr:cNvPr id="27" name="Imagen 26">
          <a:extLst>
            <a:ext uri="{FF2B5EF4-FFF2-40B4-BE49-F238E27FC236}">
              <a16:creationId id="{9D7C9BC5-C5A6-F69F-4B43-CA479527DB3C}"/>
            </a:ext>
          </a:extLst>
        </xdr:cNvPr>
        <xdr:cNvPicPr>
          <a:picLocks noChangeAspect="1"/>
        </xdr:cNvPicPr>
      </xdr:nvPicPr>
      <xdr:blipFill>
        <a:blip r:embed="rIdFg4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166500" y="2585850"/>
          <a:ext cx="255319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25950</xdr:colOff>
      <xdr:row>25</xdr:row>
      <xdr:rowOff>121200</xdr:rowOff>
    </xdr:from>
    <xdr:to>
      <xdr:col>15</xdr:col>
      <xdr:colOff>131215</xdr:colOff>
      <xdr:row>34</xdr:row>
      <xdr:rowOff>18150</xdr:rowOff>
    </xdr:to>
    <xdr:pic>
      <xdr:nvPicPr>
        <xdr:cNvPr id="33" name="Imagen 32">
          <a:extLst>
            <a:ext uri="{FF2B5EF4-FFF2-40B4-BE49-F238E27FC236}">
              <a16:creationId id="{B1189D89-4F36-8925-9D87-E4F2B8BBBAB6}"/>
            </a:ext>
          </a:extLst>
        </xdr:cNvPr>
        <xdr:cNvPicPr>
          <a:picLocks noChangeAspect="1"/>
        </xdr:cNvPicPr>
      </xdr:nvPicPr>
      <xdr:blipFill>
        <a:blip r:embed="rIdFg7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159300" y="4464600"/>
          <a:ext cx="2553190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90225</xdr:colOff>
      <xdr:row>25</xdr:row>
      <xdr:rowOff>147375</xdr:rowOff>
    </xdr:from>
    <xdr:to>
      <xdr:col>30</xdr:col>
      <xdr:colOff>109765</xdr:colOff>
      <xdr:row>34</xdr:row>
      <xdr:rowOff>44325</xdr:rowOff>
    </xdr:to>
    <xdr:pic>
      <xdr:nvPicPr>
        <xdr:cNvPr id="35" name="Imagen 34">
          <a:extLst>
            <a:ext uri="{FF2B5EF4-FFF2-40B4-BE49-F238E27FC236}">
              <a16:creationId id="{2646A107-80F0-D20F-AA89-FD9458B9E9C7}"/>
            </a:ext>
          </a:extLst>
        </xdr:cNvPr>
        <xdr:cNvPicPr>
          <a:picLocks noChangeAspect="1"/>
        </xdr:cNvPicPr>
      </xdr:nvPicPr>
      <xdr:blipFill>
        <a:blip r:embed="rIdFg8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2852475" y="4490775"/>
          <a:ext cx="2553190" cy="1440000"/>
        </a:xfrm>
        <a:prstGeom prst="rect">
          <a:avLst/>
        </a:prstGeom>
      </xdr:spPr>
    </xdr:pic>
    <xdr:clientData/>
  </xdr:twoCellAnchor>
  <xdr:twoCellAnchor editAs="oneCell">
    <xdr:from>
      <xdr:col>31</xdr:col>
      <xdr:colOff>87825</xdr:colOff>
      <xdr:row>25</xdr:row>
      <xdr:rowOff>164025</xdr:rowOff>
    </xdr:from>
    <xdr:to>
      <xdr:col>45</xdr:col>
      <xdr:colOff>107365</xdr:colOff>
      <xdr:row>34</xdr:row>
      <xdr:rowOff>60975</xdr:rowOff>
    </xdr:to>
    <xdr:pic>
      <xdr:nvPicPr>
        <xdr:cNvPr id="37" name="Imagen 36">
          <a:extLst>
            <a:ext uri="{FF2B5EF4-FFF2-40B4-BE49-F238E27FC236}">
              <a16:creationId id="{73716C4F-F538-7ED7-24A0-38ED05E21978}"/>
            </a:ext>
          </a:extLst>
        </xdr:cNvPr>
        <xdr:cNvPicPr>
          <a:picLocks noChangeAspect="1"/>
        </xdr:cNvPicPr>
      </xdr:nvPicPr>
      <xdr:blipFill>
        <a:blip r:embed="rIdFg9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5564700" y="4507425"/>
          <a:ext cx="255319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47325</xdr:colOff>
      <xdr:row>36</xdr:row>
      <xdr:rowOff>133050</xdr:rowOff>
    </xdr:from>
    <xdr:to>
      <xdr:col>15</xdr:col>
      <xdr:colOff>152590</xdr:colOff>
      <xdr:row>45</xdr:row>
      <xdr:rowOff>30000</xdr:rowOff>
    </xdr:to>
    <xdr:pic>
      <xdr:nvPicPr>
        <xdr:cNvPr id="39" name="Imagen 38">
          <a:extLst>
            <a:ext uri="{FF2B5EF4-FFF2-40B4-BE49-F238E27FC236}">
              <a16:creationId id="{C807F7FB-EF4A-1675-C1FA-7DE139E8E303}"/>
            </a:ext>
          </a:extLst>
        </xdr:cNvPr>
        <xdr:cNvPicPr>
          <a:picLocks noChangeAspect="1"/>
        </xdr:cNvPicPr>
      </xdr:nvPicPr>
      <xdr:blipFill>
        <a:blip r:embed="rIdFg10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180675" y="6362400"/>
          <a:ext cx="2553190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92550</xdr:colOff>
      <xdr:row>36</xdr:row>
      <xdr:rowOff>121125</xdr:rowOff>
    </xdr:from>
    <xdr:to>
      <xdr:col>30</xdr:col>
      <xdr:colOff>112090</xdr:colOff>
      <xdr:row>45</xdr:row>
      <xdr:rowOff>18075</xdr:rowOff>
    </xdr:to>
    <xdr:pic>
      <xdr:nvPicPr>
        <xdr:cNvPr id="41" name="Imagen 40">
          <a:extLst>
            <a:ext uri="{FF2B5EF4-FFF2-40B4-BE49-F238E27FC236}">
              <a16:creationId id="{FC959678-A89B-D9F5-8143-A353EC8FEC1A}"/>
            </a:ext>
          </a:extLst>
        </xdr:cNvPr>
        <xdr:cNvPicPr>
          <a:picLocks noChangeAspect="1"/>
        </xdr:cNvPicPr>
      </xdr:nvPicPr>
      <xdr:blipFill>
        <a:blip r:embed="rIdFg11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2854800" y="6350475"/>
          <a:ext cx="2553190" cy="1440000"/>
        </a:xfrm>
        <a:prstGeom prst="rect">
          <a:avLst/>
        </a:prstGeom>
      </xdr:spPr>
    </xdr:pic>
    <xdr:clientData/>
  </xdr:twoCellAnchor>
  <xdr:twoCellAnchor editAs="oneCell">
    <xdr:from>
      <xdr:col>31</xdr:col>
      <xdr:colOff>71100</xdr:colOff>
      <xdr:row>36</xdr:row>
      <xdr:rowOff>137775</xdr:rowOff>
    </xdr:from>
    <xdr:to>
      <xdr:col>45</xdr:col>
      <xdr:colOff>90640</xdr:colOff>
      <xdr:row>45</xdr:row>
      <xdr:rowOff>34725</xdr:rowOff>
    </xdr:to>
    <xdr:pic>
      <xdr:nvPicPr>
        <xdr:cNvPr id="43" name="Imagen 42">
          <a:extLst>
            <a:ext uri="{FF2B5EF4-FFF2-40B4-BE49-F238E27FC236}">
              <a16:creationId id="{89FEFABE-B773-D51B-FC74-6B2710BF72E3}"/>
            </a:ext>
          </a:extLst>
        </xdr:cNvPr>
        <xdr:cNvPicPr>
          <a:picLocks noChangeAspect="1"/>
        </xdr:cNvPicPr>
      </xdr:nvPicPr>
      <xdr:blipFill>
        <a:blip r:embed="rIdFg12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5547975" y="6367125"/>
          <a:ext cx="2553190" cy="1440000"/>
        </a:xfrm>
        <a:prstGeom prst="rect">
          <a:avLst/>
        </a:prstGeom>
      </xdr:spPr>
    </xdr:pic>
    <xdr:clientData/>
  </xdr:twoCellAnchor>
  <xdr:twoCellAnchor editAs="oneCell">
    <xdr:from>
      <xdr:col>31</xdr:col>
      <xdr:colOff>52425</xdr:colOff>
      <xdr:row>47</xdr:row>
      <xdr:rowOff>114300</xdr:rowOff>
    </xdr:from>
    <xdr:to>
      <xdr:col>45</xdr:col>
      <xdr:colOff>78775</xdr:colOff>
      <xdr:row>56</xdr:row>
      <xdr:rowOff>11250</xdr:rowOff>
    </xdr:to>
    <xdr:pic>
      <xdr:nvPicPr>
        <xdr:cNvPr id="46" name="Imagen 45">
          <a:extLst>
            <a:ext uri="{FF2B5EF4-FFF2-40B4-BE49-F238E27FC236}">
              <a16:creationId id="{02EE48B5-E2D4-4DAF-A083-1AD6D403CF23}"/>
            </a:ext>
          </a:extLst>
        </xdr:cNvPr>
        <xdr:cNvPicPr>
          <a:picLocks noChangeAspect="1"/>
        </xdr:cNvPicPr>
      </xdr:nvPicPr>
      <xdr:blipFill>
        <a:blip r:embed="rIdFg15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5529300" y="8229600"/>
          <a:ext cx="256000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30975</xdr:colOff>
      <xdr:row>47</xdr:row>
      <xdr:rowOff>121425</xdr:rowOff>
    </xdr:from>
    <xdr:to>
      <xdr:col>15</xdr:col>
      <xdr:colOff>143050</xdr:colOff>
      <xdr:row>56</xdr:row>
      <xdr:rowOff>18375</xdr:rowOff>
    </xdr:to>
    <xdr:pic>
      <xdr:nvPicPr>
        <xdr:cNvPr id="47" name="Imagen 46">
          <a:extLst>
            <a:ext uri="{FF2B5EF4-FFF2-40B4-BE49-F238E27FC236}">
              <a16:creationId id="{FAEE48EB-2821-4F45-93D9-ECE2F2C6189C}"/>
            </a:ext>
          </a:extLst>
        </xdr:cNvPr>
        <xdr:cNvPicPr>
          <a:picLocks noChangeAspect="1"/>
        </xdr:cNvPicPr>
      </xdr:nvPicPr>
      <xdr:blipFill>
        <a:blip r:embed="rIdFg13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164325" y="8236725"/>
          <a:ext cx="2560000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95250</xdr:colOff>
      <xdr:row>47</xdr:row>
      <xdr:rowOff>109500</xdr:rowOff>
    </xdr:from>
    <xdr:to>
      <xdr:col>30</xdr:col>
      <xdr:colOff>121600</xdr:colOff>
      <xdr:row>56</xdr:row>
      <xdr:rowOff>6450</xdr:rowOff>
    </xdr:to>
    <xdr:pic>
      <xdr:nvPicPr>
        <xdr:cNvPr id="48" name="Imagen 47">
          <a:extLst>
            <a:ext uri="{FF2B5EF4-FFF2-40B4-BE49-F238E27FC236}">
              <a16:creationId id="{7FA9A111-FF6D-4D86-8D62-3245528474EF}"/>
            </a:ext>
          </a:extLst>
        </xdr:cNvPr>
        <xdr:cNvPicPr>
          <a:picLocks noChangeAspect="1"/>
        </xdr:cNvPicPr>
      </xdr:nvPicPr>
      <xdr:blipFill>
        <a:blip r:embed="rIdFg14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2857500" y="8224800"/>
          <a:ext cx="2560000" cy="1440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a="http://schemas.openxmlformats.org/drawingml/2006/main" xmlns:a16="http://schemas.microsoft.com/office/drawing/2014/main" xmlns:xdr="http://schemas.openxmlformats.org/drawingml/2006/spreadsheetDrawing">
  <xdr:twoCellAnchor>
    <xdr:from>
      <xdr:col>6</xdr:col>
      <xdr:colOff>642937</xdr:colOff>
      <xdr:row>227</xdr:row>
      <xdr:rowOff>119062</xdr:rowOff>
    </xdr:from>
    <xdr:to>
      <xdr:col>14</xdr:col>
      <xdr:colOff>2059781</xdr:colOff>
      <xdr:row>250</xdr:row>
      <xdr:rowOff>107156</xdr:rowOff>
    </xdr:to>
    <xdr:sp macro="" textlink="">
      <xdr:nvSpPr>
        <xdr:cNvPr id="2" name="CuadroTexto 1">
          <a:extLst>
            <a:ext uri="{FF2B5EF4-FFF2-40B4-BE49-F238E27FC236}">
              <a16:creationId id="{F4198F81-37BF-4459-8E84-20DD4DA15E70}"/>
            </a:ext>
          </a:extLst>
        </xdr:cNvPr>
        <xdr:cNvSpPr txBox="1"/>
      </xdr:nvSpPr>
      <xdr:spPr>
        <a:xfrm>
          <a:off x="5757862" y="6586537"/>
          <a:ext cx="9303544" cy="57411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endParaRPr lang="es-CL" b="1"/>
        </a:p>
      </xdr:txBody>
    </xdr:sp>
    <xdr:clientData/>
  </xdr:twoCellAnchor>
</xdr:wsDr>
</file>

<file path=xl/drawings/drawing14.xml><?xml version="1.0" encoding="utf-8"?>
<xdr:wsDr xmlns:a="http://schemas.openxmlformats.org/drawingml/2006/main" xmlns:a16="http://schemas.microsoft.com/office/drawing/2014/main" xmlns:xdr="http://schemas.openxmlformats.org/drawingml/2006/spreadsheetDrawing">
  <xdr:twoCellAnchor>
    <xdr:from>
      <xdr:col>4</xdr:col>
      <xdr:colOff>204107</xdr:colOff>
      <xdr:row>58</xdr:row>
      <xdr:rowOff>122464</xdr:rowOff>
    </xdr:from>
    <xdr:to>
      <xdr:col>14</xdr:col>
      <xdr:colOff>1877786</xdr:colOff>
      <xdr:row>74</xdr:row>
      <xdr:rowOff>13607</xdr:rowOff>
    </xdr:to>
    <xdr:sp macro="" textlink="">
      <xdr:nvSpPr>
        <xdr:cNvPr id="2" name="CuadroTexto 1">
          <a:extLst>
            <a:ext uri="{FF2B5EF4-FFF2-40B4-BE49-F238E27FC236}">
              <a16:creationId id="{F525A718-68B8-45C4-AFFF-74BAB07B1CB1}"/>
            </a:ext>
          </a:extLst>
        </xdr:cNvPr>
        <xdr:cNvSpPr txBox="1"/>
      </xdr:nvSpPr>
      <xdr:spPr>
        <a:xfrm>
          <a:off x="4880882" y="6285139"/>
          <a:ext cx="10455729" cy="44821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b="1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a12" displayName="Tabla12" ref="C3:H15" headerRowCount="1" totalsRowShown="0">
  <autoFilter ref="C3:H15"/>
  <tableColumns count="6">
    <tableColumn id="1" name="Especie"/>
    <tableColumn id="2" name="Opex Año" dataDxfId="5"/>
    <tableColumn id="3" name="Costo Planta" dataDxfId="4"/>
    <tableColumn id="4" name="Años Opex" dataDxfId="3"/>
    <tableColumn id="5" name="Plantación" dataDxfId="2"/>
    <tableColumn id="6" name="Prep Suelo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a5" displayName="Tabla5" ref="C27:D32" headerRowCount="1" totalsRowShown="0">
  <autoFilter ref="C27:D32"/>
  <tableColumns count="2">
    <tableColumn id="1" name="Estructura"/>
    <tableColumn id="2" name="USD/estruc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.xml.rels><?xml version="1.0" encoding="UTF-8" standalone="yes"?>
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3.xml.rels><?xml version="1.0" encoding="UTF-8" standalone="yes"?>
<Relationships xmlns="http://schemas.openxmlformats.org/package/2006/relationships"><Relationship Type="http://schemas.openxmlformats.org/officeDocument/2006/relationships/drawing" Target="../drawings/drawing8.xml" Id="rId1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
<Relationships xmlns="http://schemas.openxmlformats.org/package/2006/relationships"><Relationship Type="http://schemas.openxmlformats.org/officeDocument/2006/relationships/drawing" Target="../drawings/drawing11.xml" Id="rId1"/></Relationships>
</file>

<file path=xl/worksheets/_rels/sheet8.xml.rels><?xml version="1.0" encoding="UTF-8" standalone="yes"?>
<Relationships xmlns="http://schemas.openxmlformats.org/package/2006/relationships"><Relationship Type="http://schemas.openxmlformats.org/officeDocument/2006/relationships/drawing" Target="../drawings/drawing12.xml" Id="rId1"/></Relationships>
</file>

<file path=xl/worksheets/_rels/sheet9.xml.rels><?xml version="1.0" encoding="UTF-8" standalone="yes"?>
<Relationships xmlns="http://schemas.openxmlformats.org/package/2006/relationships"><Relationship Type="http://schemas.openxmlformats.org/officeDocument/2006/relationships/hyperlink" Target="about:blank" TargetMode="External" Id="rId1"/><Relationship Type="http://schemas.openxmlformats.org/officeDocument/2006/relationships/hyperlink" Target="about:blank" TargetMode="External" Id="rId2"/><Relationship Type="http://schemas.openxmlformats.org/officeDocument/2006/relationships/hyperlink" Target="https://www.economicos.cl/propiedades/planta-procesadora-de-pescados-y-mariscos-codAATQBUI.html" TargetMode="External" Id="rId3"/><Relationship Type="http://schemas.openxmlformats.org/officeDocument/2006/relationships/hyperlink" Target="https://www.portalinmobiliario.com/MLC-4112426366-remate-tome-terreno-calle-1-n493-lt-f-aysen-493-lt-g-_JM" TargetMode="External" Id="rId4"/><Relationship Type="http://schemas.openxmlformats.org/officeDocument/2006/relationships/hyperlink" Target="https://www.portalinmobiliario.com/MLC-1709335365-venta-de-terreno-en-tome-id-51987-lin-_JM" TargetMode="External" Id="rId5"/><Relationship Type="http://schemas.openxmlformats.org/officeDocument/2006/relationships/hyperlink" Target="https://www.portalinmobiliario.com/MLC-3575446050-terreno-construccion-en-venta-en-rancagua-_JM" TargetMode="External" Id="rId6"/><Relationship Type="http://schemas.openxmlformats.org/officeDocument/2006/relationships/hyperlink" Target="https://www.portalinmobiliario.com/MLC-3575393050-terreno-construccion-en-venta-en-rancagua-_JM" TargetMode="External" Id="rId7"/><Relationship Type="http://schemas.openxmlformats.org/officeDocument/2006/relationships/hyperlink" Target="https://www.portalinmobiliario.com/MLC-3336689894-terreno-san-ramon-proyecto-inmobiliario-_JM" TargetMode="External" Id="rId8"/><Relationship Type="http://schemas.openxmlformats.org/officeDocument/2006/relationships/hyperlink" Target="https://www.portalinmobiliario.com/MLC-4188275772-oportunidad-de-inversion-en-terreno-amplio-170406-_JM" TargetMode="External" Id="rId9"/><Relationship Type="http://schemas.openxmlformats.org/officeDocument/2006/relationships/hyperlink" Target="https://www.portalinmobiliario.com/MLC-3505579952-agricola-en-venta-en-rancagua-_JM" TargetMode="External" Id="rId10"/><Relationship Type="http://schemas.openxmlformats.org/officeDocument/2006/relationships/hyperlink" Target="https://www.portalinmobiliario.com/MLC-4342889654-amplitud-y-naturaleza-en-un-lugar-unico-179096-_JM" TargetMode="External" Id="rId11"/><Relationship Type="http://schemas.openxmlformats.org/officeDocument/2006/relationships/hyperlink" Target="https://www.engelvoelkers.com/cl/es/exposes/c25f1ad3-44a1-5c0a-a91c-8ec1906bda6f" TargetMode="External" Id="rId12"/><Relationship Type="http://schemas.openxmlformats.org/officeDocument/2006/relationships/hyperlink" Target="https://www.engelvoelkers.com/cl/es/exposes/ae8247fc-3566-59b0-98da-70cbb564e3b6" TargetMode="External" Id="rId13"/><Relationship Type="http://schemas.openxmlformats.org/officeDocument/2006/relationships/hyperlink" Target="https://www.toctoc.com/propiedades/compracorredorasr/terreno/tome/gran-lote-gran-vista-al-mar-en-tome/3ab54e9c4b51c5cbaa15536968469c4901c302a6?utm_source=venta%2Fterreno%2Ftome" TargetMode="External" Id="rId14"/><Relationship Type="http://schemas.openxmlformats.org/officeDocument/2006/relationships/hyperlink" Target="https://www.portalinmobiliario.com/MLC-1709451087-venta-de-terreno-en-tome-id-51986-lin-_JM" TargetMode="External" Id="rId15"/><Relationship Type="http://schemas.openxmlformats.org/officeDocument/2006/relationships/hyperlink" Target="https://www.portalinmobiliario.com/MLC-2950222766-venta-de-terreno-urbano-en-tome-id-77323-lin-_JM" TargetMode="External" Id="rId16"/><Relationship Type="http://schemas.openxmlformats.org/officeDocument/2006/relationships/hyperlink" Target="https://www.portalinmobiliario.com/MLC-3221771482-venta-de-terreno-san-jose-del-mar-_JM" TargetMode="External" Id="rId17"/><Relationship Type="http://schemas.openxmlformats.org/officeDocument/2006/relationships/hyperlink" Target="https://www.economicos.cl/propiedades/vendo-terreno-para-inversion-en-tome-codAAUDGTQ.html" TargetMode="External" Id="rId18"/><Relationship Type="http://schemas.openxmlformats.org/officeDocument/2006/relationships/hyperlink" Target="https://inmueble.mercadolibre.cl/MLC-4012877246-venta-terreno-sitio-4255mts-tome-_JM" TargetMode="External" Id="rId19"/><Relationship Type="http://schemas.openxmlformats.org/officeDocument/2006/relationships/hyperlink" Target="https://inmueble.mercadolibre.cl/MLC-1834433249-venta-de-terreno-en-tome-id-82655-lin-_JM" TargetMode="External" Id="rId20"/><Relationship Type="http://schemas.openxmlformats.org/officeDocument/2006/relationships/hyperlink" Target="https://www.portalinmobiliario.com/MLC-4105687354-terreno-para-desarrollo-inmobiliario-_JM" TargetMode="External" Id="rId21"/><Relationship Type="http://schemas.openxmlformats.org/officeDocument/2006/relationships/hyperlink" Target="https://inmueble.mercadolibre.cl/MLC-3106130606-venta-de-terreno-en-tome-id-77016-lin-_JM" TargetMode="External" Id="rId22"/><Relationship Type="http://schemas.openxmlformats.org/officeDocument/2006/relationships/hyperlink" Target="https://inmobisur.cl/propiedad/detalle/terreno-industrial-para-venta-1615" TargetMode="External" Id="rId23"/><Relationship Type="http://schemas.openxmlformats.org/officeDocument/2006/relationships/hyperlink" Target="https://cl.portalterreno.com/propiedad/venta/parcela/chonchi/293828-excelente-parcela-vistas-al-mar-quinched-chiloe" TargetMode="External" Id="rId24"/><Relationship Type="http://schemas.openxmlformats.org/officeDocument/2006/relationships/hyperlink" Target="https://calvacindustrial.cl/propiedad/se-vende-espectacular-terreno-161ha-en-chonchi-con-acceso-a-la-playa/" TargetMode="External" Id="rId25"/><Relationship Type="http://schemas.openxmlformats.org/officeDocument/2006/relationships/hyperlink" Target="https://cl.portalterreno.com/propiedad/venta/sitio/chonchi/346206-ruta-5-sur-a-38-km-de-la-ciudad-de-castro" TargetMode="External" Id="rId26"/><Relationship Type="http://schemas.openxmlformats.org/officeDocument/2006/relationships/hyperlink" Target="https://www.toctoc.com/propiedades/compracorredorasr/terreno/quemchi/sitio-en-venta-en-quemchi/5a5e157f36fffcbb5c464fba1addd2f2e5d2806e" TargetMode="External" Id="rId27"/><Relationship Type="http://schemas.openxmlformats.org/officeDocument/2006/relationships/hyperlink" Target="https://www.toctoc.com/propiedades/compracorredorasr/terreno/dalcahue/sitio-industrial-en-venta-en-dalcahue/f329050c465e9face18c027da2bc68ef24a8a378" TargetMode="External" Id="rId28"/><Relationship Type="http://schemas.openxmlformats.org/officeDocument/2006/relationships/hyperlink" Target="http://www.economicos.cl/propiedades/sitio-o-terreno-en-venta-en-puerto-montt-codR77087734-2L0-37065.html" TargetMode="External" Id="rId29"/><Relationship Type="http://schemas.openxmlformats.org/officeDocument/2006/relationships/hyperlink" Target="https://www.coldwellbanker.cl/propiedad/detalle/terreno-ruta-5-puerto-montt-9531" TargetMode="External" Id="rId30"/><Relationship Type="http://schemas.openxmlformats.org/officeDocument/2006/relationships/hyperlink" Target="http://www.economicos.cl/propiedades/comercial-mares-de-chiloe-spa-puerto-montt-codAAUWBJA.html" TargetMode="External" Id="rId31"/><Relationship Type="http://schemas.openxmlformats.org/officeDocument/2006/relationships/hyperlink" Target="http://www.economicos.cl/propiedades/oportunidad-dos-parcelas-parque-industrial-apiasmontt-codAAULS3Y.html" TargetMode="External" Id="rId32"/><Relationship Type="http://schemas.openxmlformats.org/officeDocument/2006/relationships/hyperlink" Target="http://www.economicos.cl/propiedades/sitio-o-terreno-en-venta-en-puerto-montt-codR77205366-5L0-5263V.html" TargetMode="External" Id="rId33"/><Relationship Type="http://schemas.openxmlformats.org/officeDocument/2006/relationships/hyperlink" Target="http://www.economicos.cl/propiedades/sitio-o-terreno-en-venta-en-puerto-varas-codR77205366-5L0-27548V.html" TargetMode="External" Id="rId34"/><Relationship Type="http://schemas.openxmlformats.org/officeDocument/2006/relationships/hyperlink" Target="https://ppartnersgroup.com/es-cl/propiedad/lindo-terreno-con-orilla-de-playa-sector-arrayanes-de-huite-quemchi/66798b803bdb40e7c2d66b81/" TargetMode="External" Id="rId35"/><Relationship Type="http://schemas.openxmlformats.org/officeDocument/2006/relationships/hyperlink" Target="https://cl.portalterreno.com/propiedad/venta/terreno/ancud/318644-unico-132-ha-preciosa-vista-orilla-playa-bahia-yuste-ancud" TargetMode="External" Id="rId36"/><Relationship Type="http://schemas.openxmlformats.org/officeDocument/2006/relationships/hyperlink" Target="https://cl.portalterreno.com/propiedad/venta/terreno/ancud/341856-preciosa-vista-y-orilla-limpio-1-ha-nal-bajo-ancud-chiloe" TargetMode="External" Id="rId37"/><Relationship Type="http://schemas.openxmlformats.org/officeDocument/2006/relationships/hyperlink" Target="https://cl.portalterreno.com/propiedad/venta/terreno/quemchi/275279-precioso-17ha-vista-paso-orilla-puerto-huite-quemchi-chiloe" TargetMode="External" Id="rId38"/><Relationship Type="http://schemas.openxmlformats.org/officeDocument/2006/relationships/hyperlink" Target="https://www.toctoc.com/propiedades/compracorredorasr/terreno/chonchi/terreno-industrial-sector-canan-chonchi/2562969?o=mapa" TargetMode="External" Id="rId39"/><Relationship Type="http://schemas.openxmlformats.org/officeDocument/2006/relationships/hyperlink" Target="https://www.toctoc.com/propiedades/compracorredorasr/terreno/quemchi/16-en-quemchi/3959982" TargetMode="External" Id="rId40"/><Relationship Type="http://schemas.openxmlformats.org/officeDocument/2006/relationships/hyperlink" Target="https://www.toctoc.com/propiedades/compracorredorasr/terreno/castro/terreno-en-venta-en-la-hermosa-localidad-de-ten-te/3509379" TargetMode="External" Id="rId41"/><Relationship Type="http://schemas.openxmlformats.org/officeDocument/2006/relationships/hyperlink" Target="https://gpsproperty.cl/183546" TargetMode="External" Id="rId42"/><Relationship Type="http://schemas.openxmlformats.org/officeDocument/2006/relationships/hyperlink" Target="https://gpsproperty.cl/183545" TargetMode="External" Id="rId43"/><Relationship Type="http://schemas.openxmlformats.org/officeDocument/2006/relationships/hyperlink" Target="https://gpsproperty.cl/162117" TargetMode="External" Id="rId44"/><Relationship Type="http://schemas.openxmlformats.org/officeDocument/2006/relationships/hyperlink" Target="https://gpsproperty.cl/183543" TargetMode="External" Id="rId45"/><Relationship Type="http://schemas.openxmlformats.org/officeDocument/2006/relationships/hyperlink" Target="https://gpsproperty.cl/183544" TargetMode="External" Id="rId46"/><Relationship Type="http://schemas.openxmlformats.org/officeDocument/2006/relationships/hyperlink" Target="https://gpsproperty.cl/183544" TargetMode="External" Id="rId47"/><Relationship Type="http://schemas.openxmlformats.org/officeDocument/2006/relationships/hyperlink" Target="https://gpsproperty.cl/183548" TargetMode="External" Id="rId48"/><Relationship Type="http://schemas.openxmlformats.org/officeDocument/2006/relationships/hyperlink" Target="https://inmueble.mercadolibre.cl/MLC-2854244540-gran-terreno-en-parque-industrial-escuadron-_JM" TargetMode="External" Id="rId49"/><Relationship Type="http://schemas.openxmlformats.org/officeDocument/2006/relationships/hyperlink" Target="https://inmueble.mercadolibre.cl/MLC-2865358164-sotomayor-playa-negra-_JM" TargetMode="External" Id="rId50"/><Relationship Type="http://schemas.openxmlformats.org/officeDocument/2006/relationships/hyperlink" Target="https://www.portalinmobiliario.com/MLC-2909219742-venta-terreno-industrial-urbanizado-con-seguridad-coronel-_JM" TargetMode="External" Id="rId51"/><Relationship Type="http://schemas.openxmlformats.org/officeDocument/2006/relationships/hyperlink" Target="https://www.portalinmobiliario.com/MLC-2909028188-venta-terreno-industrial-urbanizado-con-seguridad-coronel-_JM" TargetMode="External" Id="rId52"/><Relationship Type="http://schemas.openxmlformats.org/officeDocument/2006/relationships/hyperlink" Target="https://www.portalinmobiliario.com/MLC-2909067236-venta-terreno-industrial-urbanizado-con-seguridad-coronel-_JM" TargetMode="External" Id="rId53"/><Relationship Type="http://schemas.openxmlformats.org/officeDocument/2006/relationships/hyperlink" Target="https://www.portalinmobiliario.com/MLC-2908969822-venta-terreno-industrial-urbanizado-con-seguridad-coronel-_JM" TargetMode="External" Id="rId54"/><Relationship Type="http://schemas.openxmlformats.org/officeDocument/2006/relationships/hyperlink" Target="https://www.portalinmobiliario.com/MLC-2908981676-venta-terreno-industrial-urbanizado-con-seguridad-coronel-_JM" TargetMode="External" Id="rId55"/><Relationship Type="http://schemas.openxmlformats.org/officeDocument/2006/relationships/hyperlink" Target="https://inmueble.mercadolibre.cl/MLC-2950192980-terreno-parque-industrial-coronel-_JM" TargetMode="External" Id="rId56"/><Relationship Type="http://schemas.openxmlformats.org/officeDocument/2006/relationships/hyperlink" Target="https://inmueble.mercadolibre.cl/MLC-1539847587-venta-de-terreno-en-tome-id-51987-lin-_JM" TargetMode="External" Id="rId57"/><Relationship Type="http://schemas.openxmlformats.org/officeDocument/2006/relationships/hyperlink" Target="https://inmueble.mercadolibre.cl/MLC-2749335096-venta-de-terreno-en-tome-id-51986-lin-_JM" TargetMode="External" Id="rId58"/><Relationship Type="http://schemas.openxmlformats.org/officeDocument/2006/relationships/hyperlink" Target="https://inmueble.mercadolibre.cl/MLC-1539886823-venta-de-terreno-en-tome-id-51985-lin-_JM" TargetMode="External" Id="rId59"/><Relationship Type="http://schemas.openxmlformats.org/officeDocument/2006/relationships/hyperlink" Target="https://inmueble.mercadolibre.cl/MLC-2833251920-terreno-cementerio-2-loma-larga-tome-_JM" TargetMode="External" Id="rId60"/><Relationship Type="http://schemas.openxmlformats.org/officeDocument/2006/relationships/hyperlink" Target="https://casas.trovit.cl/detail/trovit-CL-6030016702062535590?type=traffic" TargetMode="External" Id="rId61"/><Relationship Type="http://schemas.openxmlformats.org/officeDocument/2006/relationships/hyperlink" Target="https://inmueble.mercadolibre.cl/MLC-2109825626-excelente-terreno-en-avenida-ramon-picarte-_JM" TargetMode="External" Id="rId62"/><Relationship Type="http://schemas.openxmlformats.org/officeDocument/2006/relationships/hyperlink" Target="https://inmueble.mercadolibre.cl/MLC-1399277865-av-ramon-picarte-galvez-_JM" TargetMode="External" Id="rId63"/><Relationship Type="http://schemas.openxmlformats.org/officeDocument/2006/relationships/hyperlink" Target="https://inmueble.mercadolibre.cl/MLC-1441385517-gran-terreno-en-venta-calle-arica-valdivia-_JM" TargetMode="External" Id="rId64"/><Relationship Type="http://schemas.openxmlformats.org/officeDocument/2006/relationships/hyperlink" Target="https://www.portalinmobiliario.com/MLC-1819205040-industrial-en-venta-en-valdivia-_JM" TargetMode="External" Id="rId65"/><Relationship Type="http://schemas.openxmlformats.org/officeDocument/2006/relationships/hyperlink" Target="https://www.portalinmobiliario.com/MLC-2099788546-venta-directa-terreno-comercial-5000-m2-y-galpon-nuevo-_JM" TargetMode="External" Id="rId66"/><Relationship Type="http://schemas.openxmlformats.org/officeDocument/2006/relationships/hyperlink" Target="https://inmueble.mercadolibre.cl/MLC-1405159205-picarte-2900-mt2-cercano-av-francia-valdivia-36000-uf-_JM" TargetMode="External" Id="rId67"/><Relationship Type="http://schemas.openxmlformats.org/officeDocument/2006/relationships/hyperlink" Target="https://inmueble.mercadolibre.cl/MLC-1815258680-terreno-avenida-ecuador-12-uf-m-_JM" TargetMode="External" Id="rId68"/><Relationship Type="http://schemas.openxmlformats.org/officeDocument/2006/relationships/hyperlink" Target="https://www.economicos.cl/propiedades/vendo-terreno-industrial-en-valdivia-codAAREWBQ.html" TargetMode="External" Id="rId69"/><Relationship Type="http://schemas.openxmlformats.org/officeDocument/2006/relationships/hyperlink" Target="https://casas.mitula.cl/adform/24301-256-32da-42ed8cb7b2e3-9730-da432e1d-2647?page=1&amp;pos=1&amp;t_sec=1&amp;t_or=2&amp;t_pvid=bcf36153-1665-47f3-92f6-2c3da16c8c89&amp;req_sgmt=REVTS1RPUDtTRU87U0VSUDs%3D" TargetMode="External" Id="rId70"/><Relationship Type="http://schemas.openxmlformats.org/officeDocument/2006/relationships/hyperlink" Target="https://inmueble.mercadolibre.cl/MLC-1681083432-increible-oportunidad-de-inversion-para-proyectos-en-caldera-_JM" TargetMode="External" Id="rId71"/><Relationship Type="http://schemas.openxmlformats.org/officeDocument/2006/relationships/hyperlink" Target="https://inmueble.mercadolibre.cl/MLC-2060222502-venta-terreno-barrio-industrial-caldera-_JM" TargetMode="External" Id="rId72"/><Relationship Type="http://schemas.openxmlformats.org/officeDocument/2006/relationships/hyperlink" Target="https://gpsproperty.cl/184353" TargetMode="External" Id="rId73"/><Relationship Type="http://schemas.openxmlformats.org/officeDocument/2006/relationships/hyperlink" Target="https://gpsproperty.cl/161620" TargetMode="External" Id="rId74"/><Relationship Type="http://schemas.openxmlformats.org/officeDocument/2006/relationships/hyperlink" Target="https://gpsproperty.cl/162327" TargetMode="External" Id="rId75"/><Relationship Type="http://schemas.openxmlformats.org/officeDocument/2006/relationships/hyperlink" Target="https://inmueble.mercadolibre.cl/MLC-1439012201-terreno-construccion-en-venta-en-talcahuano-_JM" TargetMode="External" Id="rId76"/><Relationship Type="http://schemas.openxmlformats.org/officeDocument/2006/relationships/hyperlink" Target="https://www.portalinmobiliario.com/MLC-2877727398-industrial-en-venta-en-talcahuano-_JM" TargetMode="External" Id="rId77"/><Relationship Type="http://schemas.openxmlformats.org/officeDocument/2006/relationships/hyperlink" Target="https://gpsproperty.cl/185659" TargetMode="External" Id="rId78"/><Relationship Type="http://schemas.openxmlformats.org/officeDocument/2006/relationships/hyperlink" Target="https://gpsproperty.cl/185660" TargetMode="External" Id="rId79"/><Relationship Type="http://schemas.openxmlformats.org/officeDocument/2006/relationships/hyperlink" Target="about:blank" TargetMode="External" Id="rId80"/><Relationship Type="http://schemas.openxmlformats.org/officeDocument/2006/relationships/hyperlink" Target="about:blank" TargetMode="External" Id="rId81"/><Relationship Type="http://schemas.openxmlformats.org/officeDocument/2006/relationships/hyperlink" Target="about:blank" TargetMode="External" Id="rId82"/><Relationship Type="http://schemas.openxmlformats.org/officeDocument/2006/relationships/hyperlink" Target="about:blank" TargetMode="External" Id="rId83"/><Relationship Type="http://schemas.openxmlformats.org/officeDocument/2006/relationships/hyperlink" Target="about:blank" TargetMode="External" Id="rId84"/><Relationship Type="http://schemas.openxmlformats.org/officeDocument/2006/relationships/hyperlink" Target="about:blank" TargetMode="External" Id="rId85"/><Relationship Type="http://schemas.openxmlformats.org/officeDocument/2006/relationships/hyperlink" Target="about:blank" TargetMode="External" Id="rId86"/><Relationship Type="http://schemas.openxmlformats.org/officeDocument/2006/relationships/hyperlink" Target="about:blank" TargetMode="External" Id="rId87"/><Relationship Type="http://schemas.openxmlformats.org/officeDocument/2006/relationships/hyperlink" Target="about:blank" TargetMode="External" Id="rId88"/><Relationship Type="http://schemas.openxmlformats.org/officeDocument/2006/relationships/hyperlink" Target="about:blank" TargetMode="External" Id="rId89"/><Relationship Type="http://schemas.openxmlformats.org/officeDocument/2006/relationships/hyperlink" Target="about:blank" TargetMode="External" Id="rId90"/><Relationship Type="http://schemas.openxmlformats.org/officeDocument/2006/relationships/hyperlink" Target="about:blank" TargetMode="External" Id="rId91"/><Relationship Type="http://schemas.openxmlformats.org/officeDocument/2006/relationships/hyperlink" Target="about:blank" TargetMode="External" Id="rId92"/><Relationship Type="http://schemas.openxmlformats.org/officeDocument/2006/relationships/hyperlink" Target="about:blank" TargetMode="External" Id="rId93"/><Relationship Type="http://schemas.openxmlformats.org/officeDocument/2006/relationships/hyperlink" Target="about:blank" TargetMode="External" Id="rId94"/><Relationship Type="http://schemas.openxmlformats.org/officeDocument/2006/relationships/hyperlink" Target="about:blank" TargetMode="External" Id="rId95"/><Relationship Type="http://schemas.openxmlformats.org/officeDocument/2006/relationships/hyperlink" Target="about:blank" TargetMode="External" Id="rId96"/><Relationship Type="http://schemas.openxmlformats.org/officeDocument/2006/relationships/hyperlink" Target="about:blank" TargetMode="External" Id="rId97"/><Relationship Type="http://schemas.openxmlformats.org/officeDocument/2006/relationships/hyperlink" Target="about:blank" TargetMode="External" Id="rId98"/><Relationship Type="http://schemas.openxmlformats.org/officeDocument/2006/relationships/hyperlink" Target="about:blank" TargetMode="External" Id="rId99"/><Relationship Type="http://schemas.openxmlformats.org/officeDocument/2006/relationships/hyperlink" Target="about:blank" TargetMode="External" Id="rId100"/><Relationship Type="http://schemas.openxmlformats.org/officeDocument/2006/relationships/hyperlink" Target="about:blank" TargetMode="External" Id="rId101"/><Relationship Type="http://schemas.openxmlformats.org/officeDocument/2006/relationships/hyperlink" Target="about:blank" TargetMode="External" Id="rId102"/><Relationship Type="http://schemas.openxmlformats.org/officeDocument/2006/relationships/hyperlink" Target="about:blank" TargetMode="External" Id="rId103"/><Relationship Type="http://schemas.openxmlformats.org/officeDocument/2006/relationships/hyperlink" Target="about:blank" TargetMode="External" Id="rId104"/><Relationship Type="http://schemas.openxmlformats.org/officeDocument/2006/relationships/hyperlink" Target="about:blank" TargetMode="External" Id="rId105"/><Relationship Type="http://schemas.openxmlformats.org/officeDocument/2006/relationships/hyperlink" Target="about:blank" TargetMode="External" Id="rId106"/><Relationship Type="http://schemas.openxmlformats.org/officeDocument/2006/relationships/hyperlink" Target="about:blank" TargetMode="External" Id="rId107"/><Relationship Type="http://schemas.openxmlformats.org/officeDocument/2006/relationships/hyperlink" Target="about:blank" TargetMode="External" Id="rId108"/><Relationship Type="http://schemas.openxmlformats.org/officeDocument/2006/relationships/hyperlink" Target="https://tattersallgda.cl/lots/21461" TargetMode="External" Id="rId109"/><Relationship Type="http://schemas.openxmlformats.org/officeDocument/2006/relationships/hyperlink" Target="https://tattersallgda.cl/lots/9540" TargetMode="External" Id="rId110"/><Relationship Type="http://schemas.openxmlformats.org/officeDocument/2006/relationships/hyperlink" Target="https://tattersallgda.cl/lots/9539" TargetMode="External" Id="rId111"/><Relationship Type="http://schemas.openxmlformats.org/officeDocument/2006/relationships/hyperlink" Target="https://tattersallgda.cl/lots/9538" TargetMode="External" Id="rId112"/><Relationship Type="http://schemas.openxmlformats.org/officeDocument/2006/relationships/hyperlink" Target="https://tattersallgda.cl/lots/31183" TargetMode="External" Id="rId113"/><Relationship Type="http://schemas.openxmlformats.org/officeDocument/2006/relationships/hyperlink" Target="https://www.economicos.cl/propiedades/se-vende-o-arrienda-terreno-talca-codAAUYW2I.html" TargetMode="External" Id="rId114"/><Relationship Type="http://schemas.openxmlformats.org/officeDocument/2006/relationships/hyperlink" Target="https://www.toctoc.com/propiedades/compracorredorasr/terrenoindustrial/curico/industrial-en-venta-en-ruta-5-sur-curico/3734784" TargetMode="External" Id="rId115"/><Relationship Type="http://schemas.openxmlformats.org/officeDocument/2006/relationships/hyperlink" Target="https://www.toctoc.com/propiedades/compracorredorasr/terrenoindustrial/romeral/terreno-industrial-en-venta-en-romeral/3543351" TargetMode="External" Id="rId116"/><Relationship Type="http://schemas.openxmlformats.org/officeDocument/2006/relationships/hyperlink" Target="https://www.toctoc.com/propiedades/compracorredorasr/terrenoindustrial/curico/sector-cruce-romeral/3657157" TargetMode="External" Id="rId117"/><Relationship Type="http://schemas.openxmlformats.org/officeDocument/2006/relationships/hyperlink" Target="https://www.toctoc.com/propiedades/compracorredorasr/terrenoindustrial/linares/terreno-industrial-en-venta-por-entrada-de-linares/3901135" TargetMode="External" Id="rId118"/><Relationship Type="http://schemas.openxmlformats.org/officeDocument/2006/relationships/hyperlink" Target="https://www.toctoc.com/propiedades/compracorredorasr/terrenoindustrial/curico/industrial-en-venta-en-curico/3390651" TargetMode="External" Id="rId119"/><Relationship Type="http://schemas.openxmlformats.org/officeDocument/2006/relationships/hyperlink" Target="https://www.toctoc.com/propiedades/compracorredorasr/terrenoindustrial/maule/industrial-propiedad-de-1-29-has-entrada-sur-talca/3872742" TargetMode="External" Id="rId120"/><Relationship Type="http://schemas.openxmlformats.org/officeDocument/2006/relationships/hyperlink" Target="https://www.toctoc.com/propiedades/compracorredorasr/terrenoindustrial/romeral/terreno-industrial-en-venta-en-romeral/3390847" TargetMode="External" Id="rId121"/><Relationship Type="http://schemas.openxmlformats.org/officeDocument/2006/relationships/hyperlink" Target="https://www.toctoc.com/propiedades/compracorredorasr/terrenoindustrial/curico/industrial-en-venta-en-curico-orilla-5-sur/3390649" TargetMode="External" Id="rId122"/><Relationship Type="http://schemas.openxmlformats.org/officeDocument/2006/relationships/hyperlink" Target="https://www.toctoc.com/propiedades/compracorredorasr/terrenoindustrial/talca/se-vende-terreno-industrial-en-talca/3390445" TargetMode="External" Id="rId123"/><Relationship Type="http://schemas.openxmlformats.org/officeDocument/2006/relationships/hyperlink" Target="https://www.economicos.cl/propiedades/terreno-en-talca-codAAUW4SA.html" TargetMode="External" Id="rId124"/><Relationship Id="rId125" Type="http://schemas.openxmlformats.org/officeDocument/2006/relationships/drawing" Target="../drawings/drawing13.xml"/></Relationships>
</file>

<file path=xl/worksheets/_rels/sheet10.xml.rels><?xml version="1.0" encoding="UTF-8" standalone="yes"?>
<Relationships xmlns="http://schemas.openxmlformats.org/package/2006/relationships"><Relationship Type="http://schemas.openxmlformats.org/officeDocument/2006/relationships/hyperlink" Target="https://gesaguas.cl/derecho/19" TargetMode="External" Id="rId1"/><Relationship Type="http://schemas.openxmlformats.org/officeDocument/2006/relationships/hyperlink" Target="https://www.aguacircular.cl/00618-054-05" TargetMode="External" Id="rId2"/><Relationship Type="http://schemas.openxmlformats.org/officeDocument/2006/relationships/hyperlink" Target="https://www.aguacircular.cl/00619-054-05" TargetMode="External" Id="rId3"/><Relationship Type="http://schemas.openxmlformats.org/officeDocument/2006/relationships/hyperlink" Target="https://www.aguacircular.cl/01116-054-05" TargetMode="External" Id="rId4"/><Relationship Type="http://schemas.openxmlformats.org/officeDocument/2006/relationships/hyperlink" Target="https://www.aguacircular.cl/00098-054-05" TargetMode="External" Id="rId5"/><Relationship Type="http://schemas.openxmlformats.org/officeDocument/2006/relationships/hyperlink" Target="https://www.aguacircular.cl/00647-054-05" TargetMode="External" Id="rId6"/><Relationship Type="http://schemas.openxmlformats.org/officeDocument/2006/relationships/hyperlink" Target="https://www.aguacircular.cl/00332-054-05" TargetMode="External" Id="rId7"/><Relationship Type="http://schemas.openxmlformats.org/officeDocument/2006/relationships/hyperlink" Target="https://www.aguacircular.cl/00633-054-05" TargetMode="External" Id="rId8"/><Relationship Type="http://schemas.openxmlformats.org/officeDocument/2006/relationships/hyperlink" Target="https://www.aguacircular.cl/01327-054-05" TargetMode="External" Id="rId9"/><Relationship Type="http://schemas.openxmlformats.org/officeDocument/2006/relationships/hyperlink" Target="https://www.aguacircular.cl/00098-054-05" TargetMode="External" Id="rId10"/><Relationship Type="http://schemas.openxmlformats.org/officeDocument/2006/relationships/hyperlink" Target="https://www.aguacircular.cl/00618-054-05" TargetMode="External" Id="rId11"/><Relationship Type="http://schemas.openxmlformats.org/officeDocument/2006/relationships/hyperlink" Target="https://www.aguacircular.cl/00619-054-05" TargetMode="External" Id="rId12"/><Relationship Type="http://schemas.openxmlformats.org/officeDocument/2006/relationships/hyperlink" Target="https://www.gesaguas.cl/derecho/20" TargetMode="External" Id="rId13"/><Relationship Type="http://schemas.openxmlformats.org/officeDocument/2006/relationships/hyperlink" Target="https://www.aguacircular.cl/00540-060-06" TargetMode="External" Id="rId14"/><Relationship Type="http://schemas.openxmlformats.org/officeDocument/2006/relationships/hyperlink" Target="https://www.aguacircular.cl/01265-060-06" TargetMode="External" Id="rId15"/><Relationship Type="http://schemas.openxmlformats.org/officeDocument/2006/relationships/hyperlink" Target="https://www.aguacircular.cl/01281-060-06" TargetMode="External" Id="rId16"/><Relationship Type="http://schemas.openxmlformats.org/officeDocument/2006/relationships/hyperlink" Target="https://www.aguacircular.cl/00532-060-06" TargetMode="External" Id="rId17"/><Relationship Type="http://schemas.openxmlformats.org/officeDocument/2006/relationships/hyperlink" Target="https://www.aguacircular.cl/01361-060-06" TargetMode="External" Id="rId18"/><Relationship Type="http://schemas.openxmlformats.org/officeDocument/2006/relationships/hyperlink" Target="https://www.aguacircular.cl/00399-060-06" TargetMode="External" Id="rId19"/><Relationship Type="http://schemas.openxmlformats.org/officeDocument/2006/relationships/hyperlink" Target="https://www.aguacircular.cl/00447-060-06" TargetMode="External" Id="rId20"/><Relationship Type="http://schemas.openxmlformats.org/officeDocument/2006/relationships/hyperlink" Target="https://www.aguacircular.cl/00317-060-06" TargetMode="External" Id="rId21"/><Relationship Type="http://schemas.openxmlformats.org/officeDocument/2006/relationships/hyperlink" Target="https://www.aguacircular.cl/00666-060-06" TargetMode="External" Id="rId22"/><Relationship Type="http://schemas.openxmlformats.org/officeDocument/2006/relationships/hyperlink" Target="https://www.aguacircular.cl/01063-060-06" TargetMode="External" Id="rId23"/><Relationship Type="http://schemas.openxmlformats.org/officeDocument/2006/relationships/hyperlink" Target="https://www.aguacircular.cl/00974-060-06" TargetMode="External" Id="rId2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Id="rId25" Type="http://schemas.openxmlformats.org/officeDocument/2006/relationships/drawing" Target="../drawings/drawing14.x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FF7F7F7F"/>
    <outlinePr summaryBelow="1" summaryRight="1"/>
    <pageSetUpPr/>
  </sheetPr>
  <dimension ref="A1:Z45"/>
  <sheetViews>
    <sheetView showGridLines="0" tabSelected="1" view="pageBreakPreview" zoomScaleNormal="100" zoomScaleSheetLayoutView="100" workbookViewId="0">
      <selection activeCell="J43" sqref="J43"/>
    </sheetView>
  </sheetViews>
  <sheetFormatPr baseColWidth="10" defaultColWidth="14.44140625" defaultRowHeight="15" customHeight="1"/>
  <cols>
    <col width="3.6640625" customWidth="1" style="1064" min="1" max="1"/>
    <col width="9.6640625" customWidth="1" style="1064" min="2" max="2"/>
    <col width="17.6640625" customWidth="1" style="1064" min="3" max="3"/>
    <col width="15.44140625" customWidth="1" style="1064" min="4" max="4"/>
    <col width="14.109375" customWidth="1" style="1064" min="5" max="5"/>
    <col width="12.44140625" customWidth="1" style="1064" min="6" max="7"/>
    <col width="10.6640625" customWidth="1" style="1064" min="8" max="8"/>
    <col width="11.109375" customWidth="1" style="1064" min="9" max="9"/>
    <col width="13.44140625" customWidth="1" style="1064" min="10" max="10"/>
    <col width="9.109375" customWidth="1" style="1064" min="11" max="26"/>
    <col width="14.44140625" customWidth="1" style="1064" min="27" max="27"/>
    <col width="14.44140625" customWidth="1" style="1064" min="28" max="16384"/>
  </cols>
  <sheetData>
    <row r="1" ht="21.75" customHeight="1">
      <c r="F1" s="1105" t="inlineStr">
        <is>
          <t xml:space="preserve">VISADO CONTROL CRÉDITO </t>
        </is>
      </c>
      <c r="G1" s="1106" t="n"/>
      <c r="H1" s="1106" t="n"/>
      <c r="I1" s="1087" t="n"/>
    </row>
    <row r="2" ht="21" customHeight="1">
      <c r="F2" s="1107" t="n"/>
      <c r="I2" s="1068" t="n"/>
    </row>
    <row r="3" ht="16.5" customHeight="1" thickBot="1">
      <c r="A3" s="1096" t="inlineStr">
        <is>
          <t xml:space="preserve">INFORME DE TASACIÓN </t>
        </is>
      </c>
      <c r="B3" s="1097" t="n"/>
      <c r="C3" s="1097" t="n"/>
      <c r="D3" s="1097" t="n"/>
      <c r="E3" s="1098" t="n"/>
      <c r="F3" s="1107" t="n"/>
      <c r="I3" s="1068" t="n"/>
    </row>
    <row r="4" ht="21" customHeight="1" thickBot="1" thickTop="1">
      <c r="F4" s="1108" t="n"/>
      <c r="G4" s="1109" t="n"/>
      <c r="H4" s="1109" t="n"/>
      <c r="I4" s="1078" t="n"/>
    </row>
    <row r="5" ht="9.75" customHeight="1" thickBot="1">
      <c r="A5" s="1070" t="n"/>
    </row>
    <row r="6" ht="21" customHeight="1">
      <c r="F6" s="103" t="n"/>
      <c r="G6" s="104" t="n"/>
      <c r="H6" s="1220" t="n"/>
      <c r="I6" s="1087" t="n"/>
    </row>
    <row r="7" ht="21" customHeight="1">
      <c r="F7" s="105" t="inlineStr">
        <is>
          <t xml:space="preserve">FECHA TASACIÓN: </t>
        </is>
      </c>
      <c r="G7" s="106" t="n"/>
      <c r="H7" s="1103" t="n"/>
      <c r="I7" s="1068" t="n"/>
    </row>
    <row r="8" ht="21" customHeight="1">
      <c r="F8" s="105" t="inlineStr">
        <is>
          <t xml:space="preserve">UF BASE: </t>
        </is>
      </c>
      <c r="G8" s="106" t="n"/>
      <c r="H8" s="1221" t="n"/>
      <c r="I8" s="1068" t="n"/>
    </row>
    <row r="9" ht="21" customHeight="1">
      <c r="F9" s="105" t="inlineStr">
        <is>
          <t>Valor USD</t>
        </is>
      </c>
      <c r="G9" s="106" t="n"/>
      <c r="H9" s="1221" t="n"/>
      <c r="I9" s="1068" t="n"/>
    </row>
    <row r="10" ht="21" customHeight="1">
      <c r="F10" s="105" t="inlineStr">
        <is>
          <t xml:space="preserve">Informe: </t>
        </is>
      </c>
      <c r="G10" s="106" t="n"/>
      <c r="H10" s="1067" t="inlineStr">
        <is>
          <t>Retasación</t>
        </is>
      </c>
      <c r="I10" s="1068" t="n"/>
    </row>
    <row r="11" ht="21" customHeight="1">
      <c r="F11" s="105" t="inlineStr">
        <is>
          <t>Comuna</t>
        </is>
      </c>
      <c r="G11" s="106" t="n"/>
      <c r="H11" s="1067" t="n"/>
      <c r="I11" s="1068" t="n"/>
    </row>
    <row r="12" ht="21" customHeight="1" thickBot="1">
      <c r="F12" s="107" t="inlineStr">
        <is>
          <t>Región</t>
        </is>
      </c>
      <c r="G12" s="108" t="n"/>
      <c r="H12" s="1077" t="n"/>
      <c r="I12" s="1078" t="n"/>
    </row>
    <row r="13" ht="12" customHeight="1" thickBot="1"/>
    <row r="14" ht="30.75" customHeight="1">
      <c r="A14" s="1112" t="inlineStr">
        <is>
          <t>CLIENTE:</t>
        </is>
      </c>
      <c r="B14" s="1080" t="n"/>
      <c r="C14" s="1079" t="n"/>
      <c r="D14" s="1080" t="n"/>
      <c r="E14" s="1080" t="n"/>
      <c r="F14" s="109" t="n"/>
      <c r="G14" s="109" t="inlineStr">
        <is>
          <t>RUT:</t>
        </is>
      </c>
      <c r="H14" s="1082" t="n"/>
      <c r="I14" s="1083" t="n"/>
      <c r="J14" s="110" t="n"/>
      <c r="K14" s="110" t="n"/>
      <c r="L14" s="110" t="n"/>
      <c r="M14" s="110" t="n"/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  <c r="X14" s="110" t="n"/>
      <c r="Y14" s="110" t="n"/>
      <c r="Z14" s="110" t="n"/>
    </row>
    <row r="15" ht="22.95" customHeight="1" thickBot="1">
      <c r="A15" s="1084" t="inlineStr">
        <is>
          <t>PROPIETARIO:</t>
        </is>
      </c>
      <c r="B15" s="1085" t="n"/>
      <c r="C15" s="1092" t="n"/>
      <c r="D15" s="1085" t="n"/>
      <c r="E15" s="1085" t="n"/>
      <c r="F15" s="111" t="n"/>
      <c r="G15" s="111" t="inlineStr">
        <is>
          <t>RUT:</t>
        </is>
      </c>
      <c r="H15" s="1114" t="n"/>
      <c r="I15" s="1115" t="n"/>
      <c r="J15" s="110" t="n"/>
      <c r="K15" s="110" t="n"/>
      <c r="L15" s="110" t="n"/>
      <c r="M15" s="110" t="n"/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  <c r="X15" s="110" t="n"/>
      <c r="Y15" s="110" t="n"/>
      <c r="Z15" s="110" t="n"/>
    </row>
    <row r="16" ht="12" customHeight="1" thickBot="1">
      <c r="D16" s="112" t="n"/>
      <c r="F16" s="112" t="n"/>
      <c r="I16" s="113" t="n"/>
    </row>
    <row r="17" ht="39" customHeight="1">
      <c r="A17" s="114" t="inlineStr">
        <is>
          <t>Nº</t>
        </is>
      </c>
      <c r="B17" s="1074" t="inlineStr">
        <is>
          <t>Nombre de la Propiedad</t>
        </is>
      </c>
      <c r="C17" s="1075" t="n"/>
      <c r="D17" s="1075" t="n"/>
      <c r="E17" s="1076" t="n"/>
      <c r="F17" s="1130" t="inlineStr">
        <is>
          <t>Rol 
Avalúo</t>
        </is>
      </c>
      <c r="G17" s="115" t="inlineStr">
        <is>
          <t>Comuna</t>
        </is>
      </c>
      <c r="H17" s="1130" t="inlineStr">
        <is>
          <t>Superf. Legal
(ha)</t>
        </is>
      </c>
      <c r="I17" s="116" t="inlineStr">
        <is>
          <t>Superf. Real
(ha)</t>
        </is>
      </c>
    </row>
    <row r="18" ht="34.95" customHeight="1" thickBot="1">
      <c r="A18" s="117" t="n">
        <v>1</v>
      </c>
      <c r="B18" s="1099">
        <f>LEGAL!B6</f>
        <v/>
      </c>
      <c r="C18" s="1100" t="n"/>
      <c r="D18" s="1100" t="n"/>
      <c r="E18" s="1101" t="n"/>
      <c r="F18" s="118">
        <f>LEGAL!G6</f>
        <v/>
      </c>
      <c r="G18" s="119">
        <f>PORTADA!H11</f>
        <v/>
      </c>
      <c r="H18" s="120">
        <f>LEGAL!H6</f>
        <v/>
      </c>
      <c r="I18" s="121">
        <f>LEGAL!I6</f>
        <v/>
      </c>
    </row>
    <row r="19" hidden="1" ht="34.95" customHeight="1" thickBot="1">
      <c r="A19" s="516" t="n">
        <v>2</v>
      </c>
      <c r="B19" s="1094" t="n"/>
      <c r="C19" s="1085" t="n"/>
      <c r="D19" s="1085" t="n"/>
      <c r="E19" s="1073" t="n"/>
      <c r="F19" s="517" t="n"/>
      <c r="G19" s="518" t="n"/>
      <c r="H19" s="519" t="n"/>
      <c r="I19" s="520" t="n"/>
    </row>
    <row r="20" hidden="1" ht="34.95" customHeight="1" thickBot="1">
      <c r="A20" s="516" t="n">
        <v>3</v>
      </c>
      <c r="B20" s="1094" t="n"/>
      <c r="C20" s="1085" t="n"/>
      <c r="D20" s="1085" t="n"/>
      <c r="E20" s="1073" t="n"/>
      <c r="F20" s="517" t="n"/>
      <c r="G20" s="518" t="n"/>
      <c r="H20" s="519" t="n"/>
      <c r="I20" s="520" t="n"/>
    </row>
    <row r="21" ht="22.2" customHeight="1" thickBot="1">
      <c r="A21" s="112" t="n"/>
      <c r="B21" s="112" t="n"/>
      <c r="C21" s="112" t="n"/>
      <c r="D21" s="112" t="n"/>
      <c r="E21" s="112" t="n"/>
      <c r="F21" s="1072" t="inlineStr">
        <is>
          <t>Total (ha)</t>
        </is>
      </c>
      <c r="G21" s="1073" t="n"/>
      <c r="H21" s="122">
        <f>SUM(H18:H20)</f>
        <v/>
      </c>
      <c r="I21" s="123">
        <f>SUM(I18:I20)</f>
        <v/>
      </c>
    </row>
    <row r="22" ht="15.75" customHeight="1" thickBot="1">
      <c r="A22" s="124" t="n"/>
      <c r="B22" s="124" t="n"/>
      <c r="C22" s="125" t="n"/>
      <c r="D22" s="125" t="n"/>
      <c r="E22" s="124" t="n"/>
      <c r="F22" s="125" t="n"/>
      <c r="G22" s="125" t="n"/>
    </row>
    <row r="23" ht="22.5" customHeight="1">
      <c r="A23" s="1088" t="inlineStr">
        <is>
          <t xml:space="preserve">RESUMEN DE VALORES </t>
        </is>
      </c>
      <c r="B23" s="1075" t="n"/>
      <c r="C23" s="1075" t="n"/>
      <c r="D23" s="1110" t="inlineStr">
        <is>
          <t>USD</t>
        </is>
      </c>
      <c r="E23" s="1075" t="n"/>
      <c r="F23" s="1110" t="inlineStr">
        <is>
          <t>$</t>
        </is>
      </c>
      <c r="G23" s="1075" t="n"/>
      <c r="H23" s="1117" t="inlineStr">
        <is>
          <t xml:space="preserve">UF </t>
        </is>
      </c>
      <c r="I23" s="1118" t="n"/>
    </row>
    <row r="24" ht="21" customHeight="1">
      <c r="A24" s="1069" t="inlineStr">
        <is>
          <t>Suelos</t>
        </is>
      </c>
      <c r="D24" s="1081">
        <f>F24/USD</f>
        <v/>
      </c>
      <c r="F24" s="1222">
        <f>'RESUMEN VALOR'!C6</f>
        <v/>
      </c>
      <c r="H24" s="1223">
        <f>F24/UF</f>
        <v/>
      </c>
      <c r="I24" s="1066" t="n"/>
      <c r="J24" s="1224" t="n"/>
      <c r="K24" s="127" t="n"/>
      <c r="L24" s="128" t="n"/>
    </row>
    <row r="25" ht="21" customHeight="1">
      <c r="A25" s="1069" t="inlineStr">
        <is>
          <t>Derechos de Agua</t>
        </is>
      </c>
      <c r="D25" s="1081">
        <f>F25/USD</f>
        <v/>
      </c>
      <c r="F25" s="1222">
        <f>'AGUA '!J27</f>
        <v/>
      </c>
      <c r="H25" s="1223">
        <f>F25/UF</f>
        <v/>
      </c>
      <c r="I25" s="1066" t="n"/>
      <c r="J25" s="1224" t="n"/>
      <c r="L25" s="128" t="n"/>
    </row>
    <row r="26" ht="21" customHeight="1">
      <c r="A26" s="1069" t="inlineStr">
        <is>
          <t xml:space="preserve">Infraestructura Hipotecable </t>
        </is>
      </c>
      <c r="D26" s="1081">
        <f>F26/USD</f>
        <v/>
      </c>
      <c r="F26" s="1222">
        <f>CONSTR!S11</f>
        <v/>
      </c>
      <c r="H26" s="1223">
        <f>F26/UF</f>
        <v/>
      </c>
      <c r="I26" s="1066" t="n"/>
      <c r="J26" s="1224" t="n"/>
      <c r="L26" s="128" t="n"/>
    </row>
    <row r="27" ht="21" customHeight="1">
      <c r="A27" s="1069" t="inlineStr">
        <is>
          <t>Infraestructura Prendable</t>
        </is>
      </c>
      <c r="D27" s="1081">
        <f>F27/USD</f>
        <v/>
      </c>
      <c r="F27" s="1222">
        <f>CONSTR!S18</f>
        <v/>
      </c>
      <c r="H27" s="1223">
        <f>F27/UF</f>
        <v/>
      </c>
      <c r="I27" s="1066" t="n"/>
      <c r="J27" s="1224" t="n"/>
      <c r="L27" s="128" t="n"/>
    </row>
    <row r="28" ht="21" customHeight="1">
      <c r="A28" s="1069" t="inlineStr">
        <is>
          <t>Plantaciones sin royalty</t>
        </is>
      </c>
      <c r="D28" s="1081">
        <f>F28/USD</f>
        <v/>
      </c>
      <c r="F28" s="1222">
        <f>PLANTACION!H11</f>
        <v/>
      </c>
      <c r="H28" s="1223">
        <f>F28/UF</f>
        <v/>
      </c>
      <c r="I28" s="1066" t="n"/>
      <c r="J28" s="1224" t="n"/>
      <c r="L28" s="128" t="n"/>
    </row>
    <row r="29" ht="21" customHeight="1">
      <c r="A29" s="1069" t="inlineStr">
        <is>
          <t>Plantaciones con royalty</t>
        </is>
      </c>
      <c r="D29" s="1081">
        <f>F29/USD</f>
        <v/>
      </c>
      <c r="F29" s="1222">
        <f>PLANTACION!H17</f>
        <v/>
      </c>
      <c r="H29" s="1223">
        <f>F29/UF</f>
        <v/>
      </c>
      <c r="I29" s="1066" t="n"/>
      <c r="J29" s="1224" t="n"/>
    </row>
    <row r="30" ht="21" customHeight="1">
      <c r="A30" s="1069" t="inlineStr">
        <is>
          <t>Instalaciones - Equipos</t>
        </is>
      </c>
      <c r="D30" s="1081">
        <f>F30/USD</f>
        <v/>
      </c>
      <c r="F30" s="1222">
        <f>CONSTR!S23</f>
        <v/>
      </c>
      <c r="H30" s="1223">
        <f>F30/UF</f>
        <v/>
      </c>
      <c r="I30" s="1066" t="n"/>
      <c r="J30" s="1224" t="n"/>
      <c r="L30" s="128" t="n"/>
    </row>
    <row r="31" ht="21" customHeight="1">
      <c r="A31" s="1104" t="inlineStr">
        <is>
          <t xml:space="preserve">Valor Comercial </t>
        </is>
      </c>
      <c r="D31" s="1095">
        <f>F31/USD</f>
        <v/>
      </c>
      <c r="F31" s="1225">
        <f>SUM(F24:G30)</f>
        <v/>
      </c>
      <c r="H31" s="1226">
        <f>F31/UF</f>
        <v/>
      </c>
      <c r="I31" s="1066" t="n"/>
      <c r="J31" s="1224" t="n"/>
    </row>
    <row r="32" ht="27" customHeight="1">
      <c r="A32" s="1089" t="inlineStr">
        <is>
          <t>Valor comercial/ha</t>
        </is>
      </c>
      <c r="D32" s="1090">
        <f>D31/$H$21</f>
        <v/>
      </c>
      <c r="F32" s="1227">
        <f>F31/$H$21</f>
        <v/>
      </c>
      <c r="H32" s="1228">
        <f>H31/$H$21</f>
        <v/>
      </c>
      <c r="I32" s="1066" t="n"/>
      <c r="J32" s="1224" t="n"/>
    </row>
    <row r="33" ht="25.5" customHeight="1" thickBot="1">
      <c r="A33" s="1119" t="inlineStr">
        <is>
          <t xml:space="preserve">Valor Liquidación </t>
        </is>
      </c>
      <c r="B33" s="1085" t="n"/>
      <c r="C33" s="1085" t="n"/>
      <c r="D33" s="1113">
        <f>'RESUMEN VALOR'!E20</f>
        <v/>
      </c>
      <c r="E33" s="1085" t="n"/>
      <c r="F33" s="1229">
        <f>'RESUMEN VALOR'!E19</f>
        <v/>
      </c>
      <c r="G33" s="1085" t="n"/>
      <c r="H33" s="1230">
        <f>'RESUMEN VALOR'!E21</f>
        <v/>
      </c>
      <c r="I33" s="1115" t="n"/>
    </row>
    <row r="34" ht="15.75" customHeight="1"/>
    <row r="35" ht="10.2" customHeight="1" thickBot="1"/>
    <row r="36" ht="22.2" customHeight="1" thickBot="1">
      <c r="A36" s="129" t="inlineStr">
        <is>
          <t>OBSERVACIONES Y ADVERTENCIAS</t>
        </is>
      </c>
      <c r="B36" s="130" t="n"/>
      <c r="C36" s="130" t="n"/>
      <c r="D36" s="130" t="n"/>
      <c r="E36" s="130" t="n"/>
      <c r="F36" s="130" t="n"/>
      <c r="G36" s="130" t="n"/>
      <c r="H36" s="130" t="n"/>
      <c r="I36" s="131" t="n"/>
    </row>
    <row r="37" ht="15.75" customHeight="1">
      <c r="A37" s="132" t="n"/>
      <c r="I37" s="133" t="n"/>
    </row>
    <row r="38" ht="15.75" customHeight="1">
      <c r="A38" s="132" t="n"/>
      <c r="I38" s="133" t="n"/>
    </row>
    <row r="39" ht="15.75" customHeight="1">
      <c r="A39" s="132" t="n"/>
      <c r="I39" s="133" t="n"/>
    </row>
    <row r="40" ht="15.75" customHeight="1">
      <c r="A40" s="132" t="n"/>
      <c r="I40" s="133" t="n"/>
    </row>
    <row r="41" ht="15.75" customHeight="1">
      <c r="A41" s="132" t="n"/>
      <c r="I41" s="133" t="n"/>
    </row>
    <row r="42" ht="15.75" customHeight="1">
      <c r="A42" s="132" t="n"/>
      <c r="I42" s="133" t="n"/>
    </row>
    <row r="43" ht="15.75" customHeight="1">
      <c r="A43" s="132" t="n"/>
      <c r="I43" s="133" t="n"/>
    </row>
    <row r="44" ht="40.5" customHeight="1">
      <c r="A44" s="132" t="n"/>
      <c r="I44" s="133" t="n"/>
    </row>
    <row r="45" ht="41.25" customHeight="1" thickBot="1">
      <c r="A45" s="134" t="n"/>
      <c r="B45" s="135" t="n"/>
      <c r="C45" s="135" t="n"/>
      <c r="D45" s="135" t="n"/>
      <c r="E45" s="135" t="n"/>
      <c r="F45" s="135" t="n"/>
      <c r="G45" s="135" t="n"/>
      <c r="H45" s="135" t="n"/>
      <c r="I45" s="136" t="n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5">
    <mergeCell ref="A25:C25"/>
    <mergeCell ref="A15:B15"/>
    <mergeCell ref="F29:G29"/>
    <mergeCell ref="H29:I29"/>
    <mergeCell ref="H10:I10"/>
    <mergeCell ref="F25:G25"/>
    <mergeCell ref="A27:C27"/>
    <mergeCell ref="B20:E20"/>
    <mergeCell ref="H31:I31"/>
    <mergeCell ref="D31:E31"/>
    <mergeCell ref="A26:C26"/>
    <mergeCell ref="H9:I9"/>
    <mergeCell ref="F21:G21"/>
    <mergeCell ref="H25:I25"/>
    <mergeCell ref="A33:C33"/>
    <mergeCell ref="F24:G24"/>
    <mergeCell ref="H6:I6"/>
    <mergeCell ref="F30:G30"/>
    <mergeCell ref="A23:C23"/>
    <mergeCell ref="A32:C32"/>
    <mergeCell ref="D27:E27"/>
    <mergeCell ref="F33:G33"/>
    <mergeCell ref="D32:E32"/>
    <mergeCell ref="F32:G32"/>
    <mergeCell ref="D26:E26"/>
    <mergeCell ref="A29:C29"/>
    <mergeCell ref="F26:G26"/>
    <mergeCell ref="A3:E3"/>
    <mergeCell ref="A28:C28"/>
    <mergeCell ref="H11:I11"/>
    <mergeCell ref="B18:E18"/>
    <mergeCell ref="H32:I32"/>
    <mergeCell ref="H7:I7"/>
    <mergeCell ref="A31:C31"/>
    <mergeCell ref="F23:G23"/>
    <mergeCell ref="F31:G31"/>
    <mergeCell ref="D28:E28"/>
    <mergeCell ref="A14:B14"/>
    <mergeCell ref="F28:G28"/>
    <mergeCell ref="A30:C30"/>
    <mergeCell ref="H28:I28"/>
    <mergeCell ref="F27:G27"/>
    <mergeCell ref="C15:E15"/>
    <mergeCell ref="A24:C24"/>
    <mergeCell ref="H27:I27"/>
    <mergeCell ref="D25:E25"/>
    <mergeCell ref="B17:E17"/>
    <mergeCell ref="H12:I12"/>
    <mergeCell ref="C14:E14"/>
    <mergeCell ref="H8:I8"/>
    <mergeCell ref="D30:E30"/>
    <mergeCell ref="D24:E24"/>
    <mergeCell ref="D33:E33"/>
    <mergeCell ref="H24:I24"/>
    <mergeCell ref="D29:E29"/>
    <mergeCell ref="H26:I26"/>
    <mergeCell ref="H15:I15"/>
    <mergeCell ref="D23:E23"/>
    <mergeCell ref="H33:I33"/>
    <mergeCell ref="H23:I23"/>
    <mergeCell ref="B19:E19"/>
    <mergeCell ref="H14:I14"/>
    <mergeCell ref="A5:E13"/>
    <mergeCell ref="H30:I30"/>
    <mergeCell ref="F1:I4"/>
  </mergeCells>
  <printOptions horizontalCentered="1"/>
  <pageMargins left="0.7086614173228351" right="0.7086614173228351" top="0.748031496062992" bottom="0.551181102362205" header="0" footer="0"/>
  <pageSetup orientation="portrait" scale="75"/>
  <colBreaks count="1" manualBreakCount="1">
    <brk id="11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DDD9C3"/>
    <outlinePr summaryBelow="1" summaryRight="1"/>
    <pageSetUpPr/>
  </sheetPr>
  <dimension ref="A1:Z402"/>
  <sheetViews>
    <sheetView showGridLines="0" view="pageBreakPreview" topLeftCell="A84" zoomScale="90" zoomScaleNormal="117" zoomScaleSheetLayoutView="90" workbookViewId="0">
      <selection activeCell="E24" sqref="E24:F24"/>
    </sheetView>
  </sheetViews>
  <sheetFormatPr baseColWidth="10" defaultColWidth="14.44140625" defaultRowHeight="15" customHeight="1"/>
  <cols>
    <col width="3.109375" customWidth="1" style="1064" min="1" max="1"/>
    <col width="31.109375" customWidth="1" style="1064" min="2" max="2"/>
    <col width="7.44140625" customWidth="1" style="1064" min="3" max="5"/>
    <col width="11.6640625" customWidth="1" style="1064" min="6" max="6"/>
    <col width="9" customWidth="1" style="1064" min="7" max="7"/>
    <col width="10.6640625" customWidth="1" style="1064" min="8" max="8"/>
    <col width="9.6640625" customWidth="1" style="1064" min="9" max="9"/>
    <col width="11.33203125" customWidth="1" style="1064" min="10" max="10"/>
    <col width="8.44140625" customWidth="1" style="1064" min="11" max="11"/>
    <col width="12.88671875" customWidth="1" style="1064" min="12" max="12"/>
    <col width="9.109375" customWidth="1" style="1064" min="13" max="26"/>
    <col width="14.44140625" customWidth="1" style="1064" min="27" max="27"/>
    <col width="14.44140625" customWidth="1" style="1064" min="28" max="16384"/>
  </cols>
  <sheetData>
    <row r="1" ht="16.2" customHeight="1" thickBot="1">
      <c r="A1" s="1147" t="inlineStr">
        <is>
          <t>2.-ANTECEDENTES LEGALES</t>
        </is>
      </c>
      <c r="B1" s="1148" t="n"/>
      <c r="C1" s="1148" t="n"/>
      <c r="D1" s="1148" t="n"/>
      <c r="E1" s="1148" t="n"/>
      <c r="F1" s="1148" t="n"/>
      <c r="G1" s="1148" t="n"/>
      <c r="H1" s="1148" t="n"/>
      <c r="I1" s="1148" t="n"/>
      <c r="J1" s="1148" t="n"/>
      <c r="K1" s="1148" t="n"/>
      <c r="L1" s="1149" t="n"/>
    </row>
    <row r="2" ht="7.5" customHeight="1" thickBot="1">
      <c r="B2" s="137" t="n"/>
    </row>
    <row r="3" thickBot="1">
      <c r="A3" s="1129" t="inlineStr">
        <is>
          <t>2.1. ANTECEDENTES DEL DOMINIO E HIPOTECAS</t>
        </is>
      </c>
      <c r="B3" s="1106" t="n"/>
      <c r="C3" s="1106" t="n"/>
      <c r="D3" s="1106" t="n"/>
      <c r="E3" s="1106" t="n"/>
      <c r="F3" s="1106" t="n"/>
      <c r="G3" s="1106" t="n"/>
      <c r="H3" s="1106" t="n"/>
      <c r="I3" s="1106" t="n"/>
      <c r="J3" s="1106" t="n"/>
      <c r="K3" s="1106" t="n"/>
      <c r="L3" s="1087" t="n"/>
      <c r="M3" s="138" t="n"/>
      <c r="N3" s="138" t="n"/>
      <c r="O3" s="138" t="n"/>
      <c r="P3" s="138" t="n"/>
      <c r="Q3" s="138" t="n"/>
      <c r="R3" s="138" t="n"/>
      <c r="S3" s="138" t="n"/>
      <c r="T3" s="138" t="n"/>
      <c r="U3" s="138" t="n"/>
      <c r="V3" s="138" t="n"/>
      <c r="W3" s="138" t="n"/>
      <c r="X3" s="138" t="n"/>
      <c r="Y3" s="138" t="n"/>
      <c r="Z3" s="138" t="n"/>
    </row>
    <row r="4" ht="15.75" customHeight="1">
      <c r="A4" s="1153" t="inlineStr">
        <is>
          <t>nº</t>
        </is>
      </c>
      <c r="B4" s="1130" t="inlineStr">
        <is>
          <t>PROPIEDADES</t>
        </is>
      </c>
      <c r="C4" s="1130" t="inlineStr">
        <is>
          <t>Inscripción dominio</t>
        </is>
      </c>
      <c r="D4" s="1075" t="n"/>
      <c r="E4" s="1076" t="n"/>
      <c r="F4" s="1130" t="inlineStr">
        <is>
          <t>C.B.R.</t>
        </is>
      </c>
      <c r="G4" s="1130" t="inlineStr">
        <is>
          <t>Rol SII</t>
        </is>
      </c>
      <c r="H4" s="1130" t="inlineStr">
        <is>
          <t>Superficie 
Legal/SII (ha)</t>
        </is>
      </c>
      <c r="I4" s="1130" t="inlineStr">
        <is>
          <t>Medición  
Satelital (ha)</t>
        </is>
      </c>
      <c r="J4" s="1130" t="inlineStr">
        <is>
          <t>Hipoteca 
Rabofinance</t>
        </is>
      </c>
      <c r="K4" s="1130" t="inlineStr">
        <is>
          <t>Tasación anterior</t>
        </is>
      </c>
      <c r="L4" s="1132" t="inlineStr">
        <is>
          <t>Deuda de 
Contribuciones</t>
        </is>
      </c>
    </row>
    <row r="5" ht="25.95" customHeight="1">
      <c r="A5" s="1154" t="n"/>
      <c r="B5" s="1131" t="n"/>
      <c r="C5" s="139" t="inlineStr">
        <is>
          <t>fs</t>
        </is>
      </c>
      <c r="D5" s="139" t="inlineStr">
        <is>
          <t xml:space="preserve">nº </t>
        </is>
      </c>
      <c r="E5" s="139" t="inlineStr">
        <is>
          <t>año</t>
        </is>
      </c>
      <c r="F5" s="1131" t="n"/>
      <c r="G5" s="1131" t="n"/>
      <c r="H5" s="1131" t="n"/>
      <c r="I5" s="1131" t="n"/>
      <c r="J5" s="1131" t="n"/>
      <c r="K5" s="1131" t="n"/>
      <c r="L5" s="1133" t="n"/>
    </row>
    <row r="6" ht="40.2" customFormat="1" customHeight="1" s="149" thickBot="1">
      <c r="A6" s="151" t="n">
        <v>1</v>
      </c>
      <c r="B6" s="152" t="n"/>
      <c r="C6" s="153" t="n"/>
      <c r="D6" s="153" t="n"/>
      <c r="E6" s="153" t="n"/>
      <c r="F6" s="154" t="n"/>
      <c r="G6" s="546" t="n"/>
      <c r="H6" s="547" t="n"/>
      <c r="I6" s="156">
        <f>H6</f>
        <v/>
      </c>
      <c r="J6" s="157" t="n"/>
      <c r="K6" s="158" t="n"/>
      <c r="L6" s="1231" t="n"/>
      <c r="N6" s="150" t="n"/>
    </row>
    <row r="7" hidden="1" ht="40.2" customFormat="1" customHeight="1" s="149" thickBot="1">
      <c r="A7" s="537">
        <f>+A6+1</f>
        <v/>
      </c>
      <c r="B7" s="538" t="n"/>
      <c r="C7" s="539" t="n"/>
      <c r="D7" s="539" t="n"/>
      <c r="E7" s="539" t="n"/>
      <c r="F7" s="540" t="n"/>
      <c r="G7" s="540" t="n"/>
      <c r="H7" s="541" t="n"/>
      <c r="I7" s="542" t="n"/>
      <c r="J7" s="543" t="n"/>
      <c r="K7" s="544" t="n"/>
      <c r="L7" s="1232" t="n"/>
      <c r="N7" s="150" t="n"/>
    </row>
    <row r="8" hidden="1" ht="40.2" customFormat="1" customHeight="1" s="149">
      <c r="A8" s="507" t="n">
        <v>3</v>
      </c>
      <c r="B8" s="508" t="n"/>
      <c r="C8" s="509" t="n"/>
      <c r="D8" s="509" t="n"/>
      <c r="E8" s="509" t="n"/>
      <c r="F8" s="510" t="n"/>
      <c r="G8" s="510" t="n"/>
      <c r="H8" s="511" t="n"/>
      <c r="I8" s="512" t="n"/>
      <c r="J8" s="513" t="n"/>
      <c r="K8" s="514" t="n"/>
      <c r="L8" s="1233" t="n"/>
      <c r="N8" s="150" t="n"/>
    </row>
    <row r="9" hidden="1" ht="40.2" customFormat="1" customHeight="1" s="149">
      <c r="A9" s="140" t="n">
        <v>4</v>
      </c>
      <c r="B9" s="141" t="n"/>
      <c r="C9" s="142" t="n"/>
      <c r="D9" s="142" t="n"/>
      <c r="E9" s="142" t="n"/>
      <c r="F9" s="143" t="n"/>
      <c r="G9" s="143" t="n"/>
      <c r="H9" s="144" t="n"/>
      <c r="I9" s="145" t="n"/>
      <c r="J9" s="146" t="n"/>
      <c r="K9" s="147" t="n"/>
      <c r="L9" s="1234" t="n"/>
      <c r="N9" s="150" t="n"/>
    </row>
    <row r="10" hidden="1" ht="40.2" customFormat="1" customHeight="1" s="149">
      <c r="A10" s="140" t="n">
        <v>5</v>
      </c>
      <c r="B10" s="141" t="n"/>
      <c r="C10" s="142" t="n"/>
      <c r="D10" s="142" t="n"/>
      <c r="E10" s="142" t="n"/>
      <c r="F10" s="143" t="n"/>
      <c r="G10" s="143" t="n"/>
      <c r="H10" s="144" t="n"/>
      <c r="I10" s="145" t="n"/>
      <c r="J10" s="146" t="n"/>
      <c r="K10" s="147" t="n"/>
      <c r="L10" s="1234" t="n"/>
      <c r="N10" s="150" t="n"/>
    </row>
    <row r="11" hidden="1" ht="40.2" customFormat="1" customHeight="1" s="149" thickBot="1">
      <c r="A11" s="151" t="n">
        <v>6</v>
      </c>
      <c r="B11" s="152" t="n"/>
      <c r="C11" s="153" t="n"/>
      <c r="D11" s="153" t="n"/>
      <c r="E11" s="153" t="n"/>
      <c r="F11" s="154" t="n"/>
      <c r="G11" s="154" t="n"/>
      <c r="H11" s="155" t="n"/>
      <c r="I11" s="156" t="n"/>
      <c r="J11" s="157" t="n"/>
      <c r="K11" s="158" t="n"/>
      <c r="L11" s="1231" t="n"/>
      <c r="N11" s="150" t="n"/>
    </row>
    <row r="12" ht="19.95" customHeight="1" thickBot="1">
      <c r="B12" s="160" t="n"/>
      <c r="C12" s="161" t="n"/>
      <c r="D12" s="161" t="n"/>
      <c r="E12" s="161" t="n"/>
      <c r="F12" s="162" t="n"/>
      <c r="G12" s="163" t="inlineStr">
        <is>
          <t>TOTAL</t>
        </is>
      </c>
      <c r="H12" s="164">
        <f>SUM(H6:H11)</f>
        <v/>
      </c>
      <c r="I12" s="165">
        <f>SUM(I6:I11)</f>
        <v/>
      </c>
      <c r="J12" s="162" t="n"/>
      <c r="K12" s="166" t="n"/>
      <c r="L12" s="1235">
        <f>SUM(L6:L11)</f>
        <v/>
      </c>
    </row>
    <row r="13" ht="6.75" customHeight="1">
      <c r="B13" s="160" t="n"/>
      <c r="C13" s="161" t="n"/>
      <c r="D13" s="161" t="n"/>
      <c r="E13" s="161" t="n"/>
      <c r="F13" s="162" t="n"/>
      <c r="G13" s="168" t="n"/>
      <c r="H13" s="169" t="n"/>
      <c r="I13" s="169" t="n"/>
      <c r="J13" s="162" t="n"/>
      <c r="K13" s="166" t="n"/>
    </row>
    <row r="14" thickBot="1">
      <c r="A14" s="1134" t="inlineStr">
        <is>
          <t>OBSERVACIONES</t>
        </is>
      </c>
      <c r="B14" s="1135" t="n"/>
      <c r="C14" s="1135" t="n"/>
      <c r="D14" s="1135" t="n"/>
      <c r="E14" s="1135" t="n"/>
      <c r="F14" s="1135" t="n"/>
      <c r="G14" s="1135" t="n"/>
      <c r="H14" s="1135" t="n"/>
      <c r="I14" s="1135" t="n"/>
      <c r="J14" s="1135" t="n"/>
      <c r="K14" s="1135" t="n"/>
      <c r="L14" s="1136" t="n"/>
    </row>
    <row r="15" ht="14.4" customHeight="1">
      <c r="A15" s="170" t="n"/>
      <c r="B15" s="171" t="n"/>
      <c r="C15" s="172" t="n"/>
      <c r="D15" s="172" t="n"/>
      <c r="E15" s="172" t="n"/>
      <c r="F15" s="173" t="n"/>
      <c r="G15" s="173" t="n"/>
      <c r="H15" s="173" t="n"/>
      <c r="I15" s="173" t="n"/>
      <c r="J15" s="173" t="n"/>
      <c r="K15" s="174" t="n"/>
      <c r="L15" s="175" t="n"/>
    </row>
    <row r="16" ht="15.9" customHeight="1">
      <c r="A16" s="176" t="n"/>
      <c r="B16" s="160" t="n"/>
      <c r="C16" s="161" t="n"/>
      <c r="D16" s="161" t="n"/>
      <c r="E16" s="161" t="n"/>
      <c r="F16" s="162" t="n"/>
      <c r="G16" s="162" t="n"/>
      <c r="H16" s="162" t="n"/>
      <c r="I16" s="162" t="n"/>
      <c r="J16" s="162" t="n"/>
      <c r="K16" s="166" t="n"/>
      <c r="L16" s="177" t="n"/>
    </row>
    <row r="17" ht="35.25" customHeight="1">
      <c r="A17" s="176" t="n"/>
      <c r="B17" s="160" t="n"/>
      <c r="C17" s="161" t="n"/>
      <c r="D17" s="161" t="n"/>
      <c r="E17" s="161" t="n"/>
      <c r="F17" s="162" t="n"/>
      <c r="G17" s="162" t="n"/>
      <c r="H17" s="162" t="n"/>
      <c r="I17" s="162" t="n"/>
      <c r="J17" s="162" t="n"/>
      <c r="K17" s="166" t="n"/>
      <c r="L17" s="177" t="n"/>
    </row>
    <row r="18" ht="15.9" customHeight="1">
      <c r="A18" s="176" t="n"/>
      <c r="B18" s="160" t="n"/>
      <c r="C18" s="161" t="n"/>
      <c r="D18" s="161" t="n"/>
      <c r="E18" s="161" t="n"/>
      <c r="F18" s="162" t="n"/>
      <c r="G18" s="162" t="n"/>
      <c r="H18" s="162" t="n"/>
      <c r="I18" s="162" t="n"/>
      <c r="J18" s="162" t="n"/>
      <c r="K18" s="166" t="n"/>
      <c r="L18" s="177" t="n"/>
    </row>
    <row r="19" ht="7.5" customHeight="1">
      <c r="A19" s="178" t="n"/>
      <c r="B19" s="179" t="n"/>
      <c r="C19" s="180" t="n"/>
      <c r="D19" s="180" t="n"/>
      <c r="E19" s="180" t="n"/>
      <c r="F19" s="181" t="n"/>
      <c r="G19" s="181" t="n"/>
      <c r="H19" s="181" t="n"/>
      <c r="I19" s="181" t="n"/>
      <c r="J19" s="181" t="n"/>
      <c r="K19" s="182" t="n"/>
      <c r="L19" s="183" t="n"/>
    </row>
    <row r="20" hidden="1" ht="100.2" customHeight="1">
      <c r="A20" s="184" t="n"/>
      <c r="B20" s="179" t="n"/>
      <c r="C20" s="180" t="n"/>
      <c r="D20" s="180" t="n"/>
      <c r="E20" s="180" t="n"/>
      <c r="F20" s="181" t="n"/>
      <c r="G20" s="181" t="n"/>
      <c r="H20" s="181" t="n"/>
      <c r="I20" s="181" t="n"/>
      <c r="J20" s="181" t="n"/>
      <c r="K20" s="182" t="n"/>
      <c r="L20" s="183" t="n"/>
    </row>
    <row r="21" ht="15.75" customHeight="1">
      <c r="A21" s="1141" t="inlineStr">
        <is>
          <t xml:space="preserve">2.2. ANTECEDENTES EXPROPIATORIOS:  </t>
        </is>
      </c>
      <c r="B21" s="1060" t="n"/>
      <c r="C21" s="1060" t="n"/>
      <c r="D21" s="1060" t="n"/>
      <c r="E21" s="1060" t="n"/>
      <c r="F21" s="1060" t="n"/>
      <c r="G21" s="1060" t="n"/>
      <c r="H21" s="1060" t="n"/>
      <c r="I21" s="1060" t="n"/>
      <c r="J21" s="1060" t="n"/>
      <c r="K21" s="1060" t="n"/>
      <c r="L21" s="1061" t="n"/>
      <c r="M21" s="138" t="n"/>
      <c r="N21" s="138" t="n"/>
      <c r="O21" s="138" t="n"/>
      <c r="P21" s="138" t="n"/>
      <c r="Q21" s="138" t="n"/>
      <c r="R21" s="138" t="n"/>
      <c r="S21" s="138" t="n"/>
      <c r="T21" s="138" t="n"/>
      <c r="U21" s="138" t="n"/>
      <c r="V21" s="138" t="n"/>
      <c r="W21" s="138" t="n"/>
      <c r="X21" s="138" t="n"/>
      <c r="Y21" s="138" t="n"/>
      <c r="Z21" s="138" t="n"/>
    </row>
    <row r="22" ht="15.75" customHeight="1">
      <c r="A22" s="1151" t="inlineStr">
        <is>
          <t>nº</t>
        </is>
      </c>
      <c r="B22" s="1123" t="inlineStr">
        <is>
          <t>PROPIEDADES</t>
        </is>
      </c>
      <c r="C22" s="1123" t="inlineStr">
        <is>
          <t>Afecto a Expropiación</t>
        </is>
      </c>
      <c r="D22" s="1125" t="n"/>
      <c r="E22" s="1152" t="inlineStr">
        <is>
          <t>Superficie expropiada</t>
        </is>
      </c>
      <c r="F22" s="1125" t="n"/>
      <c r="G22" s="1123" t="inlineStr">
        <is>
          <t>Franja y vía afecta a expropiación</t>
        </is>
      </c>
      <c r="H22" s="1124" t="n"/>
      <c r="I22" s="1124" t="n"/>
      <c r="J22" s="1124" t="n"/>
      <c r="K22" s="1124" t="n"/>
      <c r="L22" s="1125" t="n"/>
    </row>
    <row r="23" ht="15" customHeight="1">
      <c r="A23" s="1131" t="n"/>
      <c r="B23" s="1131" t="n"/>
      <c r="C23" s="1126" t="n"/>
      <c r="D23" s="1128" t="n"/>
      <c r="E23" s="1126" t="n"/>
      <c r="F23" s="1128" t="n"/>
      <c r="G23" s="1126" t="n"/>
      <c r="H23" s="1127" t="n"/>
      <c r="I23" s="1127" t="n"/>
      <c r="J23" s="1127" t="n"/>
      <c r="K23" s="1127" t="n"/>
      <c r="L23" s="1128" t="n"/>
    </row>
    <row r="24" ht="60.75" customHeight="1">
      <c r="A24" s="185" t="n">
        <v>1</v>
      </c>
      <c r="B24" s="186" t="n"/>
      <c r="C24" s="1121" t="n"/>
      <c r="D24" s="1061" t="n"/>
      <c r="E24" s="1121" t="n"/>
      <c r="F24" s="1061" t="n"/>
      <c r="G24" s="1122" t="n"/>
      <c r="H24" s="1060" t="n"/>
      <c r="I24" s="1060" t="n"/>
      <c r="J24" s="1060" t="n"/>
      <c r="K24" s="1060" t="n"/>
      <c r="L24" s="1061" t="n"/>
    </row>
    <row r="25" hidden="1" ht="34.95" customHeight="1">
      <c r="A25" s="185">
        <f>+A24+1</f>
        <v/>
      </c>
      <c r="B25" s="186" t="n"/>
      <c r="C25" s="1121" t="n"/>
      <c r="D25" s="1061" t="n"/>
      <c r="E25" s="1121" t="n"/>
      <c r="F25" s="1061" t="n"/>
      <c r="G25" s="1122" t="n"/>
      <c r="H25" s="1060" t="n"/>
      <c r="I25" s="1060" t="n"/>
      <c r="J25" s="1060" t="n"/>
      <c r="K25" s="1060" t="n"/>
      <c r="L25" s="1061" t="n"/>
    </row>
    <row r="26" hidden="1" ht="34.95" customHeight="1">
      <c r="A26" s="185">
        <f>+A25+1</f>
        <v/>
      </c>
      <c r="B26" s="186" t="n"/>
      <c r="C26" s="1121" t="n"/>
      <c r="D26" s="1061" t="n"/>
      <c r="E26" s="1121" t="n"/>
      <c r="F26" s="1061" t="n"/>
      <c r="G26" s="1122" t="n"/>
      <c r="H26" s="1060" t="n"/>
      <c r="I26" s="1060" t="n"/>
      <c r="J26" s="1060" t="n"/>
      <c r="K26" s="1060" t="n"/>
      <c r="L26" s="1061" t="n"/>
    </row>
    <row r="27" hidden="1" ht="34.95" customHeight="1">
      <c r="A27" s="185">
        <f>+A26+1</f>
        <v/>
      </c>
      <c r="B27" s="186" t="n"/>
      <c r="C27" s="1121" t="n"/>
      <c r="D27" s="1061" t="n"/>
      <c r="E27" s="1121" t="n"/>
      <c r="F27" s="1061" t="n"/>
      <c r="G27" s="1122" t="n"/>
      <c r="H27" s="1060" t="n"/>
      <c r="I27" s="1060" t="n"/>
      <c r="J27" s="1060" t="n"/>
      <c r="K27" s="1060" t="n"/>
      <c r="L27" s="1061" t="n"/>
    </row>
    <row r="28" hidden="1" ht="34.95" customHeight="1">
      <c r="A28" s="185">
        <f>+A27+1</f>
        <v/>
      </c>
      <c r="B28" s="186" t="n"/>
      <c r="C28" s="1121" t="n"/>
      <c r="D28" s="1061" t="n"/>
      <c r="E28" s="1121" t="n"/>
      <c r="F28" s="1061" t="n"/>
      <c r="G28" s="1122" t="n"/>
      <c r="H28" s="1060" t="n"/>
      <c r="I28" s="1060" t="n"/>
      <c r="J28" s="1060" t="n"/>
      <c r="K28" s="1060" t="n"/>
      <c r="L28" s="1061" t="n"/>
    </row>
    <row r="29" hidden="1" ht="34.95" customHeight="1">
      <c r="A29" s="187" t="n"/>
      <c r="B29" s="188" t="n"/>
      <c r="C29" s="188" t="n"/>
      <c r="D29" s="188" t="n"/>
      <c r="E29" s="188" t="n"/>
      <c r="F29" s="188" t="n"/>
      <c r="G29" s="188" t="n"/>
      <c r="H29" s="188" t="n"/>
      <c r="I29" s="188" t="n"/>
      <c r="J29" s="189" t="n"/>
      <c r="K29" s="189" t="n"/>
      <c r="L29" s="189" t="n"/>
    </row>
    <row r="30" ht="15.75" customHeight="1">
      <c r="B30" s="160" t="n"/>
      <c r="C30" s="161" t="n"/>
      <c r="D30" s="161" t="n"/>
      <c r="E30" s="161" t="n"/>
      <c r="F30" s="162" t="n"/>
      <c r="G30" s="162" t="n"/>
      <c r="H30" s="162" t="n"/>
      <c r="I30" s="162" t="n"/>
      <c r="J30" s="162" t="n"/>
      <c r="K30" s="166" t="n"/>
    </row>
    <row r="31" ht="39" customHeight="1">
      <c r="B31" s="160" t="n"/>
      <c r="C31" s="161" t="n"/>
      <c r="D31" s="161" t="n"/>
      <c r="E31" s="161" t="n"/>
      <c r="F31" s="162" t="n"/>
      <c r="G31" s="162" t="n"/>
      <c r="H31" s="162" t="n"/>
      <c r="I31" s="162" t="n"/>
      <c r="J31" s="162" t="n"/>
      <c r="K31" s="166" t="n"/>
    </row>
    <row r="32" ht="50.25" customHeight="1" thickBot="1">
      <c r="B32" s="160" t="n"/>
      <c r="C32" s="161" t="n"/>
      <c r="D32" s="161" t="n"/>
      <c r="E32" s="161" t="n"/>
      <c r="F32" s="162" t="n"/>
      <c r="G32" s="162" t="n"/>
      <c r="H32" s="162" t="n"/>
      <c r="I32" s="162" t="n"/>
      <c r="J32" s="162" t="n"/>
      <c r="K32" s="166" t="n"/>
    </row>
    <row r="33" ht="15.75" customHeight="1" thickBot="1">
      <c r="A33" s="1142" t="inlineStr">
        <is>
          <t>2.3. DESLINDES LEGALES</t>
        </is>
      </c>
      <c r="B33" s="1080" t="n"/>
      <c r="C33" s="1080" t="n"/>
      <c r="D33" s="1080" t="n"/>
      <c r="E33" s="1080" t="n"/>
      <c r="F33" s="1080" t="n"/>
      <c r="G33" s="1080" t="n"/>
      <c r="H33" s="1080" t="n"/>
      <c r="I33" s="1080" t="n"/>
      <c r="J33" s="1080" t="n"/>
      <c r="K33" s="1080" t="n"/>
      <c r="L33" s="1083" t="n"/>
      <c r="M33" s="138" t="n"/>
      <c r="N33" s="138" t="n"/>
      <c r="O33" s="138" t="n"/>
      <c r="P33" s="138" t="n"/>
      <c r="Q33" s="138" t="n"/>
      <c r="R33" s="138" t="n"/>
      <c r="S33" s="138" t="n"/>
      <c r="T33" s="138" t="n"/>
      <c r="U33" s="138" t="n"/>
      <c r="V33" s="138" t="n"/>
      <c r="W33" s="138" t="n"/>
      <c r="X33" s="138" t="n"/>
      <c r="Y33" s="138" t="n"/>
      <c r="Z33" s="138" t="n"/>
    </row>
    <row r="34" ht="19.5" customHeight="1" thickBot="1">
      <c r="A34" s="190" t="inlineStr">
        <is>
          <t>nº</t>
        </is>
      </c>
      <c r="B34" s="191" t="inlineStr">
        <is>
          <t>PROPIEDADES</t>
        </is>
      </c>
      <c r="C34" s="1143" t="inlineStr">
        <is>
          <t>DESLINDES LEGALES</t>
        </is>
      </c>
      <c r="D34" s="1144" t="n"/>
      <c r="E34" s="1144" t="n"/>
      <c r="F34" s="1144" t="n"/>
      <c r="G34" s="1144" t="n"/>
      <c r="H34" s="1144" t="n"/>
      <c r="I34" s="1144" t="n"/>
      <c r="J34" s="1144" t="n"/>
      <c r="K34" s="1144" t="n"/>
      <c r="L34" s="1145" t="n"/>
    </row>
    <row r="35" ht="70.95" customHeight="1" thickBot="1">
      <c r="A35" s="548">
        <f>A6</f>
        <v/>
      </c>
      <c r="B35" s="549">
        <f>+B6</f>
        <v/>
      </c>
      <c r="C35" s="1155" t="n"/>
      <c r="D35" s="1085" t="n"/>
      <c r="E35" s="1085" t="n"/>
      <c r="F35" s="1085" t="n"/>
      <c r="G35" s="1085" t="n"/>
      <c r="H35" s="1085" t="n"/>
      <c r="I35" s="1085" t="n"/>
      <c r="J35" s="1085" t="n"/>
      <c r="K35" s="1085" t="n"/>
      <c r="L35" s="1115" t="n"/>
    </row>
    <row r="36" hidden="1" ht="63" customHeight="1" thickBot="1">
      <c r="A36" s="548">
        <f>A7</f>
        <v/>
      </c>
      <c r="B36" s="549" t="n"/>
      <c r="C36" s="1139" t="n"/>
      <c r="D36" s="1085" t="n"/>
      <c r="E36" s="1085" t="n"/>
      <c r="F36" s="1085" t="n"/>
      <c r="G36" s="1085" t="n"/>
      <c r="H36" s="1085" t="n"/>
      <c r="I36" s="1085" t="n"/>
      <c r="J36" s="1085" t="n"/>
      <c r="K36" s="1085" t="n"/>
      <c r="L36" s="1115" t="n"/>
    </row>
    <row r="37" ht="15.75" customHeight="1">
      <c r="B37" s="160" t="n"/>
      <c r="C37" s="161" t="n"/>
      <c r="D37" s="161" t="n"/>
      <c r="E37" s="161" t="n"/>
      <c r="F37" s="162" t="n"/>
      <c r="G37" s="162" t="n"/>
      <c r="H37" s="162" t="n"/>
      <c r="I37" s="162" t="n"/>
      <c r="J37" s="162" t="n"/>
      <c r="K37" s="166" t="n"/>
    </row>
    <row r="38" ht="27" customHeight="1">
      <c r="A38" s="1137" t="inlineStr">
        <is>
          <t>CERTIFICADO DE AVALÚO   DEL SII Y CERTIFICADO DE DEUDA TGR</t>
        </is>
      </c>
      <c r="B38" s="1060" t="n"/>
      <c r="C38" s="1060" t="n"/>
      <c r="D38" s="1060" t="n"/>
      <c r="E38" s="1060" t="n"/>
      <c r="F38" s="1060" t="n"/>
      <c r="G38" s="1060" t="n"/>
      <c r="H38" s="1060" t="n"/>
      <c r="I38" s="1060" t="n"/>
      <c r="J38" s="1060" t="n"/>
      <c r="K38" s="1060" t="n"/>
      <c r="L38" s="1061" t="n"/>
    </row>
    <row r="39" ht="15.75" customHeight="1">
      <c r="A39" s="176" t="n"/>
      <c r="B39" s="112" t="n"/>
      <c r="C39" s="106" t="n"/>
      <c r="D39" s="106" t="n"/>
      <c r="E39" s="106" t="n"/>
      <c r="F39" s="106" t="n"/>
      <c r="G39" s="106" t="n"/>
      <c r="H39" s="106" t="n"/>
      <c r="I39" s="106" t="n"/>
      <c r="J39" s="106" t="n"/>
      <c r="K39" s="106" t="n"/>
      <c r="L39" s="177" t="n"/>
    </row>
    <row r="40" ht="15.75" customHeight="1">
      <c r="A40" s="176" t="n"/>
      <c r="L40" s="177" t="n"/>
    </row>
    <row r="41" ht="15.75" customHeight="1">
      <c r="A41" s="176" t="n"/>
      <c r="L41" s="177" t="n"/>
    </row>
    <row r="42" ht="15.75" customHeight="1">
      <c r="A42" s="176" t="n"/>
      <c r="L42" s="177" t="n"/>
    </row>
    <row r="43" ht="15.75" customHeight="1">
      <c r="A43" s="176" t="n"/>
      <c r="L43" s="177" t="n"/>
    </row>
    <row r="44" ht="15.75" customHeight="1">
      <c r="A44" s="176" t="n"/>
      <c r="L44" s="177" t="n"/>
    </row>
    <row r="45" ht="15.75" customHeight="1">
      <c r="A45" s="176" t="n"/>
      <c r="L45" s="177" t="n"/>
    </row>
    <row r="46" ht="15.75" customHeight="1">
      <c r="A46" s="176" t="n"/>
      <c r="L46" s="177" t="n"/>
    </row>
    <row r="47" ht="15.75" customHeight="1">
      <c r="A47" s="176" t="n"/>
      <c r="L47" s="177" t="n"/>
    </row>
    <row r="48" ht="15.75" customHeight="1">
      <c r="A48" s="176" t="n"/>
      <c r="L48" s="177" t="n"/>
    </row>
    <row r="49" ht="57" customHeight="1">
      <c r="A49" s="176" t="n"/>
      <c r="L49" s="177" t="n"/>
    </row>
    <row r="50" ht="82.2" customHeight="1">
      <c r="A50" s="176" t="n"/>
      <c r="C50" s="1140" t="n"/>
      <c r="D50" s="1138" t="n"/>
      <c r="E50" s="1138" t="n"/>
      <c r="F50" s="1138" t="n"/>
      <c r="G50" s="1138" t="n"/>
      <c r="H50" s="1138" t="n"/>
      <c r="I50" s="1138" t="n"/>
      <c r="J50" s="1138" t="n"/>
      <c r="K50" s="1138" t="n"/>
      <c r="L50" s="525" t="n"/>
    </row>
    <row r="51" ht="15.75" customHeight="1">
      <c r="A51" s="176" t="n"/>
      <c r="B51" s="112" t="n"/>
      <c r="H51" s="1138" t="n"/>
      <c r="I51" s="1138" t="n"/>
      <c r="J51" s="1138" t="n"/>
      <c r="L51" s="525" t="n"/>
    </row>
    <row r="52" ht="15.75" customHeight="1">
      <c r="A52" s="176" t="n"/>
      <c r="B52" s="112" t="n"/>
      <c r="C52" s="526" t="n"/>
      <c r="D52" s="526" t="n"/>
      <c r="E52" s="1138" t="n"/>
      <c r="F52" s="1138" t="n"/>
      <c r="G52" s="1138" t="n"/>
      <c r="H52" s="526" t="n"/>
      <c r="I52" s="526" t="n"/>
      <c r="J52" s="526" t="n"/>
      <c r="K52" s="526" t="n"/>
      <c r="L52" s="527" t="n"/>
      <c r="M52" s="521" t="n"/>
      <c r="N52" s="521" t="n"/>
    </row>
    <row r="53" ht="15.75" customHeight="1">
      <c r="A53" s="176" t="n"/>
      <c r="B53" s="112" t="n"/>
      <c r="L53" s="177" t="n"/>
    </row>
    <row r="54" ht="15.75" customHeight="1">
      <c r="A54" s="176" t="n"/>
      <c r="B54" s="112" t="n"/>
      <c r="L54" s="177" t="n"/>
    </row>
    <row r="55" ht="15.75" customHeight="1">
      <c r="A55" s="176" t="n"/>
      <c r="B55" s="112" t="n"/>
      <c r="L55" s="177" t="n"/>
    </row>
    <row r="56" ht="15.75" customHeight="1">
      <c r="A56" s="176" t="n"/>
      <c r="B56" s="112" t="n"/>
      <c r="L56" s="177" t="n"/>
    </row>
    <row r="57" ht="15.75" customHeight="1">
      <c r="A57" s="176" t="n"/>
      <c r="B57" s="112" t="n"/>
      <c r="L57" s="177" t="n"/>
    </row>
    <row r="58" ht="15.75" customHeight="1">
      <c r="A58" s="176" t="n"/>
      <c r="B58" s="112" t="n"/>
      <c r="L58" s="177" t="n"/>
    </row>
    <row r="59" ht="15.75" customHeight="1">
      <c r="A59" s="176" t="n"/>
      <c r="B59" s="112" t="n"/>
      <c r="L59" s="177" t="n"/>
    </row>
    <row r="60" ht="15.75" customHeight="1">
      <c r="A60" s="176" t="n"/>
      <c r="B60" s="112" t="n"/>
      <c r="L60" s="177" t="n"/>
    </row>
    <row r="61" ht="15.75" customHeight="1">
      <c r="A61" s="176" t="n"/>
      <c r="B61" s="112" t="n"/>
      <c r="L61" s="177" t="n"/>
    </row>
    <row r="62" ht="15.75" customHeight="1">
      <c r="A62" s="176" t="n"/>
      <c r="B62" s="112" t="n"/>
      <c r="L62" s="177" t="n"/>
    </row>
    <row r="63" ht="15.75" customHeight="1">
      <c r="A63" s="176" t="n"/>
      <c r="B63" s="112" t="n"/>
      <c r="L63" s="177" t="n"/>
    </row>
    <row r="64" ht="15.75" customHeight="1">
      <c r="A64" s="176" t="n"/>
      <c r="B64" s="112" t="n"/>
      <c r="L64" s="177" t="n"/>
    </row>
    <row r="65" ht="15.75" customHeight="1">
      <c r="A65" s="176" t="n"/>
      <c r="B65" s="112" t="n"/>
      <c r="L65" s="177" t="n"/>
    </row>
    <row r="66" ht="15.75" customHeight="1">
      <c r="A66" s="176" t="n"/>
      <c r="B66" s="112" t="n"/>
      <c r="L66" s="177" t="n"/>
    </row>
    <row r="67" ht="15.75" customHeight="1">
      <c r="A67" s="176" t="n"/>
      <c r="B67" s="112" t="n"/>
      <c r="L67" s="177" t="n"/>
    </row>
    <row r="68" ht="15.75" customHeight="1">
      <c r="A68" s="176" t="n"/>
      <c r="B68" s="112" t="n"/>
      <c r="L68" s="177" t="n"/>
    </row>
    <row r="69" ht="15.75" customHeight="1">
      <c r="A69" s="176" t="n"/>
      <c r="B69" s="112" t="n"/>
      <c r="L69" s="177" t="n"/>
    </row>
    <row r="70" ht="15.75" customHeight="1">
      <c r="A70" s="176" t="n"/>
      <c r="B70" s="112" t="n"/>
      <c r="L70" s="177" t="n"/>
    </row>
    <row r="71" ht="15.75" customHeight="1">
      <c r="A71" s="176" t="n"/>
      <c r="B71" s="112" t="n"/>
      <c r="L71" s="177" t="n"/>
    </row>
    <row r="72" ht="15.75" customHeight="1">
      <c r="A72" s="176" t="n"/>
      <c r="B72" s="112" t="n"/>
      <c r="L72" s="177" t="n"/>
    </row>
    <row r="73" ht="15.75" customHeight="1">
      <c r="A73" s="176" t="n"/>
      <c r="L73" s="177" t="n"/>
    </row>
    <row r="74" ht="15.75" customHeight="1">
      <c r="A74" s="176" t="n"/>
      <c r="L74" s="177" t="n"/>
    </row>
    <row r="75" ht="15.75" customHeight="1">
      <c r="A75" s="176" t="n"/>
      <c r="L75" s="177" t="n"/>
    </row>
    <row r="76" ht="15.75" customHeight="1">
      <c r="A76" s="176" t="n"/>
      <c r="B76" s="522" t="n"/>
      <c r="L76" s="177" t="n"/>
    </row>
    <row r="77" ht="15.75" customHeight="1">
      <c r="A77" s="176" t="n"/>
      <c r="L77" s="177" t="n"/>
    </row>
    <row r="78" ht="15.75" customHeight="1">
      <c r="A78" s="176" t="n"/>
      <c r="L78" s="177" t="n"/>
    </row>
    <row r="79" ht="15.75" customHeight="1">
      <c r="A79" s="176" t="n"/>
      <c r="L79" s="177" t="n"/>
    </row>
    <row r="80" ht="15.75" customHeight="1">
      <c r="A80" s="176" t="n"/>
      <c r="L80" s="177" t="n"/>
    </row>
    <row r="81" ht="15.75" customHeight="1">
      <c r="A81" s="176" t="n"/>
      <c r="L81" s="177" t="n"/>
    </row>
    <row r="82" ht="15.75" customHeight="1">
      <c r="A82" s="176" t="n"/>
      <c r="L82" s="177" t="n"/>
    </row>
    <row r="83" ht="15.75" customHeight="1">
      <c r="A83" s="176" t="n"/>
      <c r="B83" s="112" t="n"/>
      <c r="L83" s="177" t="n"/>
    </row>
    <row r="84" ht="15.75" customHeight="1">
      <c r="A84" s="176" t="n"/>
      <c r="L84" s="177" t="n"/>
    </row>
    <row r="85" ht="15.75" customHeight="1">
      <c r="A85" s="178" t="n"/>
      <c r="B85" s="192" t="n"/>
      <c r="C85" s="192" t="n"/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83" t="n"/>
    </row>
    <row r="86" ht="15.75" customHeight="1">
      <c r="A86" s="106" t="n"/>
      <c r="L86" s="106" t="n"/>
    </row>
    <row r="87" ht="15.75" customHeight="1">
      <c r="A87" s="106" t="n"/>
      <c r="L87" s="106" t="n"/>
    </row>
    <row r="88" ht="15.75" customHeight="1">
      <c r="A88" s="106" t="n"/>
      <c r="L88" s="106" t="n"/>
    </row>
    <row r="89" ht="15.75" customHeight="1">
      <c r="A89" s="106" t="n"/>
      <c r="L89" s="106" t="n"/>
    </row>
    <row r="90" ht="15.75" customHeight="1">
      <c r="A90" s="106" t="n"/>
      <c r="B90" s="112" t="n"/>
      <c r="L90" s="106" t="n"/>
    </row>
    <row r="91" ht="15.75" customHeight="1">
      <c r="A91" s="106" t="n"/>
      <c r="L91" s="106" t="n"/>
    </row>
    <row r="92" ht="15.75" customHeight="1">
      <c r="A92" s="106" t="n"/>
      <c r="B92" s="522" t="n"/>
      <c r="L92" s="106" t="n"/>
    </row>
    <row r="93" ht="15.75" customHeight="1">
      <c r="A93" s="106" t="n"/>
      <c r="L93" s="106" t="n"/>
    </row>
    <row r="94" ht="15.75" customHeight="1">
      <c r="A94" s="106" t="n"/>
      <c r="L94" s="106" t="n"/>
    </row>
    <row r="95" ht="15.75" customHeight="1">
      <c r="A95" s="106" t="n"/>
      <c r="L95" s="106" t="n"/>
    </row>
    <row r="96" ht="15.75" customHeight="1">
      <c r="A96" s="106" t="n"/>
      <c r="L96" s="106" t="n"/>
    </row>
    <row r="97" ht="15.75" customHeight="1">
      <c r="A97" s="106" t="n"/>
      <c r="L97" s="106" t="n"/>
    </row>
    <row r="98" ht="15.75" customHeight="1">
      <c r="A98" s="106" t="n"/>
      <c r="L98" s="106" t="n"/>
    </row>
    <row r="99" ht="15.75" customHeight="1">
      <c r="A99" s="106" t="n"/>
      <c r="L99" s="106" t="n"/>
    </row>
    <row r="100" ht="15.75" customHeight="1">
      <c r="A100" s="106" t="n"/>
      <c r="L100" s="106" t="n"/>
    </row>
    <row r="101" ht="15.75" customHeight="1">
      <c r="A101" s="106" t="n"/>
      <c r="L101" s="106" t="n"/>
    </row>
    <row r="102" ht="15.75" customHeight="1">
      <c r="A102" s="106" t="n"/>
      <c r="L102" s="106" t="n"/>
    </row>
    <row r="103" ht="15.75" customHeight="1">
      <c r="A103" s="106" t="n"/>
      <c r="L103" s="106" t="n"/>
    </row>
    <row r="104" ht="15.75" customHeight="1">
      <c r="A104" s="106" t="n"/>
      <c r="L104" s="106" t="n"/>
    </row>
    <row r="105" ht="15.75" customHeight="1">
      <c r="A105" s="106" t="n"/>
      <c r="L105" s="106" t="n"/>
    </row>
    <row r="106" ht="15.75" customHeight="1">
      <c r="A106" s="106" t="n"/>
      <c r="L106" s="106" t="n"/>
    </row>
    <row r="107" ht="15.75" customHeight="1">
      <c r="A107" s="106" t="n"/>
      <c r="L107" s="106" t="n"/>
    </row>
    <row r="108" ht="15.75" customHeight="1">
      <c r="A108" s="106" t="n"/>
      <c r="L108" s="106" t="n"/>
    </row>
    <row r="109" ht="15.75" customHeight="1">
      <c r="A109" s="106" t="n"/>
      <c r="L109" s="106" t="n"/>
    </row>
    <row r="110" ht="15.75" customHeight="1">
      <c r="A110" s="106" t="n"/>
      <c r="B110" s="112" t="n"/>
      <c r="L110" s="106" t="n"/>
    </row>
    <row r="111" ht="15.75" customHeight="1">
      <c r="A111" s="106" t="n"/>
      <c r="L111" s="106" t="n"/>
    </row>
    <row r="112" ht="15.75" customHeight="1">
      <c r="A112" s="106" t="n"/>
      <c r="L112" s="106" t="n"/>
    </row>
    <row r="113" ht="15.75" customHeight="1">
      <c r="A113" s="106" t="n"/>
      <c r="L113" s="106" t="n"/>
    </row>
    <row r="114" ht="15.75" customHeight="1">
      <c r="A114" s="106" t="n"/>
      <c r="L114" s="106" t="n"/>
    </row>
    <row r="115" ht="15.75" customHeight="1">
      <c r="A115" s="106" t="n"/>
      <c r="L115" s="106" t="n"/>
    </row>
    <row r="116" ht="15.75" customHeight="1">
      <c r="A116" s="106" t="n"/>
      <c r="L116" s="106" t="n"/>
    </row>
    <row r="117" ht="15.75" customHeight="1">
      <c r="A117" s="106" t="n"/>
      <c r="L117" s="106" t="n"/>
    </row>
    <row r="118" ht="15.75" customHeight="1">
      <c r="A118" s="106" t="n"/>
      <c r="L118" s="106" t="n"/>
    </row>
    <row r="119" ht="15.75" customHeight="1">
      <c r="A119" s="106" t="n"/>
      <c r="L119" s="106" t="n"/>
    </row>
    <row r="120" ht="15.75" customHeight="1">
      <c r="A120" s="106" t="n"/>
      <c r="L120" s="106" t="n"/>
    </row>
    <row r="121" ht="15.75" customHeight="1">
      <c r="A121" s="106" t="n"/>
      <c r="L121" s="106" t="n"/>
    </row>
    <row r="122" ht="15.75" customHeight="1">
      <c r="A122" s="106" t="n"/>
      <c r="L122" s="106" t="n"/>
    </row>
    <row r="123" ht="15.75" customHeight="1">
      <c r="A123" s="106" t="n"/>
      <c r="B123" s="112" t="n"/>
      <c r="L123" s="106" t="n"/>
    </row>
    <row r="124" ht="15.75" customHeight="1">
      <c r="A124" s="106" t="n"/>
      <c r="B124" s="522" t="n"/>
      <c r="L124" s="106" t="n"/>
    </row>
    <row r="125" ht="15.75" customHeight="1">
      <c r="A125" s="106" t="n"/>
      <c r="L125" s="106" t="n"/>
    </row>
    <row r="126" ht="15.75" customHeight="1">
      <c r="A126" s="106" t="n"/>
      <c r="L126" s="106" t="n"/>
    </row>
    <row r="127" ht="15.75" customHeight="1">
      <c r="A127" s="106" t="n"/>
      <c r="L127" s="106" t="n"/>
    </row>
    <row r="128" ht="15.75" customHeight="1">
      <c r="A128" s="106" t="n"/>
      <c r="L128" s="106" t="n"/>
    </row>
    <row r="129" ht="15.75" customHeight="1">
      <c r="A129" s="106" t="n"/>
      <c r="L129" s="106" t="n"/>
    </row>
    <row r="130" ht="15.75" customHeight="1">
      <c r="A130" s="106" t="n"/>
      <c r="L130" s="106" t="n"/>
    </row>
    <row r="131" ht="15.75" customHeight="1">
      <c r="A131" s="106" t="n"/>
      <c r="L131" s="106" t="n"/>
    </row>
    <row r="132" ht="15.75" customHeight="1">
      <c r="A132" s="106" t="n"/>
      <c r="L132" s="106" t="n"/>
    </row>
    <row r="133" ht="15.75" customHeight="1">
      <c r="A133" s="106" t="n"/>
      <c r="L133" s="106" t="n"/>
    </row>
    <row r="134" ht="15.75" customHeight="1">
      <c r="A134" s="106" t="n"/>
      <c r="B134" s="112" t="n"/>
      <c r="L134" s="106" t="n"/>
    </row>
    <row r="135" ht="15.75" customHeight="1">
      <c r="A135" s="106" t="n"/>
      <c r="L135" s="106" t="n"/>
    </row>
    <row r="136" ht="15.75" customHeight="1">
      <c r="A136" s="106" t="n"/>
      <c r="L136" s="106" t="n"/>
    </row>
    <row r="137" ht="15.75" customHeight="1">
      <c r="A137" s="106" t="n"/>
      <c r="L137" s="106" t="n"/>
    </row>
    <row r="138" ht="15.75" customHeight="1">
      <c r="A138" s="106" t="n"/>
      <c r="L138" s="106" t="n"/>
    </row>
    <row r="139" ht="15.75" customHeight="1">
      <c r="A139" s="106" t="n"/>
      <c r="L139" s="106" t="n"/>
    </row>
    <row r="140" ht="15.75" customHeight="1">
      <c r="A140" s="106" t="n"/>
      <c r="L140" s="106" t="n"/>
    </row>
    <row r="141" ht="15.75" customHeight="1">
      <c r="A141" s="106" t="n"/>
      <c r="B141" s="522" t="n"/>
      <c r="L141" s="106" t="n"/>
    </row>
    <row r="142" ht="15.75" customHeight="1">
      <c r="A142" s="106" t="n"/>
      <c r="L142" s="106" t="n"/>
    </row>
    <row r="143" ht="15.75" customHeight="1">
      <c r="A143" s="106" t="n"/>
      <c r="L143" s="106" t="n"/>
    </row>
    <row r="144" ht="15.75" customHeight="1">
      <c r="A144" s="106" t="n"/>
      <c r="L144" s="106" t="n"/>
    </row>
    <row r="145" ht="15.75" customHeight="1">
      <c r="A145" s="106" t="n"/>
      <c r="B145" s="112" t="n"/>
      <c r="L145" s="106" t="n"/>
    </row>
    <row r="146" ht="15.75" customHeight="1">
      <c r="A146" s="106" t="n"/>
      <c r="L146" s="106" t="n"/>
    </row>
    <row r="147" ht="15.75" customHeight="1">
      <c r="A147" s="106" t="n"/>
      <c r="L147" s="106" t="n"/>
    </row>
    <row r="148" ht="15.75" customHeight="1">
      <c r="A148" s="106" t="n"/>
      <c r="L148" s="106" t="n"/>
    </row>
    <row r="149" ht="15.75" customHeight="1">
      <c r="A149" s="106" t="n"/>
      <c r="L149" s="106" t="n"/>
    </row>
    <row r="150" ht="15.75" customHeight="1">
      <c r="A150" s="106" t="n"/>
      <c r="L150" s="106" t="n"/>
    </row>
    <row r="151" ht="15.75" customHeight="1">
      <c r="A151" s="106" t="n"/>
      <c r="L151" s="106" t="n"/>
    </row>
    <row r="152" ht="91.2" customHeight="1">
      <c r="A152" s="106" t="n"/>
      <c r="L152" s="106" t="n"/>
    </row>
    <row r="153" ht="27" customHeight="1">
      <c r="A153" s="1150" t="n"/>
    </row>
    <row r="154" ht="15.75" customHeight="1">
      <c r="A154" s="106" t="n"/>
      <c r="L154" s="106" t="n"/>
    </row>
    <row r="155" ht="15.75" customHeight="1">
      <c r="A155" s="106" t="n"/>
      <c r="L155" s="106" t="n"/>
    </row>
    <row r="156" ht="15.75" customHeight="1">
      <c r="A156" s="106" t="n"/>
      <c r="B156" s="112" t="n"/>
      <c r="L156" s="106" t="n"/>
    </row>
    <row r="157" ht="15.75" customHeight="1">
      <c r="A157" s="106" t="n"/>
      <c r="L157" s="106" t="n"/>
    </row>
    <row r="158" ht="15.75" customHeight="1">
      <c r="A158" s="106" t="n"/>
      <c r="B158" s="522" t="n"/>
      <c r="L158" s="106" t="n"/>
    </row>
    <row r="159" ht="15.75" customHeight="1">
      <c r="A159" s="106" t="n"/>
      <c r="L159" s="106" t="n"/>
    </row>
    <row r="160" ht="15.75" customHeight="1">
      <c r="A160" s="106" t="n"/>
      <c r="L160" s="106" t="n"/>
    </row>
    <row r="161" ht="15.75" customHeight="1">
      <c r="A161" s="106" t="n"/>
      <c r="L161" s="106" t="n"/>
    </row>
    <row r="162" ht="15.75" customHeight="1">
      <c r="A162" s="106" t="n"/>
      <c r="L162" s="106" t="n"/>
    </row>
    <row r="163" ht="15.75" customHeight="1">
      <c r="A163" s="106" t="n"/>
      <c r="L163" s="106" t="n"/>
    </row>
    <row r="164" ht="15.75" customHeight="1">
      <c r="A164" s="106" t="n"/>
      <c r="L164" s="106" t="n"/>
    </row>
    <row r="165" ht="15.75" customHeight="1">
      <c r="A165" s="106" t="n"/>
      <c r="L165" s="106" t="n"/>
    </row>
    <row r="166" ht="15.75" customHeight="1">
      <c r="A166" s="106" t="n"/>
      <c r="L166" s="106" t="n"/>
    </row>
    <row r="167" ht="15.75" customHeight="1">
      <c r="A167" s="106" t="n"/>
      <c r="B167" s="112" t="n"/>
      <c r="L167" s="106" t="n"/>
    </row>
    <row r="168" ht="15.75" customHeight="1">
      <c r="A168" s="106" t="n"/>
      <c r="L168" s="106" t="n"/>
    </row>
    <row r="169" ht="15.75" customHeight="1">
      <c r="A169" s="106" t="n"/>
      <c r="L169" s="106" t="n"/>
    </row>
    <row r="170" ht="15.75" customHeight="1">
      <c r="A170" s="106" t="n"/>
      <c r="L170" s="106" t="n"/>
    </row>
    <row r="171" ht="15.75" customHeight="1">
      <c r="A171" s="106" t="n"/>
      <c r="L171" s="106" t="n"/>
    </row>
    <row r="172" ht="15.75" customHeight="1">
      <c r="A172" s="106" t="n"/>
      <c r="L172" s="106" t="n"/>
    </row>
    <row r="173" ht="15.75" customHeight="1">
      <c r="A173" s="106" t="n"/>
      <c r="L173" s="106" t="n"/>
    </row>
    <row r="174" ht="15.75" customHeight="1">
      <c r="A174" s="106" t="n"/>
      <c r="B174" s="522" t="n"/>
      <c r="L174" s="106" t="n"/>
    </row>
    <row r="175" ht="15.75" customHeight="1">
      <c r="A175" s="106" t="n"/>
      <c r="L175" s="106" t="n"/>
    </row>
    <row r="176" ht="15.75" customHeight="1">
      <c r="A176" s="106" t="n"/>
      <c r="L176" s="106" t="n"/>
    </row>
    <row r="177" ht="15.75" customHeight="1">
      <c r="A177" s="106" t="n"/>
      <c r="L177" s="106" t="n"/>
    </row>
    <row r="178" ht="15.75" customHeight="1">
      <c r="A178" s="106" t="n"/>
      <c r="L178" s="106" t="n"/>
    </row>
    <row r="179" ht="15.75" customHeight="1">
      <c r="A179" s="106" t="n"/>
      <c r="B179" s="112" t="n"/>
      <c r="L179" s="106" t="n"/>
    </row>
    <row r="180" ht="15.75" customHeight="1">
      <c r="A180" s="106" t="n"/>
      <c r="L180" s="106" t="n"/>
    </row>
    <row r="181" ht="15.75" customHeight="1">
      <c r="A181" s="106" t="n"/>
      <c r="L181" s="106" t="n"/>
    </row>
    <row r="182" ht="15.75" customHeight="1">
      <c r="A182" s="106" t="n"/>
      <c r="L182" s="106" t="n"/>
    </row>
    <row r="183" ht="15.75" customHeight="1">
      <c r="A183" s="106" t="n"/>
      <c r="L183" s="106" t="n"/>
    </row>
    <row r="184" ht="15.75" customHeight="1">
      <c r="A184" s="106" t="n"/>
      <c r="L184" s="106" t="n"/>
    </row>
    <row r="185" ht="15.75" customHeight="1">
      <c r="A185" s="106" t="n"/>
      <c r="L185" s="106" t="n"/>
    </row>
    <row r="186" ht="15.75" customHeight="1">
      <c r="A186" s="106" t="n"/>
      <c r="L186" s="106" t="n"/>
    </row>
    <row r="187" ht="15.75" customHeight="1">
      <c r="A187" s="106" t="n"/>
      <c r="L187" s="106" t="n"/>
    </row>
    <row r="188" ht="15.75" customHeight="1">
      <c r="A188" s="106" t="n"/>
      <c r="L188" s="106" t="n"/>
    </row>
    <row r="189" ht="15.75" customHeight="1">
      <c r="A189" s="106" t="n"/>
      <c r="L189" s="106" t="n"/>
    </row>
    <row r="190" ht="16.2" customHeight="1">
      <c r="A190" s="106" t="n"/>
      <c r="L190" s="106" t="n"/>
    </row>
    <row r="191" ht="16.2" customHeight="1">
      <c r="A191" s="106" t="n"/>
      <c r="L191" s="106" t="n"/>
    </row>
    <row r="192" ht="16.2" customHeight="1">
      <c r="A192" s="106" t="n"/>
      <c r="L192" s="106" t="n"/>
    </row>
    <row r="193" ht="16.2" customHeight="1">
      <c r="A193" s="106" t="n"/>
      <c r="L193" s="106" t="n"/>
    </row>
    <row r="194" ht="16.2" customHeight="1">
      <c r="A194" s="106" t="n"/>
      <c r="L194" s="106" t="n"/>
    </row>
    <row r="195" ht="16.2" customHeight="1">
      <c r="A195" s="106" t="n"/>
      <c r="L195" s="106" t="n"/>
    </row>
    <row r="196" ht="16.2" customHeight="1">
      <c r="A196" s="106" t="n"/>
      <c r="L196" s="106" t="n"/>
    </row>
    <row r="197" ht="16.2" customHeight="1">
      <c r="A197" s="106" t="n"/>
      <c r="L197" s="106" t="n"/>
    </row>
    <row r="198" ht="16.2" customHeight="1">
      <c r="A198" s="106" t="n"/>
      <c r="L198" s="106" t="n"/>
    </row>
    <row r="199" ht="16.2" customHeight="1">
      <c r="A199" s="106" t="n"/>
      <c r="L199" s="106" t="n"/>
    </row>
    <row r="200" ht="16.2" customHeight="1">
      <c r="A200" s="106" t="n"/>
      <c r="L200" s="106" t="n"/>
    </row>
    <row r="201" ht="16.2" customHeight="1">
      <c r="A201" s="106" t="n"/>
      <c r="L201" s="106" t="n"/>
    </row>
    <row r="202" ht="16.2" customHeight="1">
      <c r="A202" s="106" t="n"/>
      <c r="L202" s="106" t="n"/>
    </row>
    <row r="203" ht="16.2" customHeight="1">
      <c r="A203" s="106" t="n"/>
      <c r="L203" s="106" t="n"/>
    </row>
    <row r="204" ht="16.2" customHeight="1">
      <c r="A204" s="106" t="n"/>
      <c r="L204" s="106" t="n"/>
    </row>
    <row r="205" ht="16.2" customHeight="1">
      <c r="A205" s="106" t="n"/>
      <c r="L205" s="106" t="n"/>
    </row>
    <row r="206" ht="16.2" customHeight="1">
      <c r="A206" s="106" t="n"/>
      <c r="L206" s="106" t="n"/>
    </row>
    <row r="207" ht="16.2" customHeight="1">
      <c r="A207" s="106" t="n"/>
      <c r="L207" s="106" t="n"/>
    </row>
    <row r="208" ht="16.2" customHeight="1">
      <c r="A208" s="106" t="n"/>
      <c r="L208" s="106" t="n"/>
    </row>
    <row r="209" ht="16.2" customHeight="1">
      <c r="A209" s="106" t="n"/>
      <c r="L209" s="106" t="n"/>
    </row>
    <row r="210" ht="16.2" customHeight="1">
      <c r="A210" s="106" t="n"/>
      <c r="L210" s="106" t="n"/>
    </row>
    <row r="211" ht="16.2" customHeight="1">
      <c r="A211" s="106" t="n"/>
      <c r="L211" s="106" t="n"/>
    </row>
    <row r="212" ht="16.2" customHeight="1">
      <c r="A212" s="106" t="n"/>
      <c r="L212" s="106" t="n"/>
    </row>
    <row r="213" ht="16.2" customHeight="1">
      <c r="A213" s="106" t="n"/>
      <c r="L213" s="106" t="n"/>
    </row>
    <row r="214" ht="16.2" customHeight="1">
      <c r="A214" s="106" t="n"/>
      <c r="L214" s="106" t="n"/>
    </row>
    <row r="215" ht="16.2" customHeight="1">
      <c r="A215" s="106" t="n"/>
      <c r="L215" s="106" t="n"/>
    </row>
    <row r="216" ht="16.2" customHeight="1">
      <c r="A216" s="106" t="n"/>
      <c r="L216" s="106" t="n"/>
    </row>
    <row r="217" ht="16.2" customHeight="1">
      <c r="A217" s="106" t="n"/>
      <c r="L217" s="106" t="n"/>
    </row>
    <row r="218" ht="16.2" customHeight="1">
      <c r="A218" s="106" t="n"/>
      <c r="L218" s="106" t="n"/>
    </row>
    <row r="219" ht="16.2" customHeight="1">
      <c r="A219" s="106" t="n"/>
      <c r="L219" s="106" t="n"/>
    </row>
    <row r="220" ht="16.2" customHeight="1">
      <c r="A220" s="106" t="n"/>
      <c r="L220" s="106" t="n"/>
    </row>
    <row r="221" ht="16.2" customHeight="1">
      <c r="A221" s="106" t="n"/>
      <c r="L221" s="106" t="n"/>
    </row>
    <row r="222" ht="16.2" customHeight="1">
      <c r="A222" s="106" t="n"/>
      <c r="L222" s="106" t="n"/>
    </row>
    <row r="223" ht="16.2" customHeight="1">
      <c r="A223" s="106" t="n"/>
      <c r="L223" s="106" t="n"/>
    </row>
    <row r="224" ht="16.2" customHeight="1">
      <c r="A224" s="106" t="n"/>
      <c r="L224" s="106" t="n"/>
    </row>
    <row r="225" ht="16.2" customHeight="1">
      <c r="A225" s="106" t="n"/>
      <c r="L225" s="106" t="n"/>
    </row>
    <row r="226" ht="16.2" customHeight="1">
      <c r="A226" s="106" t="n"/>
      <c r="L226" s="106" t="n"/>
    </row>
    <row r="227" ht="16.2" customHeight="1">
      <c r="A227" s="106" t="n"/>
      <c r="L227" s="106" t="n"/>
    </row>
    <row r="228" ht="16.2" customHeight="1">
      <c r="A228" s="106" t="n"/>
      <c r="L228" s="106" t="n"/>
    </row>
    <row r="229" ht="16.2" customHeight="1">
      <c r="A229" s="106" t="n"/>
      <c r="L229" s="106" t="n"/>
    </row>
    <row r="230" ht="16.2" customHeight="1">
      <c r="A230" s="106" t="n"/>
      <c r="L230" s="106" t="n"/>
    </row>
    <row r="231" ht="16.2" customHeight="1">
      <c r="A231" s="106" t="n"/>
      <c r="L231" s="106" t="n"/>
    </row>
    <row r="232" ht="22.2" customHeight="1">
      <c r="A232" s="106" t="n"/>
      <c r="B232" s="112" t="n"/>
      <c r="L232" s="106" t="n"/>
    </row>
    <row r="233" ht="15.75" customHeight="1">
      <c r="A233" s="106" t="n"/>
      <c r="B233" s="522" t="n"/>
      <c r="L233" s="106" t="n"/>
    </row>
    <row r="234" ht="15" customHeight="1">
      <c r="A234" s="106" t="n"/>
      <c r="L234" s="106" t="n"/>
    </row>
    <row r="235" ht="15" customHeight="1">
      <c r="A235" s="106" t="n"/>
      <c r="L235" s="106" t="n"/>
    </row>
    <row r="236" ht="15.75" customHeight="1">
      <c r="A236" s="106" t="n"/>
      <c r="L236" s="106" t="n"/>
    </row>
    <row r="237" ht="15.75" customHeight="1">
      <c r="A237" s="106" t="n"/>
      <c r="L237" s="106" t="n"/>
    </row>
    <row r="238" ht="15.75" customHeight="1">
      <c r="A238" s="106" t="n"/>
      <c r="L238" s="106" t="n"/>
    </row>
    <row r="239" ht="15.75" customHeight="1">
      <c r="A239" s="106" t="n"/>
      <c r="L239" s="106" t="n"/>
    </row>
    <row r="240" ht="15.75" customHeight="1">
      <c r="A240" s="106" t="n"/>
      <c r="L240" s="106" t="n"/>
    </row>
    <row r="241" ht="15.75" customHeight="1">
      <c r="A241" s="106" t="n"/>
      <c r="L241" s="106" t="n"/>
    </row>
    <row r="242" ht="15.75" customHeight="1">
      <c r="A242" s="106" t="n"/>
      <c r="L242" s="106" t="n"/>
    </row>
    <row r="243" ht="15.75" customHeight="1">
      <c r="A243" s="106" t="n"/>
      <c r="L243" s="106" t="n"/>
    </row>
    <row r="244" ht="15.75" customHeight="1">
      <c r="A244" s="106" t="n"/>
      <c r="B244" s="112" t="n"/>
      <c r="L244" s="106" t="n"/>
    </row>
    <row r="245" ht="15.75" customHeight="1">
      <c r="A245" s="106" t="n"/>
      <c r="L245" s="106" t="n"/>
    </row>
    <row r="246" ht="15.75" customHeight="1">
      <c r="A246" s="106" t="n"/>
      <c r="L246" s="106" t="n"/>
    </row>
    <row r="247" ht="15.75" customHeight="1">
      <c r="A247" s="106" t="n"/>
      <c r="L247" s="106" t="n"/>
    </row>
    <row r="248" ht="15.75" customHeight="1">
      <c r="A248" s="106" t="n"/>
      <c r="L248" s="106" t="n"/>
    </row>
    <row r="249" ht="15.75" customHeight="1">
      <c r="A249" s="106" t="n"/>
      <c r="L249" s="106" t="n"/>
    </row>
    <row r="250" ht="15.75" customHeight="1">
      <c r="A250" s="106" t="n"/>
      <c r="B250" s="522" t="n"/>
      <c r="L250" s="106" t="n"/>
    </row>
    <row r="251" ht="15.75" customHeight="1">
      <c r="A251" s="106" t="n"/>
      <c r="L251" s="106" t="n"/>
    </row>
    <row r="252" ht="15.75" customHeight="1">
      <c r="A252" s="106" t="n"/>
      <c r="L252" s="106" t="n"/>
    </row>
    <row r="253" ht="15.75" customHeight="1">
      <c r="A253" s="106" t="n"/>
      <c r="L253" s="106" t="n"/>
    </row>
    <row r="254" ht="15.75" customHeight="1">
      <c r="A254" s="106" t="n"/>
      <c r="L254" s="106" t="n"/>
    </row>
    <row r="255" ht="15.75" customHeight="1">
      <c r="A255" s="106" t="n"/>
      <c r="B255" s="112" t="n"/>
      <c r="L255" s="106" t="n"/>
    </row>
    <row r="256" ht="15.75" customHeight="1">
      <c r="A256" s="106" t="n"/>
      <c r="B256" s="523" t="n"/>
      <c r="L256" s="106" t="n"/>
    </row>
    <row r="257" ht="15.75" customHeight="1">
      <c r="A257" s="106" t="n"/>
      <c r="L257" s="106" t="n"/>
    </row>
    <row r="258" ht="15.75" customHeight="1">
      <c r="A258" s="106" t="n"/>
      <c r="L258" s="106" t="n"/>
    </row>
    <row r="259" ht="15.75" customHeight="1">
      <c r="A259" s="106" t="n"/>
      <c r="L259" s="106" t="n"/>
    </row>
    <row r="260" ht="15.75" customHeight="1">
      <c r="A260" s="106" t="n"/>
      <c r="L260" s="106" t="n"/>
    </row>
    <row r="261" ht="15.75" customHeight="1">
      <c r="A261" s="106" t="n"/>
      <c r="L261" s="106" t="n"/>
    </row>
    <row r="262" ht="15.75" customHeight="1">
      <c r="A262" s="106" t="n"/>
      <c r="L262" s="106" t="n"/>
    </row>
    <row r="263" ht="15.75" customHeight="1">
      <c r="A263" s="106" t="n"/>
      <c r="L263" s="106" t="n"/>
    </row>
    <row r="264" ht="15.75" customHeight="1">
      <c r="A264" s="106" t="n"/>
      <c r="L264" s="106" t="n"/>
    </row>
    <row r="265" ht="15.75" customHeight="1">
      <c r="A265" s="106" t="n"/>
      <c r="L265" s="106" t="n"/>
    </row>
    <row r="266" ht="15.75" customHeight="1">
      <c r="A266" s="106" t="n"/>
      <c r="L266" s="106" t="n"/>
    </row>
    <row r="267" ht="15.75" customHeight="1">
      <c r="A267" s="106" t="n"/>
      <c r="B267" s="522" t="n"/>
      <c r="L267" s="106" t="n"/>
    </row>
    <row r="268" ht="15.75" customHeight="1">
      <c r="A268" s="106" t="n"/>
      <c r="L268" s="106" t="n"/>
    </row>
    <row r="269" ht="15.75" customHeight="1">
      <c r="A269" s="106" t="n"/>
      <c r="L269" s="106" t="n"/>
    </row>
    <row r="270" ht="15.75" customHeight="1">
      <c r="A270" s="106" t="n"/>
      <c r="L270" s="106" t="n"/>
    </row>
    <row r="271" ht="15.75" customHeight="1">
      <c r="A271" s="106" t="n"/>
      <c r="L271" s="106" t="n"/>
    </row>
    <row r="272" ht="15.75" customHeight="1">
      <c r="A272" s="106" t="n"/>
      <c r="L272" s="106" t="n"/>
    </row>
    <row r="273" ht="15.75" customHeight="1">
      <c r="A273" s="106" t="n"/>
      <c r="L273" s="106" t="n"/>
    </row>
    <row r="274" ht="15.75" customHeight="1">
      <c r="A274" s="106" t="n"/>
      <c r="L274" s="106" t="n"/>
    </row>
    <row r="275" ht="15.75" customHeight="1">
      <c r="A275" s="106" t="n"/>
      <c r="L275" s="106" t="n"/>
    </row>
    <row r="276" ht="15.75" customHeight="1">
      <c r="A276" s="106" t="n"/>
      <c r="L276" s="106" t="n"/>
    </row>
    <row r="277" ht="15.75" customHeight="1">
      <c r="A277" s="106" t="n"/>
      <c r="L277" s="106" t="n"/>
    </row>
    <row r="278" ht="15.75" customHeight="1">
      <c r="A278" s="106" t="n"/>
      <c r="B278" s="523" t="n"/>
      <c r="L278" s="106" t="n"/>
    </row>
    <row r="279" ht="15.75" customHeight="1">
      <c r="A279" s="106" t="n"/>
      <c r="L279" s="106" t="n"/>
    </row>
    <row r="280" ht="15.75" customHeight="1">
      <c r="A280" s="106" t="n"/>
      <c r="L280" s="106" t="n"/>
    </row>
    <row r="281" ht="15.75" customHeight="1">
      <c r="A281" s="106" t="n"/>
      <c r="L281" s="106" t="n"/>
    </row>
    <row r="282" ht="15.75" customHeight="1">
      <c r="A282" s="106" t="n"/>
      <c r="L282" s="106" t="n"/>
    </row>
    <row r="283" ht="15.75" customHeight="1">
      <c r="A283" s="106" t="n"/>
      <c r="L283" s="106" t="n"/>
    </row>
    <row r="284" ht="15.75" customHeight="1">
      <c r="A284" s="106" t="n"/>
      <c r="B284" s="522" t="n"/>
      <c r="L284" s="106" t="n"/>
    </row>
    <row r="285" ht="15.75" customHeight="1">
      <c r="A285" s="106" t="n"/>
      <c r="L285" s="106" t="n"/>
    </row>
    <row r="286" ht="15.75" customHeight="1">
      <c r="A286" s="106" t="n"/>
      <c r="L286" s="106" t="n"/>
    </row>
    <row r="287" ht="15.75" customHeight="1">
      <c r="A287" s="106" t="n"/>
      <c r="L287" s="106" t="n"/>
    </row>
    <row r="288" ht="15.75" customHeight="1">
      <c r="A288" s="106" t="n"/>
      <c r="L288" s="106" t="n"/>
    </row>
    <row r="289" ht="15.75" customHeight="1">
      <c r="A289" s="106" t="n"/>
      <c r="B289" s="112" t="n"/>
      <c r="L289" s="106" t="n"/>
    </row>
    <row r="290" ht="15.75" customHeight="1">
      <c r="A290" s="106" t="n"/>
      <c r="L290" s="106" t="n"/>
    </row>
    <row r="291" ht="15.75" customHeight="1">
      <c r="A291" s="106" t="n"/>
      <c r="L291" s="106" t="n"/>
    </row>
    <row r="292" ht="15.75" customHeight="1">
      <c r="A292" s="106" t="n"/>
      <c r="L292" s="106" t="n"/>
    </row>
    <row r="293" ht="15.75" customHeight="1">
      <c r="A293" s="106" t="n"/>
      <c r="L293" s="106" t="n"/>
    </row>
    <row r="294" ht="15.75" customHeight="1">
      <c r="A294" s="106" t="n"/>
      <c r="L294" s="106" t="n"/>
    </row>
    <row r="295" ht="15.75" customHeight="1">
      <c r="A295" s="106" t="n"/>
      <c r="L295" s="106" t="n"/>
    </row>
    <row r="296" ht="15.75" customHeight="1">
      <c r="A296" s="106" t="n"/>
      <c r="L296" s="106" t="n"/>
    </row>
    <row r="297" ht="15.75" customHeight="1">
      <c r="A297" s="106" t="n"/>
      <c r="L297" s="106" t="n"/>
    </row>
    <row r="298" ht="15.75" customHeight="1">
      <c r="A298" s="106" t="n"/>
      <c r="L298" s="106" t="n"/>
    </row>
    <row r="299" ht="15.75" customHeight="1">
      <c r="A299" s="106" t="n"/>
      <c r="L299" s="106" t="n"/>
    </row>
    <row r="300" ht="15.75" customHeight="1">
      <c r="A300" s="106" t="n"/>
      <c r="B300" s="106" t="n"/>
      <c r="C300" s="106" t="n"/>
      <c r="D300" s="106" t="n"/>
      <c r="E300" s="106" t="n"/>
      <c r="F300" s="106" t="n"/>
      <c r="G300" s="106" t="n"/>
      <c r="H300" s="106" t="n"/>
      <c r="I300" s="106" t="n"/>
      <c r="J300" s="106" t="n"/>
      <c r="K300" s="106" t="n"/>
      <c r="L300" s="106" t="n"/>
    </row>
    <row r="301" ht="15.75" customHeight="1">
      <c r="A301" s="106" t="n"/>
      <c r="B301" s="106" t="n"/>
      <c r="C301" s="106" t="n"/>
      <c r="D301" s="106" t="n"/>
      <c r="E301" s="106" t="n"/>
      <c r="F301" s="106" t="n"/>
      <c r="G301" s="106" t="n"/>
      <c r="H301" s="106" t="n"/>
      <c r="I301" s="106" t="n"/>
      <c r="J301" s="106" t="n"/>
      <c r="K301" s="106" t="n"/>
      <c r="L301" s="106" t="n"/>
    </row>
    <row r="302" ht="15.75" customHeight="1">
      <c r="A302" s="106" t="n"/>
      <c r="B302" s="112" t="n"/>
      <c r="C302" s="106" t="n"/>
      <c r="D302" s="106" t="n"/>
      <c r="E302" s="106" t="n"/>
      <c r="F302" s="106" t="n"/>
      <c r="G302" s="106" t="n"/>
      <c r="H302" s="106" t="n"/>
      <c r="I302" s="106" t="n"/>
      <c r="J302" s="106" t="n"/>
      <c r="K302" s="106" t="n"/>
      <c r="L302" s="106" t="n"/>
    </row>
    <row r="303" ht="15.75" customHeight="1">
      <c r="A303" s="106" t="n"/>
      <c r="B303" s="106" t="n"/>
      <c r="C303" s="106" t="n"/>
      <c r="D303" s="106" t="n"/>
      <c r="E303" s="106" t="n"/>
      <c r="F303" s="106" t="n"/>
      <c r="G303" s="106" t="n"/>
      <c r="H303" s="106" t="n"/>
      <c r="I303" s="106" t="n"/>
      <c r="J303" s="106" t="n"/>
      <c r="K303" s="106" t="n"/>
      <c r="L303" s="106" t="n"/>
    </row>
    <row r="304" ht="15.75" customHeight="1">
      <c r="A304" s="106" t="n"/>
      <c r="B304" s="106" t="n"/>
      <c r="C304" s="106" t="n"/>
      <c r="D304" s="106" t="n"/>
      <c r="E304" s="106" t="n"/>
      <c r="F304" s="106" t="n"/>
      <c r="G304" s="106" t="n"/>
      <c r="H304" s="106" t="n"/>
      <c r="I304" s="106" t="n"/>
      <c r="J304" s="106" t="n"/>
      <c r="K304" s="106" t="n"/>
      <c r="L304" s="106" t="n"/>
    </row>
    <row r="305" ht="15.75" customHeight="1">
      <c r="A305" s="106" t="n"/>
      <c r="B305" s="106" t="n"/>
      <c r="C305" s="106" t="n"/>
      <c r="D305" s="106" t="n"/>
      <c r="E305" s="106" t="n"/>
      <c r="F305" s="106" t="n"/>
      <c r="G305" s="106" t="n"/>
      <c r="H305" s="106" t="n"/>
      <c r="I305" s="106" t="n"/>
      <c r="J305" s="106" t="n"/>
      <c r="K305" s="106" t="n"/>
      <c r="L305" s="106" t="n"/>
    </row>
    <row r="306" ht="15.75" customHeight="1">
      <c r="A306" s="106" t="n"/>
      <c r="B306" s="106" t="n"/>
      <c r="C306" s="106" t="n"/>
      <c r="D306" s="106" t="n"/>
      <c r="E306" s="106" t="n"/>
      <c r="F306" s="106" t="n"/>
      <c r="G306" s="106" t="n"/>
      <c r="H306" s="106" t="n"/>
      <c r="I306" s="106" t="n"/>
      <c r="J306" s="106" t="n"/>
      <c r="K306" s="106" t="n"/>
      <c r="L306" s="106" t="n"/>
    </row>
    <row r="307" ht="15.75" customHeight="1">
      <c r="A307" s="106" t="n"/>
      <c r="B307" s="106" t="n"/>
      <c r="C307" s="106" t="n"/>
      <c r="D307" s="106" t="n"/>
      <c r="E307" s="106" t="n"/>
      <c r="F307" s="106" t="n"/>
      <c r="H307" s="106" t="n"/>
      <c r="I307" s="106" t="n"/>
      <c r="J307" s="106" t="n"/>
      <c r="K307" s="106" t="n"/>
      <c r="L307" s="106" t="n"/>
    </row>
    <row r="308" ht="15.75" customHeight="1">
      <c r="A308" s="106" t="n"/>
      <c r="B308" s="106" t="n"/>
      <c r="C308" s="106" t="n"/>
      <c r="D308" s="106" t="n"/>
      <c r="E308" s="106" t="n"/>
      <c r="F308" s="106" t="n"/>
      <c r="G308" s="106" t="n"/>
      <c r="H308" s="106" t="n"/>
      <c r="I308" s="106" t="n"/>
      <c r="J308" s="106" t="n"/>
      <c r="K308" s="106" t="n"/>
      <c r="L308" s="106" t="n"/>
    </row>
    <row r="309" ht="15.75" customHeight="1">
      <c r="A309" s="106" t="n"/>
      <c r="B309" s="106" t="n"/>
      <c r="C309" s="106" t="n"/>
      <c r="D309" s="106" t="n"/>
      <c r="E309" s="106" t="n"/>
      <c r="F309" s="106" t="n"/>
      <c r="G309" s="106" t="n"/>
      <c r="H309" s="106" t="n"/>
      <c r="I309" s="106" t="n"/>
      <c r="J309" s="106" t="n"/>
      <c r="K309" s="106" t="n"/>
      <c r="L309" s="106" t="n"/>
    </row>
    <row r="310" ht="15.75" customHeight="1">
      <c r="A310" s="106" t="n"/>
      <c r="B310" s="106" t="n"/>
      <c r="C310" s="106" t="n"/>
      <c r="D310" s="106" t="n"/>
      <c r="E310" s="106" t="n"/>
      <c r="F310" s="106" t="n"/>
      <c r="G310" s="106" t="n"/>
      <c r="H310" s="106" t="n"/>
      <c r="I310" s="106" t="n"/>
      <c r="J310" s="106" t="n"/>
      <c r="K310" s="106" t="n"/>
      <c r="L310" s="106" t="n"/>
    </row>
    <row r="311" ht="15.75" customHeight="1">
      <c r="A311" s="106" t="n"/>
      <c r="B311" s="106" t="n"/>
      <c r="C311" s="106" t="n"/>
      <c r="D311" s="106" t="n"/>
      <c r="E311" s="106" t="n"/>
      <c r="F311" s="106" t="n"/>
      <c r="G311" s="106" t="n"/>
      <c r="H311" s="106" t="n"/>
      <c r="I311" s="106" t="n"/>
      <c r="J311" s="106" t="n"/>
      <c r="K311" s="106" t="n"/>
      <c r="L311" s="106" t="n"/>
    </row>
    <row r="312" ht="15.75" customHeight="1">
      <c r="A312" s="106" t="n"/>
      <c r="B312" s="106" t="n"/>
      <c r="C312" s="106" t="n"/>
      <c r="D312" s="106" t="n"/>
      <c r="E312" s="106" t="n"/>
      <c r="F312" s="106" t="n"/>
      <c r="G312" s="106" t="n"/>
      <c r="H312" s="106" t="n"/>
      <c r="I312" s="106" t="n"/>
      <c r="J312" s="106" t="n"/>
      <c r="K312" s="106" t="n"/>
      <c r="L312" s="106" t="n"/>
    </row>
    <row r="313" ht="15.75" customHeight="1">
      <c r="A313" s="106" t="n"/>
      <c r="B313" s="106" t="n"/>
      <c r="C313" s="106" t="n"/>
      <c r="D313" s="106" t="n"/>
      <c r="E313" s="106" t="n"/>
      <c r="F313" s="106" t="n"/>
      <c r="G313" s="106" t="n"/>
      <c r="H313" s="106" t="n"/>
      <c r="I313" s="106" t="n"/>
      <c r="J313" s="106" t="n"/>
      <c r="K313" s="106" t="n"/>
      <c r="L313" s="106" t="n"/>
    </row>
    <row r="314" ht="15.75" customHeight="1">
      <c r="A314" s="106" t="n"/>
      <c r="B314" s="106" t="n"/>
      <c r="C314" s="106" t="n"/>
      <c r="D314" s="106" t="n"/>
      <c r="E314" s="106" t="n"/>
      <c r="F314" s="106" t="n"/>
      <c r="G314" s="106" t="n"/>
      <c r="H314" s="106" t="n"/>
      <c r="I314" s="106" t="n"/>
      <c r="J314" s="106" t="n"/>
      <c r="K314" s="106" t="n"/>
      <c r="L314" s="106" t="n"/>
    </row>
    <row r="315" ht="15.75" customHeight="1">
      <c r="A315" s="106" t="n"/>
      <c r="B315" s="106" t="n"/>
      <c r="C315" s="106" t="n"/>
      <c r="D315" s="106" t="n"/>
      <c r="E315" s="106" t="n"/>
      <c r="F315" s="106" t="n"/>
      <c r="G315" s="106" t="n"/>
      <c r="H315" s="106" t="n"/>
      <c r="I315" s="106" t="n"/>
      <c r="J315" s="106" t="n"/>
      <c r="K315" s="106" t="n"/>
      <c r="L315" s="106" t="n"/>
    </row>
    <row r="316" ht="15.75" customHeight="1">
      <c r="A316" s="106" t="n"/>
      <c r="B316" s="106" t="n"/>
      <c r="C316" s="106" t="n"/>
      <c r="D316" s="106" t="n"/>
      <c r="E316" s="106" t="n"/>
      <c r="F316" s="106" t="n"/>
      <c r="G316" s="106" t="n"/>
      <c r="H316" s="106" t="n"/>
      <c r="I316" s="106" t="n"/>
      <c r="J316" s="106" t="n"/>
      <c r="K316" s="106" t="n"/>
      <c r="L316" s="106" t="n"/>
    </row>
    <row r="317" ht="15.75" customHeight="1">
      <c r="A317" s="106" t="n"/>
      <c r="B317" s="106" t="n"/>
      <c r="C317" s="106" t="n"/>
      <c r="D317" s="106" t="n"/>
      <c r="E317" s="106" t="n"/>
      <c r="F317" s="106" t="n"/>
      <c r="G317" s="106" t="n"/>
      <c r="H317" s="106" t="n"/>
      <c r="I317" s="106" t="n"/>
      <c r="J317" s="106" t="n"/>
      <c r="K317" s="106" t="n"/>
      <c r="L317" s="106" t="n"/>
    </row>
    <row r="318" ht="15.75" customHeight="1">
      <c r="A318" s="106" t="n"/>
      <c r="B318" s="106" t="n"/>
      <c r="C318" s="106" t="n"/>
      <c r="D318" s="106" t="n"/>
      <c r="E318" s="106" t="n"/>
      <c r="F318" s="106" t="n"/>
      <c r="G318" s="106" t="n"/>
      <c r="H318" s="106" t="n"/>
      <c r="I318" s="106" t="n"/>
      <c r="J318" s="106" t="n"/>
      <c r="K318" s="106" t="n"/>
      <c r="L318" s="106" t="n"/>
    </row>
    <row r="319" ht="15.75" customHeight="1">
      <c r="A319" s="106" t="n"/>
      <c r="B319" s="106" t="n"/>
      <c r="C319" s="106" t="n"/>
      <c r="D319" s="106" t="n"/>
      <c r="E319" s="106" t="n"/>
      <c r="F319" s="106" t="n"/>
      <c r="G319" s="106" t="n"/>
      <c r="H319" s="106" t="n"/>
      <c r="I319" s="106" t="n"/>
      <c r="J319" s="106" t="n"/>
      <c r="K319" s="106" t="n"/>
      <c r="L319" s="106" t="n"/>
    </row>
    <row r="320" ht="15.75" customHeight="1">
      <c r="A320" s="106" t="n"/>
      <c r="B320" s="112" t="n"/>
      <c r="C320" s="106" t="n"/>
      <c r="D320" s="106" t="n"/>
      <c r="E320" s="106" t="n"/>
      <c r="F320" s="106" t="n"/>
      <c r="G320" s="106" t="n"/>
      <c r="H320" s="106" t="n"/>
      <c r="I320" s="106" t="n"/>
      <c r="J320" s="106" t="n"/>
      <c r="K320" s="106" t="n"/>
      <c r="L320" s="106" t="n"/>
    </row>
    <row r="321" ht="15.75" customHeight="1">
      <c r="A321" s="106" t="n"/>
      <c r="B321" s="106" t="n"/>
      <c r="C321" s="106" t="n"/>
      <c r="D321" s="106" t="n"/>
      <c r="E321" s="106" t="n"/>
      <c r="F321" s="106" t="n"/>
      <c r="G321" s="106" t="n"/>
      <c r="H321" s="106" t="n"/>
      <c r="I321" s="106" t="n"/>
      <c r="J321" s="106" t="n"/>
      <c r="K321" s="106" t="n"/>
      <c r="L321" s="106" t="n"/>
    </row>
    <row r="322" ht="15.75" customHeight="1">
      <c r="A322" s="106" t="n"/>
      <c r="B322" s="106" t="n"/>
      <c r="C322" s="106" t="n"/>
      <c r="D322" s="106" t="n"/>
      <c r="E322" s="106" t="n"/>
      <c r="F322" s="106" t="n"/>
      <c r="G322" s="106" t="n"/>
      <c r="H322" s="106" t="n"/>
      <c r="I322" s="106" t="n"/>
      <c r="J322" s="106" t="n"/>
      <c r="K322" s="106" t="n"/>
      <c r="L322" s="106" t="n"/>
    </row>
    <row r="323" ht="15.75" customHeight="1">
      <c r="A323" s="106" t="n"/>
      <c r="B323" s="106" t="n"/>
      <c r="C323" s="106" t="n"/>
      <c r="D323" s="106" t="n"/>
      <c r="E323" s="106" t="n"/>
      <c r="F323" s="106" t="n"/>
      <c r="G323" s="106" t="n"/>
      <c r="H323" s="106" t="n"/>
      <c r="I323" s="106" t="n"/>
      <c r="J323" s="106" t="n"/>
      <c r="K323" s="106" t="n"/>
      <c r="L323" s="106" t="n"/>
    </row>
    <row r="324" ht="15.75" customHeight="1">
      <c r="A324" s="106" t="n"/>
      <c r="B324" s="106" t="n"/>
      <c r="C324" s="106" t="n"/>
      <c r="D324" s="106" t="n"/>
      <c r="E324" s="106" t="n"/>
      <c r="F324" s="106" t="n"/>
      <c r="G324" s="106" t="n"/>
      <c r="H324" s="106" t="n"/>
      <c r="I324" s="106" t="n"/>
      <c r="J324" s="106" t="n"/>
      <c r="K324" s="106" t="n"/>
      <c r="L324" s="106" t="n"/>
    </row>
    <row r="325" ht="15.75" customHeight="1">
      <c r="A325" s="106" t="n"/>
      <c r="B325" s="106" t="n"/>
      <c r="C325" s="106" t="n"/>
      <c r="D325" s="106" t="n"/>
      <c r="E325" s="106" t="n"/>
      <c r="F325" s="106" t="n"/>
      <c r="G325" s="106" t="n"/>
      <c r="H325" s="106" t="n"/>
      <c r="I325" s="106" t="n"/>
      <c r="J325" s="106" t="n"/>
      <c r="K325" s="106" t="n"/>
      <c r="L325" s="106" t="n"/>
    </row>
    <row r="326" ht="15.75" customHeight="1">
      <c r="A326" s="106" t="n"/>
      <c r="B326" s="106" t="n"/>
      <c r="C326" s="106" t="n"/>
      <c r="D326" s="106" t="n"/>
      <c r="E326" s="106" t="n"/>
      <c r="F326" s="106" t="n"/>
      <c r="G326" s="106" t="n"/>
      <c r="H326" s="106" t="n"/>
      <c r="I326" s="106" t="n"/>
      <c r="J326" s="106" t="n"/>
      <c r="K326" s="106" t="n"/>
      <c r="L326" s="106" t="n"/>
    </row>
    <row r="327" ht="15.75" customHeight="1">
      <c r="A327" s="106" t="n"/>
      <c r="B327" s="106" t="n"/>
      <c r="C327" s="106" t="n"/>
      <c r="D327" s="106" t="n"/>
      <c r="E327" s="106" t="n"/>
      <c r="F327" s="106" t="n"/>
      <c r="G327" s="106" t="n"/>
      <c r="H327" s="106" t="n"/>
      <c r="I327" s="106" t="n"/>
      <c r="J327" s="106" t="n"/>
      <c r="K327" s="106" t="n"/>
      <c r="L327" s="106" t="n"/>
    </row>
    <row r="328" ht="15.75" customHeight="1">
      <c r="A328" s="106" t="n"/>
      <c r="B328" s="106" t="n"/>
      <c r="C328" s="106" t="n"/>
      <c r="D328" s="106" t="n"/>
      <c r="E328" s="106" t="n"/>
      <c r="F328" s="106" t="n"/>
      <c r="G328" s="106" t="n"/>
      <c r="H328" s="106" t="n"/>
      <c r="I328" s="106" t="n"/>
      <c r="J328" s="106" t="n"/>
      <c r="K328" s="106" t="n"/>
      <c r="L328" s="106" t="n"/>
    </row>
    <row r="329" ht="15.75" customHeight="1">
      <c r="A329" s="106" t="n"/>
      <c r="B329" s="106" t="n"/>
      <c r="C329" s="106" t="n"/>
      <c r="D329" s="106" t="n"/>
      <c r="E329" s="106" t="n"/>
      <c r="F329" s="106" t="n"/>
      <c r="G329" s="106" t="n"/>
      <c r="H329" s="106" t="n"/>
      <c r="I329" s="106" t="n"/>
      <c r="J329" s="106" t="n"/>
      <c r="K329" s="106" t="n"/>
      <c r="L329" s="106" t="n"/>
    </row>
    <row r="330" ht="15.75" customHeight="1">
      <c r="A330" s="106" t="n"/>
      <c r="B330" s="106" t="n"/>
      <c r="C330" s="106" t="n"/>
      <c r="D330" s="106" t="n"/>
      <c r="E330" s="106" t="n"/>
      <c r="F330" s="106" t="n"/>
      <c r="H330" s="106" t="n"/>
      <c r="I330" s="106" t="n"/>
      <c r="J330" s="106" t="n"/>
      <c r="K330" s="106" t="n"/>
      <c r="L330" s="106" t="n"/>
    </row>
    <row r="331" ht="15.75" customHeight="1">
      <c r="A331" s="106" t="n"/>
      <c r="B331" s="106" t="n"/>
      <c r="C331" s="106" t="n"/>
      <c r="D331" s="106" t="n"/>
      <c r="E331" s="106" t="n"/>
      <c r="F331" s="106" t="n"/>
      <c r="G331" s="106" t="n"/>
      <c r="H331" s="106" t="n"/>
      <c r="I331" s="106" t="n"/>
      <c r="J331" s="106" t="n"/>
      <c r="K331" s="106" t="n"/>
      <c r="L331" s="106" t="n"/>
    </row>
    <row r="332" ht="15.75" customHeight="1">
      <c r="A332" s="106" t="n"/>
      <c r="B332" s="106" t="n"/>
      <c r="C332" s="106" t="n"/>
      <c r="D332" s="106" t="n"/>
      <c r="E332" s="106" t="n"/>
      <c r="F332" s="106" t="n"/>
      <c r="G332" s="106" t="n"/>
      <c r="H332" s="106" t="n"/>
      <c r="I332" s="106" t="n"/>
      <c r="J332" s="106" t="n"/>
      <c r="K332" s="106" t="n"/>
      <c r="L332" s="106" t="n"/>
    </row>
    <row r="333" ht="15.75" customHeight="1">
      <c r="A333" s="106" t="n"/>
      <c r="B333" s="106" t="n"/>
      <c r="C333" s="106" t="n"/>
      <c r="D333" s="106" t="n"/>
      <c r="E333" s="106" t="n"/>
      <c r="F333" s="106" t="n"/>
      <c r="G333" s="106" t="n"/>
      <c r="H333" s="106" t="n"/>
      <c r="I333" s="106" t="n"/>
      <c r="J333" s="106" t="n"/>
      <c r="K333" s="106" t="n"/>
      <c r="L333" s="106" t="n"/>
    </row>
    <row r="334" ht="15.75" customHeight="1">
      <c r="A334" s="106" t="n"/>
      <c r="B334" s="106" t="n"/>
      <c r="C334" s="106" t="n"/>
      <c r="D334" s="106" t="n"/>
      <c r="E334" s="106" t="n"/>
      <c r="F334" s="106" t="n"/>
      <c r="G334" s="106" t="n"/>
      <c r="H334" s="106" t="n"/>
      <c r="I334" s="106" t="n"/>
      <c r="J334" s="106" t="n"/>
      <c r="K334" s="106" t="n"/>
      <c r="L334" s="106" t="n"/>
    </row>
    <row r="335" ht="15.75" customHeight="1">
      <c r="A335" s="106" t="n"/>
      <c r="B335" s="106" t="n"/>
      <c r="C335" s="106" t="n"/>
      <c r="D335" s="106" t="n"/>
      <c r="E335" s="106" t="n"/>
      <c r="F335" s="106" t="n"/>
      <c r="G335" s="106" t="n"/>
      <c r="H335" s="106" t="n"/>
      <c r="I335" s="106" t="n"/>
      <c r="J335" s="106" t="n"/>
      <c r="K335" s="106" t="n"/>
      <c r="L335" s="106" t="n"/>
    </row>
    <row r="336" ht="15.75" customHeight="1">
      <c r="A336" s="106" t="n"/>
      <c r="B336" s="106" t="n"/>
      <c r="C336" s="106" t="n"/>
      <c r="D336" s="106" t="n"/>
      <c r="E336" s="106" t="n"/>
      <c r="F336" s="106" t="n"/>
      <c r="G336" s="106" t="n"/>
      <c r="H336" s="106" t="n"/>
      <c r="I336" s="106" t="n"/>
      <c r="J336" s="106" t="n"/>
      <c r="K336" s="106" t="n"/>
      <c r="L336" s="106" t="n"/>
    </row>
    <row r="337" ht="15.75" customHeight="1">
      <c r="A337" s="106" t="n"/>
      <c r="B337" s="106" t="n"/>
      <c r="C337" s="106" t="n"/>
      <c r="D337" s="106" t="n"/>
      <c r="E337" s="106" t="n"/>
      <c r="F337" s="106" t="n"/>
      <c r="G337" s="106" t="n"/>
      <c r="H337" s="106" t="n"/>
      <c r="I337" s="106" t="n"/>
      <c r="J337" s="106" t="n"/>
      <c r="K337" s="106" t="n"/>
      <c r="L337" s="106" t="n"/>
    </row>
    <row r="338" ht="15.75" customHeight="1">
      <c r="A338" s="106" t="n"/>
      <c r="B338" s="106" t="n"/>
      <c r="C338" s="106" t="n"/>
      <c r="D338" s="106" t="n"/>
      <c r="E338" s="106" t="n"/>
      <c r="F338" s="106" t="n"/>
      <c r="G338" s="106" t="n"/>
      <c r="H338" s="106" t="n"/>
      <c r="I338" s="106" t="n"/>
      <c r="J338" s="106" t="n"/>
      <c r="K338" s="106" t="n"/>
      <c r="L338" s="106" t="n"/>
    </row>
    <row r="339" ht="15.75" customHeight="1">
      <c r="A339" s="106" t="n"/>
      <c r="B339" s="106" t="n"/>
      <c r="C339" s="106" t="n"/>
      <c r="D339" s="106" t="n"/>
      <c r="E339" s="106" t="n"/>
      <c r="F339" s="106" t="n"/>
      <c r="G339" s="106" t="n"/>
      <c r="H339" s="106" t="n"/>
      <c r="I339" s="106" t="n"/>
      <c r="J339" s="106" t="n"/>
      <c r="K339" s="106" t="n"/>
      <c r="L339" s="106" t="n"/>
    </row>
    <row r="340" ht="15.75" customHeight="1">
      <c r="A340" s="106" t="n"/>
      <c r="B340" s="106" t="n"/>
      <c r="C340" s="106" t="n"/>
      <c r="D340" s="106" t="n"/>
      <c r="E340" s="106" t="n"/>
      <c r="F340" s="106" t="n"/>
      <c r="G340" s="106" t="n"/>
      <c r="H340" s="106" t="n"/>
      <c r="I340" s="106" t="n"/>
      <c r="J340" s="106" t="n"/>
      <c r="K340" s="106" t="n"/>
      <c r="L340" s="106" t="n"/>
    </row>
    <row r="341" ht="15.75" customHeight="1">
      <c r="A341" s="106" t="n"/>
      <c r="B341" s="106" t="n"/>
      <c r="C341" s="106" t="n"/>
      <c r="D341" s="106" t="n"/>
      <c r="E341" s="106" t="n"/>
      <c r="F341" s="106" t="n"/>
      <c r="G341" s="106" t="n"/>
      <c r="H341" s="106" t="n"/>
      <c r="I341" s="106" t="n"/>
      <c r="J341" s="106" t="n"/>
      <c r="K341" s="106" t="n"/>
      <c r="L341" s="106" t="n"/>
    </row>
    <row r="342" ht="15.75" customHeight="1">
      <c r="A342" s="106" t="n"/>
      <c r="B342" s="106" t="n"/>
      <c r="C342" s="106" t="n"/>
      <c r="D342" s="106" t="n"/>
      <c r="E342" s="106" t="n"/>
      <c r="F342" s="106" t="n"/>
      <c r="G342" s="106" t="n"/>
      <c r="H342" s="106" t="n"/>
      <c r="I342" s="106" t="n"/>
      <c r="J342" s="106" t="n"/>
      <c r="K342" s="106" t="n"/>
      <c r="L342" s="106" t="n"/>
    </row>
    <row r="343" ht="15.75" customHeight="1">
      <c r="A343" s="106" t="n"/>
      <c r="B343" s="106" t="n"/>
      <c r="C343" s="106" t="n"/>
      <c r="D343" s="106" t="n"/>
      <c r="E343" s="106" t="n"/>
      <c r="F343" s="106" t="n"/>
      <c r="G343" s="106" t="n"/>
      <c r="H343" s="106" t="n"/>
      <c r="I343" s="106" t="n"/>
      <c r="J343" s="106" t="n"/>
      <c r="K343" s="106" t="n"/>
      <c r="L343" s="106" t="n"/>
    </row>
    <row r="344" ht="15.75" customHeight="1">
      <c r="A344" s="106" t="n"/>
      <c r="B344" s="106" t="n"/>
      <c r="C344" s="106" t="n"/>
      <c r="D344" s="106" t="n"/>
      <c r="E344" s="106" t="n"/>
      <c r="F344" s="106" t="n"/>
      <c r="G344" s="106" t="n"/>
      <c r="H344" s="106" t="n"/>
      <c r="I344" s="106" t="n"/>
      <c r="J344" s="106" t="n"/>
      <c r="K344" s="106" t="n"/>
      <c r="L344" s="106" t="n"/>
    </row>
    <row r="345" ht="15.75" customHeight="1">
      <c r="A345" s="106" t="n"/>
      <c r="B345" s="106" t="n"/>
      <c r="C345" s="106" t="n"/>
      <c r="D345" s="106" t="n"/>
      <c r="E345" s="106" t="n"/>
      <c r="F345" s="106" t="n"/>
      <c r="G345" s="106" t="n"/>
      <c r="H345" s="106" t="n"/>
      <c r="I345" s="106" t="n"/>
      <c r="J345" s="106" t="n"/>
      <c r="K345" s="106" t="n"/>
      <c r="L345" s="106" t="n"/>
    </row>
    <row r="346" ht="15.75" customHeight="1">
      <c r="A346" s="106" t="n"/>
      <c r="B346" s="106" t="n"/>
      <c r="C346" s="106" t="n"/>
      <c r="D346" s="106" t="n"/>
      <c r="E346" s="106" t="n"/>
      <c r="F346" s="106" t="n"/>
      <c r="G346" s="106" t="n"/>
      <c r="H346" s="106" t="n"/>
      <c r="I346" s="106" t="n"/>
      <c r="J346" s="106" t="n"/>
      <c r="K346" s="106" t="n"/>
      <c r="L346" s="106" t="n"/>
    </row>
    <row r="347" ht="15.75" customHeight="1">
      <c r="A347" s="106" t="n"/>
      <c r="B347" s="106" t="n"/>
      <c r="C347" s="106" t="n"/>
      <c r="D347" s="106" t="n"/>
      <c r="E347" s="106" t="n"/>
      <c r="F347" s="106" t="n"/>
      <c r="G347" s="106" t="n"/>
      <c r="H347" s="106" t="n"/>
      <c r="I347" s="106" t="n"/>
      <c r="J347" s="106" t="n"/>
      <c r="K347" s="106" t="n"/>
      <c r="L347" s="106" t="n"/>
    </row>
    <row r="348" ht="15.75" customHeight="1">
      <c r="A348" s="106" t="n"/>
      <c r="B348" s="106" t="n"/>
      <c r="C348" s="106" t="n"/>
      <c r="D348" s="106" t="n"/>
      <c r="E348" s="106" t="n"/>
      <c r="F348" s="106" t="n"/>
      <c r="G348" s="106" t="n"/>
      <c r="H348" s="106" t="n"/>
      <c r="I348" s="106" t="n"/>
      <c r="J348" s="106" t="n"/>
      <c r="K348" s="106" t="n"/>
      <c r="L348" s="106" t="n"/>
    </row>
    <row r="349" ht="15.75" customHeight="1">
      <c r="A349" s="106" t="n"/>
      <c r="B349" s="106" t="n"/>
      <c r="C349" s="106" t="n"/>
      <c r="D349" s="106" t="n"/>
      <c r="E349" s="106" t="n"/>
      <c r="F349" s="106" t="n"/>
      <c r="G349" s="106" t="n"/>
      <c r="H349" s="106" t="n"/>
      <c r="I349" s="106" t="n"/>
      <c r="J349" s="106" t="n"/>
      <c r="K349" s="106" t="n"/>
      <c r="L349" s="106" t="n"/>
    </row>
    <row r="350" ht="15.75" customHeight="1">
      <c r="A350" s="106" t="n"/>
      <c r="B350" s="106" t="n"/>
      <c r="C350" s="106" t="n"/>
      <c r="D350" s="106" t="n"/>
      <c r="E350" s="106" t="n"/>
      <c r="F350" s="106" t="n"/>
      <c r="G350" s="106" t="n"/>
      <c r="H350" s="106" t="n"/>
      <c r="I350" s="106" t="n"/>
      <c r="J350" s="106" t="n"/>
      <c r="K350" s="106" t="n"/>
      <c r="L350" s="106" t="n"/>
    </row>
    <row r="351" ht="15.75" customHeight="1">
      <c r="A351" s="106" t="n"/>
      <c r="B351" s="106" t="n"/>
      <c r="C351" s="106" t="n"/>
      <c r="D351" s="106" t="n"/>
      <c r="E351" s="106" t="n"/>
      <c r="F351" s="106" t="n"/>
      <c r="G351" s="106" t="n"/>
      <c r="H351" s="106" t="n"/>
      <c r="I351" s="106" t="n"/>
      <c r="J351" s="106" t="n"/>
      <c r="K351" s="106" t="n"/>
      <c r="L351" s="106" t="n"/>
    </row>
    <row r="352" ht="15.75" customHeight="1">
      <c r="A352" s="1146" t="n"/>
    </row>
    <row r="353" ht="15.75" customHeight="1">
      <c r="A353" s="106" t="n"/>
      <c r="L353" s="106" t="n"/>
    </row>
    <row r="354" ht="15.75" customHeight="1">
      <c r="A354" s="106" t="n"/>
      <c r="L354" s="106" t="n"/>
    </row>
    <row r="355" ht="15.75" customHeight="1">
      <c r="A355" s="106" t="n"/>
      <c r="L355" s="106" t="n"/>
    </row>
    <row r="356" ht="15.75" customHeight="1">
      <c r="A356" s="106" t="n"/>
      <c r="L356" s="106" t="n"/>
    </row>
    <row r="357" ht="15.75" customHeight="1">
      <c r="A357" s="106" t="n"/>
      <c r="L357" s="106" t="n"/>
    </row>
    <row r="358" ht="15.75" customHeight="1">
      <c r="A358" s="106" t="n"/>
      <c r="L358" s="106" t="n"/>
    </row>
    <row r="359" ht="15.75" customHeight="1">
      <c r="A359" s="106" t="n"/>
      <c r="L359" s="106" t="n"/>
    </row>
    <row r="360" ht="15.75" customHeight="1">
      <c r="A360" s="106" t="n"/>
      <c r="L360" s="106" t="n"/>
    </row>
    <row r="361" ht="15.75" customHeight="1">
      <c r="A361" s="106" t="n"/>
      <c r="L361" s="106" t="n"/>
    </row>
    <row r="362" ht="15.75" customHeight="1">
      <c r="A362" s="106" t="n"/>
      <c r="L362" s="106" t="n"/>
    </row>
    <row r="363" ht="15.75" customHeight="1">
      <c r="A363" s="106" t="n"/>
      <c r="L363" s="106" t="n"/>
    </row>
    <row r="364" ht="15.75" customHeight="1">
      <c r="A364" s="106" t="n"/>
      <c r="L364" s="106" t="n"/>
    </row>
    <row r="365" ht="15.75" customHeight="1">
      <c r="A365" s="106" t="n"/>
      <c r="L365" s="106" t="n"/>
    </row>
    <row r="366" ht="15.75" customHeight="1">
      <c r="A366" s="106" t="n"/>
      <c r="L366" s="106" t="n"/>
    </row>
    <row r="367" ht="15.75" customHeight="1">
      <c r="A367" s="106" t="n"/>
      <c r="L367" s="106" t="n"/>
    </row>
    <row r="368" ht="15.75" customHeight="1">
      <c r="A368" s="106" t="n"/>
      <c r="L368" s="106" t="n"/>
    </row>
    <row r="369" ht="15.75" customHeight="1">
      <c r="A369" s="106" t="n"/>
      <c r="L369" s="106" t="n"/>
    </row>
    <row r="370" ht="15.75" customHeight="1">
      <c r="A370" s="106" t="n"/>
      <c r="L370" s="106" t="n"/>
    </row>
    <row r="371" ht="15.75" customHeight="1">
      <c r="A371" s="106" t="n"/>
      <c r="L371" s="106" t="n"/>
    </row>
    <row r="372" ht="15.75" customHeight="1">
      <c r="A372" s="106" t="n"/>
      <c r="L372" s="106" t="n"/>
    </row>
    <row r="373" ht="15.75" customHeight="1">
      <c r="A373" s="106" t="n"/>
      <c r="L373" s="106" t="n"/>
    </row>
    <row r="374" ht="15.75" customHeight="1">
      <c r="A374" s="106" t="n"/>
      <c r="L374" s="106" t="n"/>
    </row>
    <row r="375" ht="15.75" customHeight="1">
      <c r="A375" s="106" t="n"/>
      <c r="L375" s="106" t="n"/>
    </row>
    <row r="376" ht="15.75" customHeight="1">
      <c r="A376" s="106" t="n"/>
      <c r="L376" s="106" t="n"/>
    </row>
    <row r="377" ht="15.75" customHeight="1">
      <c r="A377" s="106" t="n"/>
      <c r="L377" s="106" t="n"/>
    </row>
    <row r="378" ht="15.75" customHeight="1">
      <c r="A378" s="106" t="n"/>
      <c r="L378" s="106" t="n"/>
    </row>
    <row r="379" ht="15.75" customHeight="1">
      <c r="A379" s="106" t="n"/>
      <c r="L379" s="106" t="n"/>
    </row>
    <row r="380" ht="15.75" customHeight="1">
      <c r="A380" s="106" t="n"/>
      <c r="L380" s="106" t="n"/>
    </row>
    <row r="381" ht="15.75" customHeight="1">
      <c r="A381" s="106" t="n"/>
      <c r="L381" s="106" t="n"/>
    </row>
    <row r="382" ht="15.75" customHeight="1">
      <c r="A382" s="106" t="n"/>
      <c r="L382" s="106" t="n"/>
    </row>
    <row r="383" ht="15.75" customHeight="1">
      <c r="A383" s="106" t="n"/>
      <c r="L383" s="106" t="n"/>
    </row>
    <row r="384" ht="15.75" customHeight="1">
      <c r="A384" s="106" t="n"/>
      <c r="L384" s="106" t="n"/>
    </row>
    <row r="385" ht="15.75" customHeight="1">
      <c r="A385" s="106" t="n"/>
      <c r="L385" s="106" t="n"/>
    </row>
    <row r="386" ht="15.75" customHeight="1">
      <c r="A386" s="106" t="n"/>
      <c r="L386" s="106" t="n"/>
    </row>
    <row r="387" ht="15.75" customHeight="1">
      <c r="A387" s="106" t="n"/>
      <c r="L387" s="106" t="n"/>
    </row>
    <row r="388" ht="15.75" customHeight="1">
      <c r="A388" s="106" t="n"/>
      <c r="L388" s="106" t="n"/>
    </row>
    <row r="389" ht="15.75" customHeight="1">
      <c r="A389" s="106" t="n"/>
      <c r="L389" s="106" t="n"/>
    </row>
    <row r="390" ht="15.75" customHeight="1">
      <c r="A390" s="106" t="n"/>
      <c r="L390" s="106" t="n"/>
    </row>
    <row r="391" ht="15.75" customHeight="1">
      <c r="A391" s="106" t="n"/>
      <c r="L391" s="106" t="n"/>
    </row>
    <row r="392" ht="15.75" customHeight="1">
      <c r="A392" s="106" t="n"/>
      <c r="L392" s="106" t="n"/>
    </row>
    <row r="393" ht="15.75" customHeight="1">
      <c r="A393" s="106" t="n"/>
      <c r="L393" s="106" t="n"/>
    </row>
    <row r="394" ht="15.75" customHeight="1">
      <c r="A394" s="106" t="n"/>
      <c r="L394" s="106" t="n"/>
    </row>
    <row r="395" ht="15.75" customHeight="1">
      <c r="A395" s="106" t="n"/>
      <c r="L395" s="106" t="n"/>
    </row>
    <row r="396" ht="15.75" customHeight="1">
      <c r="A396" s="106" t="n"/>
      <c r="L396" s="106" t="n"/>
    </row>
    <row r="397" ht="15.75" customHeight="1">
      <c r="A397" s="106" t="n"/>
      <c r="L397" s="106" t="n"/>
    </row>
    <row r="398" ht="15.75" customHeight="1">
      <c r="A398" s="106" t="n"/>
      <c r="L398" s="106" t="n"/>
    </row>
    <row r="399" ht="15.75" customHeight="1">
      <c r="A399" s="106" t="n"/>
      <c r="L399" s="106" t="n"/>
    </row>
    <row r="400" ht="15.75" customHeight="1">
      <c r="A400" s="106" t="n"/>
      <c r="L400" s="106" t="n"/>
    </row>
    <row r="401" ht="15.75" customHeight="1">
      <c r="A401" s="106" t="n"/>
      <c r="B401" s="106" t="n"/>
      <c r="L401" s="106" t="n"/>
    </row>
    <row r="402" ht="15.75" customHeight="1">
      <c r="A402" s="106" t="n"/>
      <c r="B402" s="106" t="n"/>
      <c r="C402" s="106" t="n"/>
      <c r="D402" s="106" t="n"/>
      <c r="E402" s="106" t="n"/>
      <c r="F402" s="106" t="n"/>
      <c r="G402" s="106" t="n"/>
      <c r="H402" s="106" t="n"/>
      <c r="I402" s="106" t="n"/>
      <c r="J402" s="106" t="n"/>
      <c r="K402" s="106" t="n"/>
      <c r="L402" s="106" t="n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</sheetData>
  <mergeCells count="47">
    <mergeCell ref="C24:D24"/>
    <mergeCell ref="E24:F24"/>
    <mergeCell ref="G28:L28"/>
    <mergeCell ref="G22:L23"/>
    <mergeCell ref="A3:L3"/>
    <mergeCell ref="A21:L21"/>
    <mergeCell ref="C26:D26"/>
    <mergeCell ref="C50:C51"/>
    <mergeCell ref="K50:K51"/>
    <mergeCell ref="G24:L24"/>
    <mergeCell ref="A33:L33"/>
    <mergeCell ref="C25:D25"/>
    <mergeCell ref="J4:J5"/>
    <mergeCell ref="L4:L5"/>
    <mergeCell ref="E28:F28"/>
    <mergeCell ref="A14:L14"/>
    <mergeCell ref="C34:L34"/>
    <mergeCell ref="G26:L26"/>
    <mergeCell ref="F50:F51"/>
    <mergeCell ref="A38:L38"/>
    <mergeCell ref="G25:L25"/>
    <mergeCell ref="A22:A23"/>
    <mergeCell ref="E22:F23"/>
    <mergeCell ref="A4:A5"/>
    <mergeCell ref="G4:G5"/>
    <mergeCell ref="C27:D27"/>
    <mergeCell ref="I4:I5"/>
    <mergeCell ref="K4:K5"/>
    <mergeCell ref="C35:L35"/>
    <mergeCell ref="E27:F27"/>
    <mergeCell ref="E26:F26"/>
    <mergeCell ref="E50:E51"/>
    <mergeCell ref="A352:L352"/>
    <mergeCell ref="G50:G51"/>
    <mergeCell ref="G27:L27"/>
    <mergeCell ref="B4:B5"/>
    <mergeCell ref="E25:F25"/>
    <mergeCell ref="F4:F5"/>
    <mergeCell ref="B22:B23"/>
    <mergeCell ref="A1:L1"/>
    <mergeCell ref="H4:H5"/>
    <mergeCell ref="C4:E4"/>
    <mergeCell ref="C28:D28"/>
    <mergeCell ref="C22:D23"/>
    <mergeCell ref="A153:L153"/>
    <mergeCell ref="D50:D51"/>
    <mergeCell ref="C36:L36"/>
  </mergeCells>
  <printOptions horizontalCentered="1"/>
  <pageMargins left="0.5905511811023623" right="0.5905511811023623" top="0.7086614173228347" bottom="0.5511811023622047" header="0" footer="0"/>
  <pageSetup orientation="portrait" scale="65"/>
  <rowBreaks count="6" manualBreakCount="6">
    <brk id="37" min="0" max="11" man="1"/>
    <brk id="85" min="0" max="11" man="1"/>
    <brk id="152" min="0" max="11" man="1"/>
    <brk id="225" min="0" max="11" man="1"/>
    <brk id="301" min="0" max="11" man="1"/>
    <brk id="351" min="0" max="11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DDD9C3"/>
    <outlinePr summaryBelow="1" summaryRight="1"/>
    <pageSetUpPr/>
  </sheetPr>
  <dimension ref="A1:L318"/>
  <sheetViews>
    <sheetView showGridLines="0" view="pageBreakPreview" topLeftCell="A43" zoomScale="94" zoomScaleNormal="160" zoomScaleSheetLayoutView="89" workbookViewId="0">
      <selection activeCell="L54" sqref="L54"/>
    </sheetView>
  </sheetViews>
  <sheetFormatPr baseColWidth="10" defaultColWidth="14.44140625" defaultRowHeight="15" customHeight="1"/>
  <cols>
    <col width="25.6640625" customWidth="1" style="1157" min="1" max="1"/>
    <col width="19.109375" customWidth="1" style="1157" min="2" max="2"/>
    <col width="11.6640625" customWidth="1" style="1157" min="3" max="3"/>
    <col hidden="1" width="11.6640625" customWidth="1" style="1157" min="4" max="4"/>
    <col width="12.33203125" customWidth="1" style="1157" min="5" max="5"/>
    <col width="17.6640625" customWidth="1" style="1157" min="6" max="6"/>
    <col width="20.33203125" customWidth="1" style="1157" min="7" max="7"/>
    <col width="17.5546875" customWidth="1" style="1157" min="8" max="8"/>
    <col width="14.44140625" customWidth="1" style="1157" min="9" max="9"/>
    <col width="9.109375" customWidth="1" style="1157" min="10" max="26"/>
    <col width="14.44140625" customWidth="1" style="1157" min="27" max="27"/>
    <col width="14.44140625" customWidth="1" style="1157" min="28" max="16384"/>
  </cols>
  <sheetData>
    <row r="1" thickBot="1">
      <c r="A1" s="1" t="inlineStr">
        <is>
          <t xml:space="preserve">3.- SUELOS </t>
        </is>
      </c>
      <c r="B1" s="2" t="n"/>
      <c r="C1" s="3" t="n"/>
      <c r="D1" s="3" t="n"/>
      <c r="E1" s="2" t="n"/>
      <c r="F1" s="4" t="n"/>
      <c r="G1" s="5" t="n"/>
      <c r="H1" s="6" t="n"/>
    </row>
    <row r="2" ht="15.6" customHeight="1">
      <c r="A2" s="8" t="n"/>
      <c r="B2" s="9" t="n"/>
      <c r="C2" s="9" t="n"/>
      <c r="D2" s="9" t="n"/>
      <c r="E2" s="9" t="n"/>
      <c r="F2" s="9" t="n"/>
      <c r="G2" s="10" t="n"/>
      <c r="H2" s="11" t="n"/>
    </row>
    <row r="3" ht="15.6" customHeight="1">
      <c r="A3" s="12" t="n"/>
      <c r="G3" s="13" t="n"/>
      <c r="H3" s="14" t="n"/>
    </row>
    <row r="4" ht="15.6" customHeight="1">
      <c r="A4" s="12" t="n"/>
      <c r="G4" s="13" t="n"/>
      <c r="H4" s="14" t="n"/>
    </row>
    <row r="5" ht="15.6" customHeight="1">
      <c r="A5" s="12" t="n"/>
      <c r="G5" s="13" t="n"/>
      <c r="H5" s="14" t="n"/>
    </row>
    <row r="6" ht="15.6" customHeight="1">
      <c r="A6" s="12" t="n"/>
      <c r="G6" s="13" t="n"/>
      <c r="H6" s="14" t="n"/>
    </row>
    <row r="7" ht="15.6" customHeight="1">
      <c r="A7" s="12" t="n"/>
      <c r="G7" s="13" t="n"/>
      <c r="H7" s="14" t="n"/>
    </row>
    <row r="8" ht="15.6" customHeight="1">
      <c r="A8" s="12" t="n"/>
      <c r="G8" s="13" t="n"/>
      <c r="H8" s="14" t="n"/>
    </row>
    <row r="9" ht="15.6" customHeight="1">
      <c r="A9" s="12" t="n"/>
      <c r="G9" s="13" t="n"/>
      <c r="H9" s="14" t="n"/>
    </row>
    <row r="10" ht="15.6" customHeight="1">
      <c r="A10" s="12" t="n"/>
      <c r="G10" s="13" t="n"/>
      <c r="H10" s="14" t="n"/>
    </row>
    <row r="11" ht="15.6" customHeight="1">
      <c r="A11" s="12" t="n"/>
      <c r="G11" s="13" t="n"/>
      <c r="H11" s="14" t="n"/>
    </row>
    <row r="12" ht="15.6" customHeight="1">
      <c r="A12" s="12" t="n"/>
      <c r="G12" s="13" t="n"/>
      <c r="H12" s="14" t="n"/>
    </row>
    <row r="13" ht="15.6" customHeight="1">
      <c r="A13" s="12" t="n"/>
      <c r="G13" s="13" t="n"/>
      <c r="H13" s="14" t="n"/>
    </row>
    <row r="14" ht="15.6" customHeight="1">
      <c r="A14" s="12" t="n"/>
      <c r="G14" s="13" t="n"/>
      <c r="H14" s="14" t="n"/>
    </row>
    <row r="15" ht="15.6" customHeight="1">
      <c r="A15" s="12" t="n"/>
      <c r="G15" s="13" t="n"/>
      <c r="H15" s="14" t="n"/>
    </row>
    <row r="16" ht="15.6" customHeight="1">
      <c r="A16" s="12" t="n"/>
      <c r="G16" s="13" t="n"/>
      <c r="H16" s="14" t="n"/>
    </row>
    <row r="17" ht="15.6" customHeight="1">
      <c r="A17" s="12" t="n"/>
      <c r="G17" s="13" t="n"/>
      <c r="H17" s="14" t="n"/>
    </row>
    <row r="18" ht="15.6" customHeight="1">
      <c r="A18" s="12" t="n"/>
      <c r="G18" s="13" t="n"/>
      <c r="H18" s="14" t="n"/>
    </row>
    <row r="19" ht="15.6" customHeight="1">
      <c r="A19" s="12" t="n"/>
      <c r="G19" s="13" t="n"/>
      <c r="H19" s="14" t="n"/>
    </row>
    <row r="20" ht="15.6" customHeight="1">
      <c r="A20" s="12" t="n"/>
      <c r="G20" s="13" t="n"/>
      <c r="H20" s="14" t="n"/>
    </row>
    <row r="21" ht="15.6" customHeight="1">
      <c r="A21" s="12" t="n"/>
      <c r="G21" s="13" t="n"/>
      <c r="H21" s="14" t="n"/>
    </row>
    <row r="22" ht="15.6" customHeight="1">
      <c r="A22" s="12" t="n"/>
      <c r="G22" s="13" t="n"/>
      <c r="H22" s="14" t="n"/>
    </row>
    <row r="23" ht="15.6" customHeight="1">
      <c r="A23" s="12" t="n"/>
      <c r="G23" s="13" t="n"/>
      <c r="H23" s="14" t="n"/>
    </row>
    <row r="24" ht="15.6" customHeight="1">
      <c r="A24" s="12" t="n"/>
      <c r="G24" s="13" t="n"/>
      <c r="H24" s="14" t="n"/>
    </row>
    <row r="25" ht="15.6" customHeight="1">
      <c r="A25" s="12" t="n"/>
      <c r="G25" s="13" t="n"/>
      <c r="H25" s="14" t="n"/>
    </row>
    <row r="26" ht="15.6" customHeight="1">
      <c r="A26" s="12" t="n"/>
      <c r="G26" s="13" t="n"/>
      <c r="H26" s="14" t="n"/>
    </row>
    <row r="27" ht="15.6" customHeight="1">
      <c r="A27" s="12" t="n"/>
      <c r="G27" s="13" t="n"/>
      <c r="H27" s="14" t="n"/>
    </row>
    <row r="28" ht="15.6" customHeight="1">
      <c r="A28" s="12" t="n"/>
      <c r="G28" s="13" t="n"/>
      <c r="H28" s="14" t="n"/>
    </row>
    <row r="29" ht="15.6" customHeight="1">
      <c r="A29" s="12" t="n"/>
      <c r="G29" s="13" t="n"/>
      <c r="H29" s="14" t="n"/>
    </row>
    <row r="30" ht="15.6" customHeight="1">
      <c r="A30" s="12" t="n"/>
      <c r="G30" s="13" t="n"/>
      <c r="H30" s="14" t="n"/>
    </row>
    <row r="31" ht="15.6" customHeight="1">
      <c r="A31" s="12" t="n"/>
      <c r="G31" s="13" t="n"/>
      <c r="H31" s="14" t="n"/>
    </row>
    <row r="32" ht="1.95" customHeight="1" thickBot="1">
      <c r="A32" s="12" t="n"/>
      <c r="B32" s="15" t="n"/>
      <c r="C32" s="15" t="n"/>
      <c r="D32" s="15" t="n"/>
      <c r="E32" s="15" t="n"/>
      <c r="F32" s="15" t="n"/>
      <c r="G32" s="13" t="n"/>
      <c r="H32" s="14" t="n"/>
    </row>
    <row r="33" ht="21" customHeight="1" thickBot="1">
      <c r="A33" s="53" t="inlineStr">
        <is>
          <t>3.1.Descripción General Suelos</t>
        </is>
      </c>
      <c r="B33" s="54" t="n"/>
      <c r="C33" s="54" t="n"/>
      <c r="D33" s="54" t="n"/>
      <c r="E33" s="55" t="n"/>
      <c r="F33" s="55" t="n"/>
      <c r="G33" s="54" t="n"/>
      <c r="H33" s="56" t="n"/>
    </row>
    <row r="34" ht="25.2" customHeight="1" thickBot="1">
      <c r="A34" s="1160" t="n"/>
      <c r="B34" s="1080" t="n"/>
      <c r="C34" s="1080" t="n"/>
      <c r="D34" s="1080" t="n"/>
      <c r="E34" s="1080" t="n"/>
      <c r="F34" s="1083" t="n"/>
      <c r="G34" s="76" t="inlineStr">
        <is>
          <t xml:space="preserve">Tipo propiedad: </t>
        </is>
      </c>
      <c r="H34" s="77" t="inlineStr">
        <is>
          <t>AGRÍCOLA</t>
        </is>
      </c>
    </row>
    <row r="35" ht="25.2" customHeight="1">
      <c r="A35" s="1107" t="n"/>
      <c r="F35" s="1066" t="n"/>
      <c r="G35" s="76" t="inlineStr">
        <is>
          <t>Coordenada E</t>
        </is>
      </c>
      <c r="H35" s="1236" t="n"/>
      <c r="L35" s="68" t="n"/>
    </row>
    <row r="36" ht="25.2" customHeight="1">
      <c r="A36" s="1107" t="n"/>
      <c r="F36" s="1066" t="n"/>
      <c r="G36" s="76" t="inlineStr">
        <is>
          <t>Coordenada S</t>
        </is>
      </c>
      <c r="H36" s="578" t="n"/>
    </row>
    <row r="37" ht="25.2" customHeight="1">
      <c r="A37" s="1107" t="n"/>
      <c r="F37" s="1066" t="n"/>
      <c r="G37" s="76" t="inlineStr">
        <is>
          <t>Ciudad + cercana:</t>
        </is>
      </c>
      <c r="H37" s="78" t="n"/>
    </row>
    <row r="38" ht="40.5" customHeight="1">
      <c r="A38" s="1107" t="n"/>
      <c r="F38" s="1066" t="n"/>
      <c r="G38" s="76" t="inlineStr">
        <is>
          <t>Distancia</t>
        </is>
      </c>
      <c r="H38" s="79" t="n"/>
    </row>
    <row r="39" ht="39" customHeight="1">
      <c r="A39" s="1107" t="n"/>
      <c r="F39" s="1066" t="n"/>
      <c r="G39" s="76" t="inlineStr">
        <is>
          <t>Ruta de acceso</t>
        </is>
      </c>
      <c r="H39" s="78" t="n"/>
    </row>
    <row r="40" ht="25.2" customHeight="1" thickBot="1">
      <c r="A40" s="1108" t="n"/>
      <c r="B40" s="1109" t="n"/>
      <c r="C40" s="1109" t="n"/>
      <c r="D40" s="1109" t="n"/>
      <c r="E40" s="1109" t="n"/>
      <c r="F40" s="1161" t="n"/>
      <c r="G40" s="80" t="inlineStr">
        <is>
          <t>Tipo de vía</t>
        </is>
      </c>
      <c r="H40" s="81" t="n"/>
    </row>
    <row r="41" ht="9" customHeight="1"/>
    <row r="42" ht="6.75" customHeight="1" thickBot="1">
      <c r="A42" s="17" t="n"/>
      <c r="B42" s="18" t="n"/>
      <c r="C42" s="18" t="n"/>
      <c r="D42" s="18" t="n"/>
      <c r="E42" s="18" t="n"/>
      <c r="F42" s="18" t="n"/>
      <c r="G42" s="18" t="n"/>
      <c r="H42" s="18" t="n"/>
    </row>
    <row r="43" ht="16.5" customHeight="1" thickBot="1">
      <c r="A43" s="551" t="inlineStr">
        <is>
          <t>3.2. VALOR SUELOS</t>
        </is>
      </c>
      <c r="B43" s="552" t="n"/>
      <c r="C43" s="552" t="n"/>
      <c r="D43" s="552" t="n"/>
      <c r="E43" s="552" t="n"/>
      <c r="F43" s="552" t="n"/>
      <c r="G43" s="552" t="n"/>
      <c r="H43" s="553" t="n"/>
    </row>
    <row r="44" ht="15.75" customHeight="1">
      <c r="A44" s="1163" t="inlineStr">
        <is>
          <t>Propiedad</t>
        </is>
      </c>
      <c r="B44" s="743" t="inlineStr">
        <is>
          <t xml:space="preserve">Rol  </t>
        </is>
      </c>
      <c r="C44" s="743" t="inlineStr">
        <is>
          <t xml:space="preserve">Clase </t>
        </is>
      </c>
      <c r="D44" s="743" t="inlineStr">
        <is>
          <t>Grado de</t>
        </is>
      </c>
      <c r="E44" s="743" t="inlineStr">
        <is>
          <t>Superficie</t>
        </is>
      </c>
      <c r="F44" s="743" t="inlineStr">
        <is>
          <t>Valor Unitario</t>
        </is>
      </c>
      <c r="G44" s="1159" t="inlineStr">
        <is>
          <t>TOTAL</t>
        </is>
      </c>
      <c r="H44" s="1118" t="n"/>
    </row>
    <row r="45" ht="15.75" customHeight="1" thickBot="1">
      <c r="A45" s="1164" t="n"/>
      <c r="B45" s="744" t="inlineStr">
        <is>
          <t>SII</t>
        </is>
      </c>
      <c r="C45" s="745" t="inlineStr">
        <is>
          <t>Uso</t>
        </is>
      </c>
      <c r="D45" s="745" t="inlineStr">
        <is>
          <t>Habilitación</t>
        </is>
      </c>
      <c r="E45" s="746" t="inlineStr">
        <is>
          <r>
            <t>m</t>
          </r>
          <r>
            <rPr>
              <rFont val="Calibri (Cuerpo)"/>
              <b val="1"/>
              <color theme="1"/>
              <sz val="12"/>
              <vertAlign val="superscript"/>
            </rPr>
            <t>2</t>
          </r>
        </is>
      </c>
      <c r="F45" s="746" t="inlineStr">
        <is>
          <r>
            <t>UF/m</t>
          </r>
          <r>
            <rPr>
              <rFont val="Calibri (Cuerpo)"/>
              <b val="1"/>
              <color theme="1"/>
              <sz val="12"/>
              <vertAlign val="superscript"/>
            </rPr>
            <t>2</t>
          </r>
        </is>
      </c>
      <c r="G45" s="747" t="inlineStr">
        <is>
          <t>$</t>
        </is>
      </c>
      <c r="H45" s="748" t="inlineStr">
        <is>
          <t>USD</t>
        </is>
      </c>
      <c r="I45" s="19" t="n"/>
    </row>
    <row r="46" ht="35.1" customHeight="1">
      <c r="A46" s="554" t="n"/>
      <c r="B46" s="59" t="n"/>
      <c r="C46" s="60" t="n"/>
      <c r="D46" s="550" t="n"/>
      <c r="E46" s="1000" t="n"/>
      <c r="F46" s="1002" t="n"/>
      <c r="G46" s="64">
        <f>F46*E46*UF</f>
        <v/>
      </c>
      <c r="H46" s="555">
        <f>G46/USD</f>
        <v/>
      </c>
      <c r="I46" s="20" t="n"/>
    </row>
    <row r="47" ht="35.1" customHeight="1" thickBot="1">
      <c r="A47" s="556" t="n"/>
      <c r="B47" s="557" t="n"/>
      <c r="C47" s="558" t="n"/>
      <c r="D47" s="559" t="n"/>
      <c r="E47" s="1001" t="n"/>
      <c r="F47" s="1003" t="n"/>
      <c r="G47" s="560">
        <f>F47*E47*UF</f>
        <v/>
      </c>
      <c r="H47" s="561">
        <f>G47/USD</f>
        <v/>
      </c>
      <c r="I47" s="20" t="n"/>
    </row>
    <row r="48" hidden="1" ht="27" customHeight="1">
      <c r="A48" s="69" t="n"/>
      <c r="B48" s="59" t="n"/>
      <c r="C48" s="60" t="n"/>
      <c r="D48" s="550" t="n"/>
      <c r="E48" s="62" t="n"/>
      <c r="F48" s="63" t="n"/>
      <c r="G48" s="64">
        <f>F48*E48</f>
        <v/>
      </c>
      <c r="H48" s="70">
        <f>G48/USD</f>
        <v/>
      </c>
      <c r="I48" s="20" t="n"/>
    </row>
    <row r="49" hidden="1" ht="27" customHeight="1">
      <c r="A49" s="69" t="n"/>
      <c r="B49" s="59" t="n"/>
      <c r="C49" s="65" t="n"/>
      <c r="D49" s="61" t="n"/>
      <c r="E49" s="62" t="n"/>
      <c r="F49" s="63" t="n"/>
      <c r="G49" s="64">
        <f>F49*E49</f>
        <v/>
      </c>
      <c r="H49" s="70">
        <f>G49/USD</f>
        <v/>
      </c>
      <c r="I49" s="20" t="n"/>
    </row>
    <row r="50" hidden="1" ht="27" customHeight="1">
      <c r="A50" s="69" t="n"/>
      <c r="B50" s="59" t="n"/>
      <c r="C50" s="65" t="n"/>
      <c r="D50" s="61" t="n"/>
      <c r="E50" s="62" t="n"/>
      <c r="F50" s="63" t="n"/>
      <c r="G50" s="64">
        <f>F50*E50</f>
        <v/>
      </c>
      <c r="H50" s="70">
        <f>G50/USD</f>
        <v/>
      </c>
      <c r="I50" s="20" t="n"/>
    </row>
    <row r="51" hidden="1" ht="27" customHeight="1">
      <c r="A51" s="69" t="n"/>
      <c r="B51" s="59" t="n"/>
      <c r="C51" s="65" t="n"/>
      <c r="D51" s="61" t="n"/>
      <c r="E51" s="62" t="n"/>
      <c r="F51" s="63" t="n"/>
      <c r="G51" s="64">
        <f>F51*E51</f>
        <v/>
      </c>
      <c r="H51" s="70">
        <f>G51/USD</f>
        <v/>
      </c>
      <c r="I51" s="20" t="n"/>
    </row>
    <row r="52" hidden="1" ht="27" customHeight="1">
      <c r="A52" s="69" t="n"/>
      <c r="B52" s="59" t="n"/>
      <c r="C52" s="65" t="n"/>
      <c r="D52" s="61" t="n"/>
      <c r="E52" s="62" t="n"/>
      <c r="F52" s="63" t="n"/>
      <c r="G52" s="64">
        <f>F52*E52</f>
        <v/>
      </c>
      <c r="H52" s="70">
        <f>G52/USD</f>
        <v/>
      </c>
      <c r="I52" s="20" t="n"/>
    </row>
    <row r="53" hidden="1" ht="27" customHeight="1" thickBot="1">
      <c r="A53" s="71" t="n"/>
      <c r="B53" s="72" t="n"/>
      <c r="C53" s="1004" t="n"/>
      <c r="D53" s="1005" t="n"/>
      <c r="E53" s="1006" t="n"/>
      <c r="F53" s="73" t="n"/>
      <c r="G53" s="74">
        <f>F53*E53</f>
        <v/>
      </c>
      <c r="H53" s="75">
        <f>G53/USD</f>
        <v/>
      </c>
      <c r="I53" s="20" t="n"/>
    </row>
    <row r="54" ht="18.75" customHeight="1" thickBot="1">
      <c r="A54" s="58" t="n"/>
      <c r="B54" s="57" t="n"/>
      <c r="C54" s="1010" t="inlineStr">
        <is>
          <r>
            <t>m</t>
          </r>
          <r>
            <rPr>
              <rFont val="Calibri (Cuerpo)"/>
              <b val="1"/>
              <color theme="1"/>
              <sz val="12"/>
              <vertAlign val="superscript"/>
            </rPr>
            <t>2</t>
          </r>
        </is>
      </c>
      <c r="D54" s="1011" t="n"/>
      <c r="E54" s="1014">
        <f>SUM(E46:E53)</f>
        <v/>
      </c>
      <c r="F54" s="58" t="n"/>
      <c r="G54" s="66">
        <f>SUM(G46:G53)</f>
        <v/>
      </c>
      <c r="H54" s="67">
        <f>SUM(H46:H53)</f>
        <v/>
      </c>
      <c r="I54" s="22" t="n"/>
    </row>
    <row r="55" ht="18.75" customHeight="1" thickBot="1">
      <c r="A55" s="58" t="n"/>
      <c r="B55" s="57" t="n"/>
      <c r="C55" s="1012" t="inlineStr">
        <is>
          <t>ha</t>
        </is>
      </c>
      <c r="D55" s="1013" t="n"/>
      <c r="E55" s="1007">
        <f>E54/10000</f>
        <v/>
      </c>
      <c r="F55" s="58" t="n"/>
      <c r="G55" s="1008" t="n"/>
      <c r="H55" s="1009" t="n"/>
      <c r="I55" s="22" t="n"/>
    </row>
    <row r="56" ht="10.5" customHeight="1">
      <c r="A56" s="23" t="n"/>
      <c r="B56" s="24" t="n"/>
      <c r="C56" s="25" t="n"/>
      <c r="D56" s="25" t="n"/>
      <c r="E56" s="26" t="n"/>
      <c r="F56" s="27" t="n"/>
      <c r="G56" s="28" t="n"/>
      <c r="H56" s="28" t="n"/>
      <c r="I56" s="20" t="n"/>
    </row>
    <row r="57" hidden="1" ht="10.5" customHeight="1">
      <c r="A57" s="34" t="inlineStr">
        <is>
          <t>3.4. MOSAICO DE ROLES</t>
        </is>
      </c>
      <c r="B57" s="35" t="n"/>
      <c r="C57" s="35" t="n"/>
      <c r="D57" s="35" t="n"/>
      <c r="E57" s="35" t="n"/>
      <c r="F57" s="35" t="n"/>
      <c r="G57" s="35" t="n"/>
      <c r="H57" s="36" t="n"/>
      <c r="I57" s="20" t="n"/>
    </row>
    <row r="58" ht="15" customHeight="1">
      <c r="A58" s="37" t="n"/>
      <c r="B58" s="37" t="n"/>
      <c r="C58" s="37" t="n"/>
      <c r="D58" s="37" t="n"/>
      <c r="E58" s="37" t="n"/>
      <c r="F58" s="37" t="n"/>
      <c r="G58" s="37" t="n"/>
      <c r="H58" s="37" t="n"/>
      <c r="I58" s="20" t="n"/>
    </row>
    <row r="59" ht="22.95" customHeight="1">
      <c r="A59" s="1165" t="inlineStr">
        <is>
          <t>PERÍMETRO,CLASIFICACIÓN DE USO DE SUELOS Y UBICACIÓN DENTRO DEL PRC,   SEGÚN CARTOGRAFÍA DE CIREN (visor.sitrural.cl)</t>
        </is>
      </c>
      <c r="B59" s="1060" t="n"/>
      <c r="C59" s="1060" t="n"/>
      <c r="D59" s="1060" t="n"/>
      <c r="E59" s="1060" t="n"/>
      <c r="F59" s="1060" t="n"/>
      <c r="G59" s="1060" t="n"/>
      <c r="H59" s="1061" t="n"/>
      <c r="I59" s="20" t="n"/>
    </row>
    <row r="60" ht="15" customHeight="1">
      <c r="A60" s="562" t="n"/>
      <c r="B60" s="37" t="n"/>
      <c r="C60" s="37" t="n"/>
      <c r="D60" s="37" t="n"/>
      <c r="E60" s="37" t="n"/>
      <c r="F60" s="37" t="n"/>
      <c r="G60" s="37" t="n"/>
      <c r="H60" s="563" t="n"/>
      <c r="I60" s="20" t="n"/>
    </row>
    <row r="61" ht="15" customHeight="1">
      <c r="A61" s="562" t="n"/>
      <c r="B61" s="564" t="n"/>
      <c r="C61" s="37" t="n"/>
      <c r="D61" s="37" t="n"/>
      <c r="E61" s="37" t="n"/>
      <c r="F61" s="37" t="n"/>
      <c r="G61" s="37" t="n"/>
      <c r="H61" s="563" t="n"/>
      <c r="I61" s="20" t="n"/>
    </row>
    <row r="62" ht="15" customHeight="1">
      <c r="A62" s="562" t="n"/>
      <c r="B62" s="37" t="n"/>
      <c r="C62" s="37" t="n"/>
      <c r="D62" s="37" t="n"/>
      <c r="E62" s="37" t="n"/>
      <c r="F62" s="37" t="n"/>
      <c r="G62" s="37" t="n"/>
      <c r="H62" s="563" t="n"/>
      <c r="I62" s="20" t="n"/>
    </row>
    <row r="63" ht="15" customHeight="1">
      <c r="A63" s="562" t="n"/>
      <c r="B63" s="37" t="n"/>
      <c r="C63" s="37" t="n"/>
      <c r="D63" s="37" t="n"/>
      <c r="E63" s="37" t="n"/>
      <c r="F63" s="37" t="n"/>
      <c r="G63" s="37" t="n"/>
      <c r="H63" s="563" t="n"/>
      <c r="I63" s="20" t="n"/>
    </row>
    <row r="64" ht="15" customHeight="1">
      <c r="A64" s="562" t="n"/>
      <c r="B64" s="37" t="n"/>
      <c r="C64" s="37" t="n"/>
      <c r="D64" s="37" t="n"/>
      <c r="E64" s="37" t="n"/>
      <c r="F64" s="37" t="n"/>
      <c r="G64" s="37" t="n"/>
      <c r="H64" s="563" t="n"/>
      <c r="I64" s="20" t="n"/>
    </row>
    <row r="65" ht="15" customHeight="1">
      <c r="A65" s="562" t="n"/>
      <c r="B65" s="37" t="n"/>
      <c r="C65" s="37" t="n"/>
      <c r="D65" s="37" t="n"/>
      <c r="E65" s="37" t="n"/>
      <c r="F65" s="37" t="n"/>
      <c r="G65" s="37" t="n"/>
      <c r="H65" s="563" t="n"/>
      <c r="I65" s="20" t="n"/>
    </row>
    <row r="66" ht="15" customHeight="1">
      <c r="A66" s="562" t="n"/>
      <c r="B66" s="37" t="n"/>
      <c r="C66" s="37" t="n"/>
      <c r="D66" s="37" t="n"/>
      <c r="E66" s="37" t="n"/>
      <c r="F66" s="37" t="n"/>
      <c r="G66" s="37" t="n"/>
      <c r="H66" s="563" t="n"/>
      <c r="I66" s="20" t="n"/>
    </row>
    <row r="67" ht="15" customHeight="1">
      <c r="A67" s="562" t="n"/>
      <c r="B67" s="37" t="n"/>
      <c r="C67" s="37" t="n"/>
      <c r="D67" s="37" t="n"/>
      <c r="E67" s="37" t="n"/>
      <c r="F67" s="37" t="n"/>
      <c r="G67" s="37" t="n"/>
      <c r="H67" s="563" t="n"/>
      <c r="I67" s="20" t="n"/>
    </row>
    <row r="68" ht="15" customHeight="1">
      <c r="A68" s="562" t="n"/>
      <c r="B68" s="37" t="n"/>
      <c r="C68" s="37" t="n"/>
      <c r="D68" s="37" t="n"/>
      <c r="E68" s="37" t="n"/>
      <c r="F68" s="37" t="n"/>
      <c r="G68" s="37" t="n"/>
      <c r="H68" s="563" t="n"/>
      <c r="I68" s="20" t="n"/>
    </row>
    <row r="69" ht="15" customHeight="1">
      <c r="A69" s="562" t="n"/>
      <c r="B69" s="37" t="n"/>
      <c r="C69" s="37" t="n"/>
      <c r="D69" s="37" t="n"/>
      <c r="E69" s="37" t="n"/>
      <c r="F69" s="37" t="n"/>
      <c r="G69" s="37" t="n"/>
      <c r="H69" s="563" t="n"/>
      <c r="I69" s="20" t="n"/>
    </row>
    <row r="70" ht="15" customHeight="1">
      <c r="A70" s="562" t="n"/>
      <c r="B70" s="37" t="n"/>
      <c r="C70" s="37" t="n"/>
      <c r="D70" s="37" t="n"/>
      <c r="E70" s="37" t="n"/>
      <c r="F70" s="37" t="n"/>
      <c r="G70" s="37" t="n"/>
      <c r="H70" s="563" t="n"/>
      <c r="I70" s="20" t="n"/>
    </row>
    <row r="71" ht="15" customHeight="1">
      <c r="A71" s="562" t="n"/>
      <c r="B71" s="37" t="n"/>
      <c r="C71" s="37" t="n"/>
      <c r="D71" s="37" t="n"/>
      <c r="E71" s="37" t="n"/>
      <c r="F71" s="37" t="n"/>
      <c r="G71" s="37" t="n"/>
      <c r="H71" s="563" t="n"/>
      <c r="I71" s="20" t="n"/>
    </row>
    <row r="72" ht="15" customHeight="1">
      <c r="A72" s="562" t="n"/>
      <c r="B72" s="37" t="n"/>
      <c r="C72" s="37" t="n"/>
      <c r="D72" s="37" t="n"/>
      <c r="E72" s="37" t="n"/>
      <c r="F72" s="37" t="n"/>
      <c r="G72" s="37" t="n"/>
      <c r="H72" s="563" t="n"/>
      <c r="I72" s="20" t="n"/>
    </row>
    <row r="73" ht="15" customHeight="1">
      <c r="A73" s="565" t="n"/>
      <c r="B73" s="37" t="n"/>
      <c r="C73" s="37" t="n"/>
      <c r="D73" s="37" t="n"/>
      <c r="E73" s="37" t="n"/>
      <c r="F73" s="37" t="n"/>
      <c r="G73" s="37" t="n"/>
      <c r="H73" s="563" t="n"/>
      <c r="I73" s="20" t="n"/>
    </row>
    <row r="74" ht="15" customHeight="1">
      <c r="A74" s="562" t="n"/>
      <c r="B74" s="37" t="n"/>
      <c r="C74" s="37" t="n"/>
      <c r="D74" s="37" t="n"/>
      <c r="E74" s="37" t="n"/>
      <c r="F74" s="37" t="n"/>
      <c r="G74" s="37" t="n"/>
      <c r="H74" s="563" t="n"/>
      <c r="I74" s="20" t="n"/>
    </row>
    <row r="75" ht="15" customHeight="1">
      <c r="A75" s="562" t="n"/>
      <c r="B75" s="37" t="n"/>
      <c r="C75" s="37" t="n"/>
      <c r="D75" s="37" t="n"/>
      <c r="E75" s="37" t="n"/>
      <c r="F75" s="37" t="n"/>
      <c r="G75" s="37" t="n"/>
      <c r="H75" s="563" t="n"/>
      <c r="I75" s="20" t="n"/>
    </row>
    <row r="76" ht="15" customHeight="1">
      <c r="A76" s="562" t="n"/>
      <c r="B76" s="37" t="n"/>
      <c r="C76" s="37" t="n"/>
      <c r="D76" s="37" t="n"/>
      <c r="E76" s="37" t="n"/>
      <c r="F76" s="37" t="n"/>
      <c r="G76" s="37" t="n"/>
      <c r="H76" s="563" t="n"/>
      <c r="I76" s="20" t="n"/>
    </row>
    <row r="77" ht="69" customHeight="1">
      <c r="A77" s="562" t="n"/>
      <c r="B77" s="37" t="n"/>
      <c r="C77" s="37" t="n"/>
      <c r="D77" s="37" t="n"/>
      <c r="E77" s="37" t="n"/>
      <c r="F77" s="37" t="n"/>
      <c r="G77" s="37" t="n"/>
      <c r="H77" s="563" t="n"/>
      <c r="I77" s="20" t="n"/>
    </row>
    <row r="78" ht="15" customHeight="1">
      <c r="A78" s="562" t="n"/>
      <c r="B78" s="37" t="n"/>
      <c r="C78" s="37" t="n"/>
      <c r="D78" s="37" t="n"/>
      <c r="E78" s="37" t="n"/>
      <c r="F78" s="37" t="n"/>
      <c r="G78" s="37" t="n"/>
      <c r="H78" s="566" t="n"/>
      <c r="I78" s="20" t="n"/>
    </row>
    <row r="79" ht="15" customHeight="1">
      <c r="A79" s="562" t="n"/>
      <c r="B79" s="37" t="n"/>
      <c r="C79" s="37" t="n"/>
      <c r="D79" s="37" t="n"/>
      <c r="E79" s="37" t="n"/>
      <c r="F79" s="37" t="n"/>
      <c r="G79" s="37" t="n"/>
      <c r="H79" s="566" t="n"/>
      <c r="I79" s="20" t="n"/>
    </row>
    <row r="80" ht="15" customHeight="1">
      <c r="A80" s="562" t="n"/>
      <c r="B80" s="37" t="n"/>
      <c r="C80" s="37" t="n"/>
      <c r="D80" s="37" t="n"/>
      <c r="E80" s="37" t="n"/>
      <c r="F80" s="37" t="n"/>
      <c r="G80" s="37" t="n"/>
      <c r="H80" s="566" t="n"/>
      <c r="I80" s="20" t="n"/>
    </row>
    <row r="81" ht="15" customHeight="1">
      <c r="A81" s="562" t="n"/>
      <c r="B81" s="37" t="n"/>
      <c r="C81" s="37" t="n"/>
      <c r="D81" s="37" t="n"/>
      <c r="E81" s="37" t="n"/>
      <c r="F81" s="37" t="n"/>
      <c r="G81" s="37" t="n"/>
      <c r="H81" s="566" t="n"/>
      <c r="I81" s="20" t="n"/>
    </row>
    <row r="82" ht="15" customHeight="1">
      <c r="A82" s="562" t="n"/>
      <c r="B82" s="37" t="n"/>
      <c r="C82" s="37" t="n"/>
      <c r="D82" s="37" t="n"/>
      <c r="E82" s="37" t="n"/>
      <c r="F82" s="37" t="n"/>
      <c r="G82" s="37" t="n"/>
      <c r="H82" s="566" t="n"/>
      <c r="I82" s="20" t="n"/>
    </row>
    <row r="83" ht="15" customHeight="1">
      <c r="A83" s="562" t="n"/>
      <c r="B83" s="37" t="n"/>
      <c r="C83" s="37" t="n"/>
      <c r="D83" s="37" t="n"/>
      <c r="E83" s="37" t="n"/>
      <c r="F83" s="37" t="n"/>
      <c r="G83" s="37" t="n"/>
      <c r="H83" s="566" t="n"/>
      <c r="I83" s="20" t="n"/>
    </row>
    <row r="84" ht="15" customHeight="1">
      <c r="A84" s="562" t="n"/>
      <c r="B84" s="37" t="n"/>
      <c r="C84" s="37" t="n"/>
      <c r="D84" s="37" t="n"/>
      <c r="E84" s="37" t="n"/>
      <c r="F84" s="37" t="n"/>
      <c r="G84" s="37" t="n"/>
      <c r="H84" s="566" t="n"/>
      <c r="I84" s="20" t="n"/>
    </row>
    <row r="85" ht="15" customHeight="1">
      <c r="A85" s="562" t="n"/>
      <c r="B85" s="37" t="n"/>
      <c r="C85" s="37" t="n"/>
      <c r="D85" s="37" t="n"/>
      <c r="E85" s="37" t="n"/>
      <c r="F85" s="37" t="n"/>
      <c r="G85" s="37" t="n"/>
      <c r="H85" s="566" t="n"/>
      <c r="I85" s="20" t="n"/>
    </row>
    <row r="86" ht="15" customHeight="1">
      <c r="A86" s="562" t="n"/>
      <c r="B86" s="37" t="n"/>
      <c r="C86" s="37" t="n"/>
      <c r="D86" s="37" t="n"/>
      <c r="E86" s="37" t="n"/>
      <c r="F86" s="37" t="n"/>
      <c r="G86" s="37" t="n"/>
      <c r="H86" s="566" t="n"/>
      <c r="I86" s="20" t="n"/>
    </row>
    <row r="87" ht="15" customHeight="1">
      <c r="A87" s="562" t="n"/>
      <c r="B87" s="37" t="n"/>
      <c r="C87" s="37" t="n"/>
      <c r="D87" s="37" t="n"/>
      <c r="E87" s="37" t="n"/>
      <c r="F87" s="37" t="n"/>
      <c r="G87" s="37" t="n"/>
      <c r="H87" s="566" t="n"/>
      <c r="I87" s="20" t="n"/>
    </row>
    <row r="88" ht="15" customHeight="1">
      <c r="A88" s="562" t="n"/>
      <c r="B88" s="37" t="n"/>
      <c r="C88" s="37" t="n"/>
      <c r="D88" s="37" t="n"/>
      <c r="E88" s="37" t="n"/>
      <c r="F88" s="37" t="n"/>
      <c r="G88" s="37" t="n"/>
      <c r="H88" s="566" t="n"/>
      <c r="I88" s="20" t="n"/>
    </row>
    <row r="89" ht="15" customHeight="1">
      <c r="A89" s="562" t="n"/>
      <c r="B89" s="37" t="n"/>
      <c r="C89" s="37" t="n"/>
      <c r="D89" s="37" t="n"/>
      <c r="E89" s="37" t="n"/>
      <c r="F89" s="37" t="n"/>
      <c r="G89" s="37" t="n"/>
      <c r="H89" s="566" t="n"/>
      <c r="I89" s="20" t="n"/>
    </row>
    <row r="90" ht="15" customHeight="1">
      <c r="A90" s="562" t="n"/>
      <c r="B90" s="37" t="n"/>
      <c r="C90" s="37" t="n"/>
      <c r="D90" s="37" t="n"/>
      <c r="E90" s="37" t="n"/>
      <c r="F90" s="37" t="n"/>
      <c r="G90" s="37" t="n"/>
      <c r="H90" s="566" t="n"/>
      <c r="I90" s="20" t="n"/>
    </row>
    <row r="91" ht="15" customHeight="1">
      <c r="A91" s="562" t="n"/>
      <c r="B91" s="37" t="n"/>
      <c r="C91" s="37" t="n"/>
      <c r="D91" s="37" t="n"/>
      <c r="E91" s="37" t="n"/>
      <c r="F91" s="37" t="n"/>
      <c r="G91" s="37" t="n"/>
      <c r="H91" s="566" t="n"/>
      <c r="I91" s="20" t="n"/>
    </row>
    <row r="92" ht="15" customHeight="1">
      <c r="A92" s="562" t="n"/>
      <c r="B92" s="37" t="n"/>
      <c r="C92" s="37" t="n"/>
      <c r="D92" s="37" t="n"/>
      <c r="E92" s="37" t="n"/>
      <c r="F92" s="37" t="n"/>
      <c r="G92" s="37" t="n"/>
      <c r="H92" s="566" t="n"/>
      <c r="I92" s="20" t="n"/>
    </row>
    <row r="93" ht="15" customHeight="1">
      <c r="A93" s="562" t="n"/>
      <c r="B93" s="37" t="n"/>
      <c r="C93" s="37" t="n"/>
      <c r="D93" s="37" t="n"/>
      <c r="E93" s="37" t="n"/>
      <c r="F93" s="37" t="n"/>
      <c r="G93" s="37" t="n"/>
      <c r="H93" s="563" t="n"/>
      <c r="I93" s="20" t="n"/>
    </row>
    <row r="94" ht="15" customHeight="1">
      <c r="A94" s="565" t="n"/>
      <c r="B94" s="37" t="n"/>
      <c r="C94" s="37" t="n"/>
      <c r="D94" s="37" t="n"/>
      <c r="E94" s="37" t="n"/>
      <c r="F94" s="37" t="n"/>
      <c r="G94" s="37" t="n"/>
      <c r="H94" s="563" t="n"/>
      <c r="I94" s="20" t="n"/>
    </row>
    <row r="95" ht="104.25" customHeight="1">
      <c r="A95" s="562" t="n"/>
      <c r="B95" s="37" t="n"/>
      <c r="C95" s="37" t="n"/>
      <c r="D95" s="37" t="n"/>
      <c r="E95" s="37" t="n"/>
      <c r="F95" s="37" t="n"/>
      <c r="G95" s="37" t="n"/>
      <c r="H95" s="563" t="n"/>
      <c r="I95" s="20" t="n"/>
    </row>
    <row r="96" ht="18" customHeight="1">
      <c r="A96" s="562" t="n"/>
      <c r="B96" s="37" t="n"/>
      <c r="C96" s="37" t="n"/>
      <c r="D96" s="37" t="n"/>
      <c r="E96" s="37" t="n"/>
      <c r="F96" s="37" t="n"/>
      <c r="G96" s="37" t="n"/>
      <c r="H96" s="563" t="n"/>
      <c r="I96" s="20" t="n"/>
    </row>
    <row r="97" ht="20.25" customHeight="1">
      <c r="A97" s="567" t="n"/>
      <c r="B97" s="568" t="n"/>
      <c r="C97" s="568" t="n"/>
      <c r="D97" s="568" t="n"/>
      <c r="E97" s="568" t="n"/>
      <c r="F97" s="568" t="n"/>
      <c r="G97" s="568" t="n"/>
      <c r="H97" s="569" t="n"/>
      <c r="I97" s="20" t="n"/>
    </row>
    <row r="98" ht="15" customHeight="1">
      <c r="A98" s="37" t="n"/>
      <c r="B98" s="37" t="n"/>
      <c r="C98" s="37" t="n"/>
      <c r="D98" s="37" t="n"/>
      <c r="E98" s="37" t="n"/>
      <c r="F98" s="37" t="n"/>
      <c r="G98" s="37" t="n"/>
      <c r="H98" s="37" t="n"/>
      <c r="I98" s="20" t="n"/>
    </row>
    <row r="99" ht="15" customHeight="1">
      <c r="A99" s="37" t="n"/>
      <c r="B99" s="37" t="n"/>
      <c r="C99" s="37" t="n"/>
      <c r="D99" s="37" t="n"/>
      <c r="E99" s="37" t="n"/>
      <c r="F99" s="37" t="n"/>
      <c r="G99" s="37" t="n"/>
      <c r="H99" s="37" t="n"/>
      <c r="I99" s="20" t="n"/>
    </row>
    <row r="100" ht="15" customHeight="1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20" t="n"/>
    </row>
    <row r="101" ht="15" customHeight="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20" t="n"/>
    </row>
    <row r="102" ht="15" customHeight="1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20" t="n"/>
    </row>
    <row r="103" ht="15" customHeight="1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20" t="n"/>
    </row>
    <row r="104" ht="15" customHeight="1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20" t="n"/>
    </row>
    <row r="105" ht="15" customHeight="1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20" t="n"/>
    </row>
    <row r="106" ht="15" customHeight="1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20" t="n"/>
    </row>
    <row r="107" ht="15" customHeight="1">
      <c r="A107" s="38" t="n"/>
      <c r="B107" s="37" t="n"/>
      <c r="C107" s="37" t="n"/>
      <c r="D107" s="37" t="n"/>
      <c r="E107" s="37" t="n"/>
      <c r="F107" s="37" t="n"/>
      <c r="G107" s="37" t="n"/>
      <c r="H107" s="37" t="n"/>
      <c r="I107" s="20" t="n"/>
    </row>
    <row r="108" ht="15" customHeight="1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20" t="n"/>
    </row>
    <row r="109" ht="15" customHeight="1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20" t="n"/>
    </row>
    <row r="110" ht="15" customHeight="1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20" t="n"/>
    </row>
    <row r="111" ht="15" customHeight="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20" t="n"/>
    </row>
    <row r="112" ht="15" customHeight="1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20" t="n"/>
    </row>
    <row r="113" ht="15" customHeight="1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20" t="n"/>
    </row>
    <row r="114" ht="15" customHeight="1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20" t="n"/>
    </row>
    <row r="115" ht="15" customHeight="1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20" t="n"/>
    </row>
    <row r="116" ht="15" customHeight="1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20" t="n"/>
    </row>
    <row r="117" ht="15" customHeight="1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20" t="n"/>
    </row>
    <row r="118" ht="15" customHeight="1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20" t="n"/>
    </row>
    <row r="119" ht="15" customHeight="1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20" t="n"/>
    </row>
    <row r="120" ht="15" customHeight="1">
      <c r="A120" s="38" t="n"/>
      <c r="B120" s="37" t="n"/>
      <c r="C120" s="37" t="n"/>
      <c r="D120" s="37" t="n"/>
      <c r="E120" s="37" t="n"/>
      <c r="F120" s="37" t="n"/>
      <c r="G120" s="37" t="n"/>
      <c r="H120" s="37" t="n"/>
      <c r="I120" s="20" t="n"/>
    </row>
    <row r="121" ht="15" customHeight="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20" t="n"/>
    </row>
    <row r="122" ht="15" customHeight="1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20" t="n"/>
    </row>
    <row r="123" ht="15" customHeight="1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20" t="n"/>
    </row>
    <row r="124" ht="15" customHeight="1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20" t="n"/>
    </row>
    <row r="125" ht="15" customHeight="1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20" t="n"/>
    </row>
    <row r="126" ht="15" customHeight="1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20" t="n"/>
    </row>
    <row r="127" ht="15" customHeight="1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20" t="n"/>
    </row>
    <row r="128" ht="15" customHeight="1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20" t="n"/>
    </row>
    <row r="129" ht="15" customHeight="1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20" t="n"/>
    </row>
    <row r="130" ht="15" customHeight="1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20" t="n"/>
    </row>
    <row r="131" ht="15" customHeight="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20" t="n"/>
    </row>
    <row r="132" ht="15" customHeight="1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20" t="n"/>
    </row>
    <row r="133" ht="15" customHeight="1">
      <c r="A133" s="38" t="n"/>
      <c r="B133" s="37" t="n"/>
      <c r="C133" s="37" t="n"/>
      <c r="D133" s="37" t="n"/>
      <c r="E133" s="37" t="n"/>
      <c r="F133" s="37" t="n"/>
      <c r="G133" s="37" t="n"/>
      <c r="H133" s="37" t="n"/>
      <c r="I133" s="20" t="n"/>
    </row>
    <row r="134" ht="15" customHeight="1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20" t="n"/>
    </row>
    <row r="135" ht="15" customHeight="1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20" t="n"/>
    </row>
    <row r="136" ht="15" customHeight="1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20" t="n"/>
    </row>
    <row r="137" ht="15" customHeight="1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20" t="n"/>
    </row>
    <row r="138" ht="15" customHeight="1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20" t="n"/>
    </row>
    <row r="139" ht="15" customHeight="1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20" t="n"/>
    </row>
    <row r="140" ht="15" customHeight="1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20" t="n"/>
    </row>
    <row r="141" ht="15" customHeight="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20" t="n"/>
    </row>
    <row r="142" ht="15" customHeight="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20" t="n"/>
    </row>
    <row r="143" ht="15" customHeight="1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20" t="n"/>
    </row>
    <row r="144" ht="15" customHeight="1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20" t="n"/>
    </row>
    <row r="145" ht="15" customHeight="1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20" t="n"/>
    </row>
    <row r="146" ht="15" customHeight="1">
      <c r="A146" s="38" t="n"/>
      <c r="B146" s="37" t="n"/>
      <c r="C146" s="37" t="n"/>
      <c r="D146" s="37" t="n"/>
      <c r="E146" s="37" t="n"/>
      <c r="F146" s="37" t="n"/>
      <c r="G146" s="37" t="n"/>
      <c r="H146" s="37" t="n"/>
      <c r="I146" s="20" t="n"/>
    </row>
    <row r="147" ht="15" customHeight="1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20" t="n"/>
    </row>
    <row r="148" ht="15" customHeight="1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20" t="n"/>
    </row>
    <row r="149" ht="15" customHeight="1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20" t="n"/>
    </row>
    <row r="150" ht="15" customHeight="1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20" t="n"/>
    </row>
    <row r="151" ht="15" customHeight="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20" t="n"/>
    </row>
    <row r="152" ht="15" customHeight="1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20" t="n"/>
    </row>
    <row r="153" ht="15" customHeight="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20" t="n"/>
    </row>
    <row r="154" ht="15" customHeight="1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20" t="n"/>
    </row>
    <row r="155" ht="15" customHeight="1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20" t="n"/>
    </row>
    <row r="156" ht="15" customHeight="1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20" t="n"/>
    </row>
    <row r="157" ht="15" customHeight="1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20" t="n"/>
    </row>
    <row r="158" ht="15" customHeight="1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20" t="n"/>
    </row>
    <row r="159" ht="15" customHeight="1">
      <c r="A159" s="38" t="n"/>
      <c r="B159" s="37" t="n"/>
      <c r="C159" s="37" t="n"/>
      <c r="D159" s="37" t="n"/>
      <c r="E159" s="37" t="n"/>
      <c r="F159" s="37" t="n"/>
      <c r="G159" s="37" t="n"/>
      <c r="H159" s="37" t="n"/>
      <c r="I159" s="20" t="n"/>
    </row>
    <row r="160" ht="15" customHeight="1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20" t="n"/>
    </row>
    <row r="161" ht="15" customHeight="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20" t="n"/>
    </row>
    <row r="162" ht="15" customHeight="1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20" t="n"/>
    </row>
    <row r="163" ht="15" customHeight="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20" t="n"/>
    </row>
    <row r="164" ht="15" customHeight="1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20" t="n"/>
    </row>
    <row r="165" ht="15" customHeight="1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20" t="n"/>
    </row>
    <row r="166" ht="15" customHeight="1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20" t="n"/>
    </row>
    <row r="167" ht="15" customHeight="1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20" t="n"/>
    </row>
    <row r="168" ht="15" customHeight="1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20" t="n"/>
    </row>
    <row r="169" ht="15" customHeight="1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20" t="n"/>
    </row>
    <row r="170" ht="15" customHeight="1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20" t="n"/>
    </row>
    <row r="171" ht="15" customHeight="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20" t="n"/>
    </row>
    <row r="172" ht="15" customHeight="1">
      <c r="A172" s="38" t="n"/>
      <c r="B172" s="37" t="n"/>
      <c r="C172" s="37" t="n"/>
      <c r="D172" s="37" t="n"/>
      <c r="E172" s="37" t="n"/>
      <c r="F172" s="37" t="n"/>
      <c r="G172" s="37" t="n"/>
      <c r="H172" s="37" t="n"/>
      <c r="I172" s="20" t="n"/>
    </row>
    <row r="173" ht="15" customHeight="1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20" t="n"/>
    </row>
    <row r="174" ht="15" customHeight="1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20" t="n"/>
    </row>
    <row r="175" ht="15" customHeight="1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20" t="n"/>
    </row>
    <row r="176" ht="15" customHeight="1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20" t="n"/>
    </row>
    <row r="177" ht="15" customHeight="1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20" t="n"/>
    </row>
    <row r="178" ht="15" customHeight="1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20" t="n"/>
    </row>
    <row r="179" ht="15" customHeight="1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20" t="n"/>
    </row>
    <row r="180" ht="15" customHeight="1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20" t="n"/>
    </row>
    <row r="181" ht="15" customHeight="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20" t="n"/>
    </row>
    <row r="182" ht="15" customHeight="1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20" t="n"/>
    </row>
    <row r="183" ht="15" customHeight="1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20" t="n"/>
    </row>
    <row r="184" ht="15" customHeight="1">
      <c r="A184" s="38" t="n"/>
      <c r="B184" s="37" t="n"/>
      <c r="C184" s="37" t="n"/>
      <c r="D184" s="37" t="n"/>
      <c r="E184" s="37" t="n"/>
      <c r="F184" s="37" t="n"/>
      <c r="G184" s="37" t="n"/>
      <c r="H184" s="37" t="n"/>
      <c r="I184" s="20" t="n"/>
    </row>
    <row r="185" ht="15" customHeight="1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20" t="n"/>
    </row>
    <row r="186" ht="15" customHeight="1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20" t="n"/>
    </row>
    <row r="187" ht="15" customHeight="1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20" t="n"/>
    </row>
    <row r="188" ht="15" customHeight="1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20" t="n"/>
    </row>
    <row r="189" ht="15" customHeight="1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20" t="n"/>
    </row>
    <row r="190" ht="15" customHeight="1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20" t="n"/>
    </row>
    <row r="191" ht="15" customHeight="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20" t="n"/>
    </row>
    <row r="192" ht="15" customHeight="1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20" t="n"/>
    </row>
    <row r="193" ht="15" customHeight="1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20" t="n"/>
    </row>
    <row r="194" ht="15" customHeight="1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20" t="n"/>
    </row>
    <row r="195" ht="15" customHeight="1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20" t="n"/>
    </row>
    <row r="196" ht="15" customHeight="1">
      <c r="A196" s="38" t="n"/>
      <c r="B196" s="37" t="n"/>
      <c r="C196" s="37" t="n"/>
      <c r="D196" s="37" t="n"/>
      <c r="E196" s="37" t="n"/>
      <c r="F196" s="37" t="n"/>
      <c r="G196" s="37" t="n"/>
      <c r="H196" s="37" t="n"/>
      <c r="I196" s="20" t="n"/>
    </row>
    <row r="197" ht="15" customHeight="1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20" t="n"/>
    </row>
    <row r="198" ht="15" customHeight="1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20" t="n"/>
    </row>
    <row r="199" ht="15" customHeight="1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20" t="n"/>
    </row>
    <row r="200" ht="15" customHeight="1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20" t="n"/>
    </row>
    <row r="201" ht="15" customHeight="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20" t="n"/>
    </row>
    <row r="202" ht="15" customHeight="1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20" t="n"/>
    </row>
    <row r="203" ht="15" customHeight="1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20" t="n"/>
    </row>
    <row r="204" ht="15" customHeight="1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20" t="n"/>
    </row>
    <row r="205" ht="15" customHeight="1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20" t="n"/>
    </row>
    <row r="206" ht="15" customHeight="1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20" t="n"/>
    </row>
    <row r="207" ht="15" customHeight="1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20" t="n"/>
    </row>
    <row r="208" ht="15" customHeight="1">
      <c r="A208" s="38" t="n"/>
      <c r="B208" s="37" t="n"/>
      <c r="C208" s="37" t="n"/>
      <c r="D208" s="37" t="n"/>
      <c r="E208" s="37" t="n"/>
      <c r="F208" s="37" t="n"/>
      <c r="G208" s="37" t="n"/>
      <c r="H208" s="37" t="n"/>
      <c r="I208" s="20" t="n"/>
    </row>
    <row r="209" ht="15" customHeight="1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20" t="n"/>
    </row>
    <row r="210" ht="15" customHeight="1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20" t="n"/>
    </row>
    <row r="211" ht="15" customHeight="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20" t="n"/>
    </row>
    <row r="212" ht="15" customHeight="1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20" t="n"/>
    </row>
    <row r="213" ht="15" customHeight="1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20" t="n"/>
    </row>
    <row r="214" ht="15" customHeight="1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20" t="n"/>
    </row>
    <row r="215" ht="15" customHeight="1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20" t="n"/>
    </row>
    <row r="216" ht="15" customHeight="1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20" t="n"/>
    </row>
    <row r="217" ht="15" customHeight="1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20" t="n"/>
    </row>
    <row r="218" ht="15" customHeight="1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20" t="n"/>
    </row>
    <row r="219" ht="15" customHeight="1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20" t="n"/>
    </row>
    <row r="220" ht="15" customHeight="1">
      <c r="A220" s="38" t="n"/>
      <c r="B220" s="37" t="n"/>
      <c r="C220" s="37" t="n"/>
      <c r="D220" s="37" t="n"/>
      <c r="E220" s="37" t="n"/>
      <c r="F220" s="37" t="n"/>
      <c r="G220" s="37" t="n"/>
      <c r="H220" s="37" t="n"/>
      <c r="I220" s="20" t="n"/>
    </row>
    <row r="221" ht="15" customHeight="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20" t="n"/>
    </row>
    <row r="222" ht="15" customHeight="1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20" t="n"/>
    </row>
    <row r="223" ht="15" customHeight="1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20" t="n"/>
    </row>
    <row r="224" ht="15" customHeight="1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20" t="n"/>
    </row>
    <row r="225" ht="15" customHeight="1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20" t="n"/>
    </row>
    <row r="226" ht="15" customHeight="1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20" t="n"/>
    </row>
    <row r="227" ht="15" customHeight="1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20" t="n"/>
    </row>
    <row r="228" ht="15" customHeight="1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20" t="n"/>
    </row>
    <row r="229" ht="15" customHeight="1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20" t="n"/>
    </row>
    <row r="230" ht="15" customHeight="1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20" t="n"/>
    </row>
    <row r="231" ht="15" customHeight="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20" t="n"/>
    </row>
    <row r="232" ht="15" customHeight="1">
      <c r="A232" s="38" t="n"/>
      <c r="B232" s="37" t="n"/>
      <c r="C232" s="37" t="n"/>
      <c r="D232" s="37" t="n"/>
      <c r="E232" s="37" t="n"/>
      <c r="F232" s="37" t="n"/>
      <c r="G232" s="37" t="n"/>
      <c r="H232" s="37" t="n"/>
      <c r="I232" s="20" t="n"/>
    </row>
    <row r="233" ht="15" customHeight="1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20" t="n"/>
    </row>
    <row r="234" ht="15" customHeight="1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20" t="n"/>
    </row>
    <row r="235" ht="15" customHeight="1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20" t="n"/>
    </row>
    <row r="236" ht="15" customHeight="1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20" t="n"/>
    </row>
    <row r="237" ht="15" customHeight="1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20" t="n"/>
    </row>
    <row r="238" ht="15" customHeight="1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20" t="n"/>
    </row>
    <row r="239" ht="15" customHeight="1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20" t="n"/>
    </row>
    <row r="240" ht="15" customHeight="1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20" t="n"/>
    </row>
    <row r="241" ht="15" customHeight="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20" t="n"/>
    </row>
    <row r="242" ht="15" customHeight="1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20" t="n"/>
    </row>
    <row r="243" ht="15" customHeight="1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20" t="n"/>
    </row>
    <row r="244" ht="15" customHeight="1">
      <c r="B244" s="37" t="n"/>
      <c r="C244" s="37" t="n"/>
      <c r="D244" s="37" t="n"/>
      <c r="E244" s="37" t="n"/>
      <c r="F244" s="37" t="n"/>
      <c r="G244" s="37" t="n"/>
      <c r="H244" s="37" t="n"/>
      <c r="I244" s="20" t="n"/>
    </row>
    <row r="245" ht="15" customHeight="1">
      <c r="A245" s="38" t="n"/>
      <c r="B245" s="37" t="n"/>
      <c r="C245" s="37" t="n"/>
      <c r="D245" s="37" t="n"/>
      <c r="E245" s="37" t="n"/>
      <c r="F245" s="37" t="n"/>
      <c r="G245" s="37" t="n"/>
      <c r="H245" s="37" t="n"/>
      <c r="I245" s="20" t="n"/>
    </row>
    <row r="246" ht="15" customHeight="1">
      <c r="A246" s="39" t="n"/>
      <c r="B246" s="37" t="n"/>
      <c r="C246" s="37" t="n"/>
      <c r="D246" s="37" t="n"/>
      <c r="E246" s="37" t="n"/>
      <c r="F246" s="37" t="n"/>
      <c r="G246" s="37" t="n"/>
      <c r="H246" s="37" t="n"/>
      <c r="I246" s="20" t="n"/>
    </row>
    <row r="247" ht="15" customHeight="1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20" t="n"/>
    </row>
    <row r="248" ht="15" customHeight="1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20" t="n"/>
    </row>
    <row r="249" ht="15" customHeight="1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20" t="n"/>
    </row>
    <row r="250" ht="15" customHeight="1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20" t="n"/>
    </row>
    <row r="251" ht="15" customHeight="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20" t="n"/>
    </row>
    <row r="252" ht="15" customHeight="1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20" t="n"/>
    </row>
    <row r="253" ht="15" customHeight="1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20" t="n"/>
    </row>
    <row r="254" ht="15" customHeight="1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20" t="n"/>
    </row>
    <row r="255" ht="15" customHeight="1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20" t="n"/>
    </row>
    <row r="256" ht="15" customHeight="1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20" t="n"/>
    </row>
    <row r="257" ht="15" customHeight="1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20" t="n"/>
    </row>
    <row r="258" ht="15" customHeight="1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20" t="n"/>
    </row>
    <row r="259" ht="15" customHeight="1">
      <c r="A259" s="39" t="n"/>
      <c r="B259" s="37" t="n"/>
      <c r="C259" s="37" t="n"/>
      <c r="D259" s="37" t="n"/>
      <c r="E259" s="37" t="n"/>
      <c r="F259" s="37" t="n"/>
      <c r="G259" s="37" t="n"/>
      <c r="H259" s="37" t="n"/>
      <c r="I259" s="20" t="n"/>
    </row>
    <row r="260" ht="15" customHeight="1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20" t="n"/>
    </row>
    <row r="261" ht="15" customHeight="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20" t="n"/>
    </row>
    <row r="262" ht="15" customHeight="1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20" t="n"/>
    </row>
    <row r="263" ht="15" customHeight="1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20" t="n"/>
    </row>
    <row r="264" ht="15" customHeight="1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20" t="n"/>
    </row>
    <row r="265" ht="15" customHeight="1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20" t="n"/>
    </row>
    <row r="266" ht="15" customHeight="1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20" t="n"/>
    </row>
    <row r="267" ht="15" customHeight="1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20" t="n"/>
    </row>
    <row r="268" ht="15" customHeight="1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20" t="n"/>
    </row>
    <row r="269" ht="15" customHeight="1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20" t="n"/>
    </row>
    <row r="270" ht="15" customHeight="1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20" t="n"/>
    </row>
    <row r="271" ht="15" customHeight="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20" t="n"/>
    </row>
    <row r="272" ht="15" customHeight="1">
      <c r="A272" s="39" t="n"/>
      <c r="B272" s="37" t="n"/>
      <c r="C272" s="37" t="n"/>
      <c r="D272" s="37" t="n"/>
      <c r="E272" s="37" t="n"/>
      <c r="F272" s="37" t="n"/>
      <c r="G272" s="37" t="n"/>
      <c r="H272" s="37" t="n"/>
      <c r="I272" s="20" t="n"/>
    </row>
    <row r="273" ht="15" customHeight="1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20" t="n"/>
    </row>
    <row r="274" ht="15" customHeight="1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20" t="n"/>
    </row>
    <row r="275" ht="15" customHeight="1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20" t="n"/>
    </row>
    <row r="276" ht="15" customHeight="1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20" t="n"/>
    </row>
    <row r="277" ht="15" customHeight="1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20" t="n"/>
    </row>
    <row r="278" ht="15" customHeight="1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20" t="n"/>
    </row>
    <row r="279" ht="15" customHeight="1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20" t="n"/>
    </row>
    <row r="280" ht="15" customHeight="1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20" t="n"/>
    </row>
    <row r="281" ht="15" customHeight="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20" t="n"/>
    </row>
    <row r="282" ht="15" customHeight="1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20" t="n"/>
    </row>
    <row r="283" ht="15" customHeight="1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20" t="n"/>
    </row>
    <row r="284" ht="15" customHeight="1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20" t="n"/>
    </row>
    <row r="285" ht="15" customHeight="1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20" t="n"/>
    </row>
    <row r="286" ht="15" customHeight="1">
      <c r="A286" s="38" t="n"/>
      <c r="B286" s="37" t="n"/>
      <c r="C286" s="37" t="n"/>
      <c r="D286" s="37" t="n"/>
      <c r="E286" s="37" t="n"/>
      <c r="F286" s="37" t="n"/>
      <c r="G286" s="37" t="n"/>
      <c r="H286" s="37" t="n"/>
      <c r="I286" s="20" t="n"/>
    </row>
    <row r="287" ht="15" customHeight="1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20" t="n"/>
    </row>
    <row r="288" ht="15" customHeight="1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20" t="n"/>
    </row>
    <row r="289" ht="15" customHeight="1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20" t="n"/>
    </row>
    <row r="290" ht="15" customHeight="1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20" t="n"/>
    </row>
    <row r="291" ht="15" customHeight="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20" t="n"/>
    </row>
    <row r="292" ht="15" customHeight="1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20" t="n"/>
    </row>
    <row r="293" ht="15" customHeight="1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20" t="n"/>
    </row>
    <row r="294" ht="15" customHeight="1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20" t="n"/>
    </row>
    <row r="295" ht="15" customHeight="1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20" t="n"/>
    </row>
    <row r="296" ht="15" customHeight="1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20" t="n"/>
    </row>
    <row r="297" ht="15" customHeight="1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20" t="n"/>
    </row>
    <row r="298" ht="15" customHeight="1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20" t="n"/>
    </row>
    <row r="299" ht="15" customHeight="1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20" t="n"/>
    </row>
    <row r="300" ht="15" customHeight="1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20" t="n"/>
    </row>
    <row r="301" ht="15" customHeight="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20" t="n"/>
    </row>
    <row r="302" ht="15" customHeight="1">
      <c r="A302" s="23" t="n"/>
      <c r="B302" s="24" t="n"/>
      <c r="C302" s="25" t="n"/>
      <c r="D302" s="25" t="n"/>
      <c r="E302" s="26" t="n"/>
      <c r="F302" s="27" t="n"/>
      <c r="G302" s="28" t="n"/>
      <c r="H302" s="28" t="n"/>
      <c r="I302" s="20" t="n"/>
    </row>
    <row r="303" ht="15" customHeight="1">
      <c r="A303" s="23" t="n"/>
      <c r="B303" s="24" t="n"/>
      <c r="C303" s="25" t="n"/>
      <c r="D303" s="25" t="n"/>
      <c r="E303" s="26" t="n"/>
      <c r="F303" s="27" t="n"/>
      <c r="G303" s="28" t="n"/>
      <c r="H303" s="28" t="n"/>
      <c r="I303" s="20" t="n"/>
    </row>
    <row r="304" ht="15" customHeight="1">
      <c r="A304" s="23" t="n"/>
      <c r="B304" s="24" t="n"/>
      <c r="C304" s="25" t="n"/>
      <c r="D304" s="25" t="n"/>
      <c r="E304" s="26" t="n"/>
      <c r="F304" s="27" t="n"/>
      <c r="G304" s="28" t="n"/>
      <c r="H304" s="28" t="n"/>
      <c r="I304" s="20" t="n"/>
    </row>
    <row r="305" ht="15" customHeight="1">
      <c r="A305" s="23" t="n"/>
      <c r="B305" s="24" t="n"/>
      <c r="C305" s="25" t="n"/>
      <c r="D305" s="25" t="n"/>
      <c r="E305" s="26" t="n"/>
      <c r="F305" s="27" t="n"/>
      <c r="G305" s="28" t="n"/>
      <c r="H305" s="28" t="n"/>
      <c r="I305" s="20" t="n"/>
    </row>
    <row r="306" ht="15" customHeight="1">
      <c r="A306" s="23" t="n"/>
      <c r="B306" s="24" t="n"/>
      <c r="C306" s="25" t="n"/>
      <c r="D306" s="25" t="n"/>
      <c r="E306" s="26" t="n"/>
      <c r="F306" s="27" t="n"/>
      <c r="G306" s="28" t="n"/>
      <c r="H306" s="28" t="n"/>
      <c r="I306" s="20" t="n"/>
    </row>
    <row r="307" hidden="1" ht="15" customHeight="1">
      <c r="A307" s="23" t="n"/>
      <c r="B307" s="24" t="n"/>
      <c r="C307" s="25" t="n"/>
      <c r="D307" s="25" t="n"/>
      <c r="E307" s="26" t="n"/>
      <c r="F307" s="27" t="n"/>
      <c r="G307" s="28" t="n"/>
      <c r="H307" s="28" t="n"/>
      <c r="I307" s="20" t="n"/>
    </row>
    <row r="308" hidden="1" ht="21" customHeight="1">
      <c r="A308" s="40" t="n"/>
      <c r="B308" s="40" t="inlineStr">
        <is>
          <t xml:space="preserve">Rol SII  </t>
        </is>
      </c>
      <c r="C308" s="41" t="inlineStr">
        <is>
          <t>Zona</t>
        </is>
      </c>
      <c r="D308" s="41" t="n"/>
      <c r="E308" s="1167" t="inlineStr">
        <is>
          <t>Superf. m2</t>
        </is>
      </c>
      <c r="F308" s="1167" t="inlineStr">
        <is>
          <t>Valor UF/m2</t>
        </is>
      </c>
      <c r="G308" s="1167" t="inlineStr">
        <is>
          <t xml:space="preserve">Total $ </t>
        </is>
      </c>
      <c r="I308" s="19" t="n"/>
    </row>
    <row r="309" hidden="1" ht="18.75" customHeight="1">
      <c r="A309" s="43" t="n"/>
      <c r="B309" s="44" t="n"/>
      <c r="C309" s="45" t="n"/>
      <c r="D309" s="45" t="n"/>
      <c r="E309" s="46" t="n"/>
      <c r="F309" s="47" t="n"/>
      <c r="G309" s="1158" t="n"/>
      <c r="I309" s="20" t="n"/>
    </row>
    <row r="310" hidden="1" ht="18.75" customHeight="1">
      <c r="A310" s="43" t="n"/>
      <c r="B310" s="48" t="n"/>
      <c r="C310" s="45" t="n"/>
      <c r="D310" s="45" t="n"/>
      <c r="E310" s="46" t="n"/>
      <c r="F310" s="47" t="n"/>
      <c r="G310" s="1158" t="n"/>
      <c r="I310" s="20" t="n"/>
    </row>
    <row r="311" hidden="1" ht="18.75" customHeight="1">
      <c r="A311" s="43" t="n"/>
      <c r="B311" s="48" t="n"/>
      <c r="C311" s="45" t="n"/>
      <c r="D311" s="45" t="n"/>
      <c r="E311" s="46" t="n"/>
      <c r="F311" s="47" t="n"/>
      <c r="G311" s="1158" t="n"/>
      <c r="I311" s="20" t="n"/>
    </row>
    <row r="312" hidden="1" ht="18.75" customHeight="1">
      <c r="A312" s="43" t="n"/>
      <c r="B312" s="48" t="n"/>
      <c r="C312" s="45" t="n"/>
      <c r="D312" s="45" t="n"/>
      <c r="E312" s="46" t="n"/>
      <c r="F312" s="47" t="n"/>
      <c r="G312" s="1158" t="n"/>
      <c r="I312" s="20" t="n"/>
    </row>
    <row r="313" hidden="1" ht="18.75" customHeight="1">
      <c r="A313" s="43" t="n"/>
      <c r="B313" s="48" t="n"/>
      <c r="C313" s="45" t="n"/>
      <c r="D313" s="45" t="n"/>
      <c r="E313" s="46" t="n"/>
      <c r="F313" s="47" t="n"/>
      <c r="G313" s="1158" t="n"/>
      <c r="I313" s="20" t="n"/>
    </row>
    <row r="314" hidden="1" ht="15.75" customHeight="1">
      <c r="A314" s="49" t="n"/>
      <c r="B314" s="49" t="n"/>
      <c r="C314" s="49" t="n"/>
      <c r="D314" s="49" t="n"/>
      <c r="E314" s="50">
        <f>SUM(E309:E313)</f>
        <v/>
      </c>
      <c r="F314" s="21" t="n"/>
      <c r="G314" s="1162">
        <f>SUM(G309:G313)</f>
        <v/>
      </c>
    </row>
    <row r="315" hidden="1" ht="15.75" customHeight="1">
      <c r="A315" s="15" t="n"/>
      <c r="E315" s="49" t="n"/>
      <c r="F315" s="49" t="n"/>
      <c r="G315" s="1166">
        <f>G314/USD</f>
        <v/>
      </c>
    </row>
    <row r="316" hidden="1" ht="15.75" customHeight="1">
      <c r="A316" s="15" t="n"/>
      <c r="H316" s="15" t="n"/>
    </row>
    <row r="317" hidden="1" ht="15.75" customHeight="1">
      <c r="A317" s="16" t="n"/>
      <c r="C317" s="51" t="inlineStr">
        <is>
          <t>TOTAL</t>
        </is>
      </c>
      <c r="D317" s="51" t="n"/>
      <c r="E317" s="52">
        <f>+E54+E314</f>
        <v/>
      </c>
      <c r="F317" s="51" t="inlineStr">
        <is>
          <t>m2</t>
        </is>
      </c>
      <c r="G317" s="1168">
        <f>G54+G314</f>
        <v/>
      </c>
    </row>
    <row r="318" hidden="1" ht="18" customHeight="1">
      <c r="A318" s="15" t="n"/>
      <c r="B318" s="15" t="n"/>
      <c r="C318" s="15" t="n"/>
      <c r="D318" s="15" t="n"/>
      <c r="E318" s="15" t="n"/>
      <c r="F318" s="15" t="n"/>
      <c r="G318" s="1156">
        <f>G317/USD</f>
        <v/>
      </c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</sheetData>
  <mergeCells count="14">
    <mergeCell ref="G314:H314"/>
    <mergeCell ref="G315:H315"/>
    <mergeCell ref="G310:H310"/>
    <mergeCell ref="G318:H318"/>
    <mergeCell ref="A59:H59"/>
    <mergeCell ref="G313:H313"/>
    <mergeCell ref="G308:H308"/>
    <mergeCell ref="G309:H309"/>
    <mergeCell ref="G317:H317"/>
    <mergeCell ref="A34:F40"/>
    <mergeCell ref="G44:H44"/>
    <mergeCell ref="G311:H311"/>
    <mergeCell ref="G312:H312"/>
    <mergeCell ref="A44:A45"/>
  </mergeCells>
  <dataValidations count="1">
    <dataValidation sqref="D46:D53" showDropDown="0" showInputMessage="1" showErrorMessage="1" allowBlank="1" type="list">
      <formula1>"Completa, parcial, sin habilitar"</formula1>
    </dataValidation>
  </dataValidations>
  <printOptions horizontalCentered="1"/>
  <pageMargins left="0.7086614173228346" right="0.7086614173228346" top="0.7480314960629921" bottom="0.5511811023622047" header="0" footer="0"/>
  <pageSetup orientation="portrait" scale="66"/>
  <rowBreaks count="1" manualBreakCount="1">
    <brk id="57" min="0" max="7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DBE5F1"/>
    <outlinePr summaryBelow="1" summaryRight="1"/>
    <pageSetUpPr/>
  </sheetPr>
  <dimension ref="A1:M121"/>
  <sheetViews>
    <sheetView showGridLines="0" view="pageBreakPreview" topLeftCell="A39" zoomScale="125" zoomScaleNormal="100" zoomScaleSheetLayoutView="100" workbookViewId="0">
      <selection activeCell="A23" sqref="A23:K25"/>
    </sheetView>
  </sheetViews>
  <sheetFormatPr baseColWidth="10" defaultColWidth="14.44140625" defaultRowHeight="15" customHeight="1"/>
  <cols>
    <col width="3" customWidth="1" style="1064" min="1" max="1"/>
    <col width="18.6640625" customWidth="1" style="1064" min="2" max="2"/>
    <col width="12.109375" customWidth="1" style="1064" min="3" max="3"/>
    <col width="10.6640625" customWidth="1" style="1064" min="4" max="4"/>
    <col width="9.6640625" customWidth="1" style="1064" min="5" max="5"/>
    <col width="11.6640625" customWidth="1" style="1064" min="6" max="7"/>
    <col width="12.6640625" customWidth="1" style="1064" min="8" max="8"/>
    <col width="12.44140625" customWidth="1" style="1064" min="9" max="9"/>
    <col width="14.6640625" customWidth="1" style="1064" min="10" max="10"/>
    <col width="15.33203125" customWidth="1" style="1064" min="11" max="11"/>
    <col width="11.44140625" customWidth="1" style="1064" min="12" max="12"/>
    <col width="9.109375" customWidth="1" style="1064" min="13" max="27"/>
    <col width="14.44140625" customWidth="1" style="1064" min="28" max="28"/>
    <col width="14.44140625" customWidth="1" style="1064" min="29" max="16384"/>
  </cols>
  <sheetData>
    <row r="1" ht="22.5" customHeight="1" thickBot="1">
      <c r="A1" s="570" t="inlineStr">
        <is>
          <t>4.- DERECHOS DE AGUA</t>
        </is>
      </c>
      <c r="B1" s="571" t="n"/>
      <c r="C1" s="571" t="n"/>
      <c r="D1" s="571" t="n"/>
      <c r="E1" s="571" t="n"/>
      <c r="F1" s="571" t="n"/>
      <c r="G1" s="571" t="n"/>
      <c r="H1" s="571" t="n"/>
      <c r="I1" s="571" t="n"/>
      <c r="J1" s="571" t="n"/>
      <c r="K1" s="572" t="n"/>
    </row>
    <row r="2" ht="15" customHeight="1" thickBot="1"/>
    <row r="3" hidden="1" thickBot="1"/>
    <row r="4" ht="19.5" customHeight="1" thickBot="1">
      <c r="A4" s="1188" t="inlineStr">
        <is>
          <t>4.1. INSCRIPCIÓN DE DERECHOS DE AGUA</t>
        </is>
      </c>
      <c r="B4" s="1144" t="n"/>
      <c r="C4" s="1144" t="n"/>
      <c r="D4" s="1144" t="n"/>
      <c r="E4" s="1144" t="n"/>
      <c r="F4" s="1144" t="n"/>
      <c r="G4" s="1144" t="n"/>
      <c r="H4" s="1144" t="n"/>
      <c r="I4" s="1144" t="n"/>
      <c r="J4" s="1144" t="n"/>
      <c r="K4" s="1145" t="n"/>
    </row>
    <row r="5" ht="14.4" customHeight="1">
      <c r="A5" s="1153" t="inlineStr">
        <is>
          <t>N°</t>
        </is>
      </c>
      <c r="B5" s="1178" t="inlineStr">
        <is>
          <t>FUENTE</t>
        </is>
      </c>
      <c r="C5" s="193" t="inlineStr">
        <is>
          <t>Rol</t>
        </is>
      </c>
      <c r="D5" s="193" t="inlineStr">
        <is>
          <t>Derechos*</t>
        </is>
      </c>
      <c r="E5" s="1180" t="inlineStr">
        <is>
          <t xml:space="preserve">Tipo </t>
        </is>
      </c>
      <c r="F5" s="194" t="inlineStr">
        <is>
          <t xml:space="preserve">Inscrito en </t>
        </is>
      </c>
      <c r="G5" s="1172" t="inlineStr">
        <is>
          <t>Hipotecados a Rabofinance</t>
        </is>
      </c>
      <c r="H5" s="1173" t="inlineStr">
        <is>
          <t>Datos de Inscripción</t>
        </is>
      </c>
      <c r="I5" s="1075" t="n"/>
      <c r="J5" s="1076" t="n"/>
      <c r="K5" s="1193" t="inlineStr">
        <is>
          <t>CBR</t>
        </is>
      </c>
    </row>
    <row r="6" ht="30" customHeight="1">
      <c r="A6" s="1154" t="n"/>
      <c r="B6" s="1126" t="n"/>
      <c r="C6" s="195" t="inlineStr">
        <is>
          <t>Avalúo</t>
        </is>
      </c>
      <c r="D6" s="195" t="inlineStr">
        <is>
          <t>Cantidad</t>
        </is>
      </c>
      <c r="E6" s="1127" t="n"/>
      <c r="F6" s="196" t="inlineStr">
        <is>
          <t>CPA</t>
        </is>
      </c>
      <c r="G6" s="1131" t="n"/>
      <c r="H6" s="197" t="inlineStr">
        <is>
          <t>fojas</t>
        </is>
      </c>
      <c r="I6" s="198" t="inlineStr">
        <is>
          <t xml:space="preserve">nº </t>
        </is>
      </c>
      <c r="J6" s="199" t="inlineStr">
        <is>
          <t>año</t>
        </is>
      </c>
      <c r="K6" s="1133" t="n"/>
    </row>
    <row r="7" ht="64.5" customFormat="1" customHeight="1" s="204" thickBot="1">
      <c r="A7" s="211" t="n">
        <v>1</v>
      </c>
      <c r="B7" s="1046" t="n"/>
      <c r="C7" s="215" t="n"/>
      <c r="D7" s="214" t="n"/>
      <c r="E7" s="215" t="n"/>
      <c r="F7" s="214" t="n"/>
      <c r="G7" s="214" t="n"/>
      <c r="H7" s="215" t="n"/>
      <c r="I7" s="215" t="n"/>
      <c r="J7" s="215" t="n"/>
      <c r="K7" s="1047" t="n"/>
    </row>
    <row r="8" hidden="1" ht="45" customFormat="1" customHeight="1" s="204">
      <c r="A8" s="1041" t="n">
        <v>2</v>
      </c>
      <c r="B8" s="1042" t="n"/>
      <c r="C8" s="1043" t="n"/>
      <c r="D8" s="1044" t="n"/>
      <c r="E8" s="1043" t="n"/>
      <c r="F8" s="1044" t="n"/>
      <c r="G8" s="1044" t="n"/>
      <c r="H8" s="1043" t="n"/>
      <c r="I8" s="1043" t="n"/>
      <c r="J8" s="1043" t="n"/>
      <c r="K8" s="1045" t="n"/>
    </row>
    <row r="9" hidden="1" ht="45" customFormat="1" customHeight="1" s="204">
      <c r="A9" s="200" t="n">
        <v>3</v>
      </c>
      <c r="B9" s="208" t="n"/>
      <c r="C9" s="205" t="n"/>
      <c r="D9" s="202" t="n"/>
      <c r="E9" s="201" t="n"/>
      <c r="F9" s="206" t="n"/>
      <c r="G9" s="206" t="n"/>
      <c r="H9" s="208" t="n"/>
      <c r="I9" s="208" t="n"/>
      <c r="J9" s="201" t="n"/>
      <c r="K9" s="207" t="n"/>
    </row>
    <row r="10" hidden="1" ht="45" customFormat="1" customHeight="1" s="204">
      <c r="A10" s="200" t="n">
        <v>5</v>
      </c>
      <c r="B10" s="208" t="n"/>
      <c r="C10" s="209" t="n"/>
      <c r="D10" s="202" t="n"/>
      <c r="E10" s="201" t="n"/>
      <c r="F10" s="210" t="n"/>
      <c r="G10" s="210" t="n"/>
      <c r="H10" s="208" t="n"/>
      <c r="I10" s="208" t="n"/>
      <c r="J10" s="201" t="n"/>
      <c r="K10" s="203" t="n"/>
    </row>
    <row r="11" hidden="1" ht="55.2" customFormat="1" customHeight="1" s="204" thickBot="1">
      <c r="A11" s="211" t="n">
        <v>4</v>
      </c>
      <c r="B11" s="212" t="n"/>
      <c r="C11" s="213" t="n"/>
      <c r="D11" s="214" t="n"/>
      <c r="E11" s="215" t="n"/>
      <c r="F11" s="216" t="n"/>
      <c r="G11" s="216" t="n"/>
      <c r="H11" s="212" t="n"/>
      <c r="I11" s="212" t="n"/>
      <c r="J11" s="212" t="n"/>
      <c r="K11" s="217" t="n"/>
    </row>
    <row r="12" ht="27" customHeight="1" thickBot="1">
      <c r="A12" s="218" t="n"/>
      <c r="B12" s="219" t="n"/>
      <c r="C12" s="218" t="n"/>
      <c r="D12" s="218" t="n"/>
      <c r="E12" s="218" t="n"/>
      <c r="F12" s="218" t="n"/>
      <c r="G12" s="218" t="n"/>
      <c r="H12" s="218" t="n"/>
      <c r="I12" s="218" t="n"/>
      <c r="J12" s="218" t="n"/>
      <c r="K12" s="218" t="n"/>
    </row>
    <row r="13" thickBot="1">
      <c r="A13" s="220" t="inlineStr">
        <is>
          <t xml:space="preserve">Observaciones:  </t>
        </is>
      </c>
      <c r="B13" s="221" t="n"/>
      <c r="C13" s="221" t="n"/>
      <c r="D13" s="221" t="n"/>
      <c r="E13" s="222" t="n"/>
      <c r="F13" s="222" t="n"/>
      <c r="G13" s="222" t="n"/>
      <c r="H13" s="222" t="n"/>
      <c r="I13" s="222" t="n"/>
      <c r="J13" s="222" t="n"/>
      <c r="K13" s="223" t="n"/>
    </row>
    <row r="14" ht="14.4" customHeight="1">
      <c r="A14" s="1186" t="n"/>
      <c r="B14" s="1080" t="n"/>
      <c r="C14" s="1080" t="n"/>
      <c r="D14" s="1080" t="n"/>
      <c r="E14" s="1080" t="n"/>
      <c r="F14" s="1080" t="n"/>
      <c r="G14" s="1080" t="n"/>
      <c r="H14" s="1080" t="n"/>
      <c r="I14" s="1080" t="n"/>
      <c r="J14" s="1080" t="n"/>
      <c r="K14" s="1083" t="n"/>
    </row>
    <row r="15" ht="14.4" customHeight="1">
      <c r="A15" s="1187" t="n"/>
      <c r="K15" s="1066" t="n"/>
    </row>
    <row r="16" ht="32.25" customHeight="1">
      <c r="A16" s="1187" t="n"/>
      <c r="K16" s="1066" t="n"/>
    </row>
    <row r="17" ht="30" customHeight="1" thickBot="1">
      <c r="A17" s="1164" t="n"/>
      <c r="B17" s="1085" t="n"/>
      <c r="C17" s="1085" t="n"/>
      <c r="D17" s="1085" t="n"/>
      <c r="E17" s="1085" t="n"/>
      <c r="F17" s="1085" t="n"/>
      <c r="G17" s="1085" t="n"/>
      <c r="H17" s="1085" t="n"/>
      <c r="I17" s="1085" t="n"/>
      <c r="J17" s="1085" t="n"/>
      <c r="K17" s="1115" t="n"/>
    </row>
    <row r="18" ht="27" customHeight="1" thickBot="1"/>
    <row r="19" hidden="1" ht="15.75" customHeight="1"/>
    <row r="20" hidden="1" ht="15.75" customHeight="1"/>
    <row r="21" hidden="1" ht="15.75" customHeight="1"/>
    <row r="22" ht="18.75" customHeight="1" thickBot="1">
      <c r="A22" s="1179" t="inlineStr">
        <is>
          <t>4.2. VALOR DE DERECHOS DE AGUA</t>
        </is>
      </c>
      <c r="B22" s="1106" t="n"/>
      <c r="C22" s="1106" t="n"/>
      <c r="D22" s="1106" t="n"/>
      <c r="E22" s="1106" t="n"/>
      <c r="F22" s="1106" t="n"/>
      <c r="G22" s="1106" t="n"/>
      <c r="H22" s="1106" t="n"/>
      <c r="I22" s="1106" t="n"/>
      <c r="J22" s="1106" t="n"/>
      <c r="K22" s="1087" t="n"/>
    </row>
    <row r="23" ht="24" customHeight="1">
      <c r="A23" s="1174" t="inlineStr">
        <is>
          <t>N°</t>
        </is>
      </c>
      <c r="B23" s="1181" t="inlineStr">
        <is>
          <t>Fuente</t>
        </is>
      </c>
      <c r="C23" s="224" t="inlineStr">
        <is>
          <t>ROL</t>
        </is>
      </c>
      <c r="D23" s="225" t="inlineStr">
        <is>
          <t>Derechos</t>
        </is>
      </c>
      <c r="E23" s="1181" t="inlineStr">
        <is>
          <t xml:space="preserve">Tipo </t>
        </is>
      </c>
      <c r="F23" s="1181" t="inlineStr">
        <is>
          <t>Derechos 
expresados en acción</t>
        </is>
      </c>
      <c r="G23" s="1181" t="inlineStr">
        <is>
          <t>Caudal Nominal
(L/s)</t>
        </is>
      </c>
      <c r="H23" s="1176" t="inlineStr">
        <is>
          <t>Hipotecados a Rabofinance</t>
        </is>
      </c>
      <c r="I23" s="1176" t="inlineStr">
        <is>
          <t>Valor Unitario
$</t>
        </is>
      </c>
      <c r="J23" s="1189" t="inlineStr">
        <is>
          <t>Total</t>
        </is>
      </c>
      <c r="K23" s="1190" t="n"/>
    </row>
    <row r="24" ht="24.75" customHeight="1">
      <c r="A24" s="1175" t="n"/>
      <c r="B24" s="1182" t="n"/>
      <c r="C24" s="226" t="inlineStr">
        <is>
          <t>Avalúo</t>
        </is>
      </c>
      <c r="D24" s="227" t="inlineStr">
        <is>
          <t>Cantidad</t>
        </is>
      </c>
      <c r="E24" s="1182" t="n"/>
      <c r="F24" s="1182" t="n"/>
      <c r="G24" s="1182" t="n"/>
      <c r="H24" s="1177" t="n"/>
      <c r="I24" s="1177" t="n"/>
      <c r="J24" s="228" t="inlineStr">
        <is>
          <t>$</t>
        </is>
      </c>
      <c r="K24" s="229" t="inlineStr">
        <is>
          <t>USD</t>
        </is>
      </c>
    </row>
    <row r="25" ht="45" customHeight="1">
      <c r="A25" s="230" t="n">
        <v>1</v>
      </c>
      <c r="B25" s="231" t="n"/>
      <c r="C25" s="232" t="n"/>
      <c r="D25" s="233" t="n"/>
      <c r="E25" s="230" t="n"/>
      <c r="F25" s="234" t="n"/>
      <c r="G25" s="234" t="n"/>
      <c r="H25" s="202" t="n"/>
      <c r="I25" s="1238" t="n"/>
      <c r="J25" s="1238">
        <f>G25*I25</f>
        <v/>
      </c>
      <c r="K25" s="236">
        <f>J25/USD</f>
        <v/>
      </c>
    </row>
    <row r="26" hidden="1" ht="45" customHeight="1">
      <c r="A26" s="230" t="n">
        <v>4</v>
      </c>
      <c r="B26" s="231" t="n"/>
      <c r="C26" s="232" t="n"/>
      <c r="D26" s="233" t="n"/>
      <c r="E26" s="230" t="n"/>
      <c r="F26" s="234" t="n"/>
      <c r="G26" s="234" t="n"/>
      <c r="H26" s="206" t="n"/>
      <c r="I26" s="1238" t="n"/>
      <c r="J26" s="1238" t="n"/>
      <c r="K26" s="236" t="n"/>
    </row>
    <row r="27" ht="22.5" customHeight="1" thickBot="1">
      <c r="A27" s="237" t="n"/>
      <c r="B27" s="1191" t="inlineStr">
        <is>
          <t xml:space="preserve">Total Derechos de Agua </t>
        </is>
      </c>
      <c r="C27" s="1109" t="n"/>
      <c r="D27" s="1109" t="n"/>
      <c r="E27" s="1192" t="n"/>
      <c r="F27" s="238" t="n"/>
      <c r="G27" s="238">
        <f>SUM(G25:G26)</f>
        <v/>
      </c>
      <c r="H27" s="239">
        <f>SUM(H25:H26)</f>
        <v/>
      </c>
      <c r="I27" s="240" t="n"/>
      <c r="J27" s="1239">
        <f>SUM(J25:J26)</f>
        <v/>
      </c>
      <c r="K27" s="242">
        <f>SUM(K25:K26)</f>
        <v/>
      </c>
      <c r="L27" s="1240" t="n"/>
      <c r="M27" s="1240" t="n"/>
    </row>
    <row r="28" ht="18" customHeight="1" thickBot="1"/>
    <row r="29" hidden="1" ht="15.75" customHeight="1"/>
    <row r="30" hidden="1" ht="15.75" customHeight="1"/>
    <row r="31" ht="19.2" customHeight="1" thickBot="1">
      <c r="A31" s="244" t="inlineStr">
        <is>
          <t>SUFICIENCIA DE DERECHOS DE AGUA</t>
        </is>
      </c>
      <c r="B31" s="245" t="n"/>
      <c r="C31" s="246" t="n"/>
      <c r="D31" s="246" t="n"/>
      <c r="E31" s="247" t="n"/>
      <c r="F31" s="247" t="n"/>
      <c r="G31" s="247" t="n"/>
      <c r="H31" s="247" t="n"/>
      <c r="I31" s="247" t="n"/>
      <c r="J31" s="247" t="n"/>
      <c r="K31" s="248" t="n"/>
    </row>
    <row r="32" ht="15.75" customHeight="1" thickBot="1">
      <c r="A32" s="1183" t="n"/>
      <c r="B32" s="1184" t="n"/>
      <c r="C32" s="1184" t="n"/>
      <c r="D32" s="1184" t="n"/>
      <c r="E32" s="1184" t="n"/>
      <c r="F32" s="1184" t="n"/>
      <c r="G32" s="1184" t="n"/>
      <c r="H32" s="1184" t="n"/>
      <c r="I32" s="1184" t="n"/>
      <c r="J32" s="1184" t="n"/>
      <c r="K32" s="1185" t="n"/>
    </row>
    <row r="33" ht="30" customHeight="1" thickBot="1">
      <c r="A33" s="1108" t="n"/>
      <c r="B33" s="1109" t="n"/>
      <c r="C33" s="1109" t="n"/>
      <c r="D33" s="1109" t="n"/>
      <c r="E33" s="1109" t="n"/>
      <c r="F33" s="1109" t="n"/>
      <c r="G33" s="1109" t="n"/>
      <c r="H33" s="1109" t="n"/>
      <c r="I33" s="1109" t="n"/>
      <c r="J33" s="1109" t="n"/>
      <c r="K33" s="1078" t="n"/>
    </row>
    <row r="34" ht="21" customHeight="1" thickBot="1"/>
    <row r="35" hidden="1" ht="15.75" customHeight="1"/>
    <row r="36" ht="25.5" customHeight="1" thickBot="1">
      <c r="A36" s="1169" t="inlineStr">
        <is>
          <t>INFORMACIÓN GENERAL DE LOS DERECHOS DE AGUA, IMAGEN DE EMPLAZAMIENTO PUNTO DE CAPTACIÓN</t>
        </is>
      </c>
      <c r="B36" s="1170" t="n"/>
      <c r="C36" s="1170" t="n"/>
      <c r="D36" s="1170" t="n"/>
      <c r="E36" s="1170" t="n"/>
      <c r="F36" s="1170" t="n"/>
      <c r="G36" s="1170" t="n"/>
      <c r="H36" s="1170" t="n"/>
      <c r="I36" s="1170" t="n"/>
      <c r="J36" s="1170" t="n"/>
      <c r="K36" s="1171" t="n"/>
    </row>
    <row r="37" ht="15.75" customHeight="1">
      <c r="A37" s="249" t="n"/>
      <c r="K37" s="250" t="n"/>
    </row>
    <row r="38" ht="15.75" customHeight="1">
      <c r="A38" s="249" t="n"/>
      <c r="K38" s="250" t="n"/>
    </row>
    <row r="39" ht="15.75" customHeight="1">
      <c r="A39" s="249" t="n"/>
      <c r="K39" s="250" t="n"/>
    </row>
    <row r="40" ht="15.75" customHeight="1">
      <c r="A40" s="249" t="n"/>
      <c r="K40" s="250" t="n"/>
    </row>
    <row r="41" ht="15.75" customHeight="1">
      <c r="A41" s="249" t="n"/>
      <c r="K41" s="250" t="n"/>
    </row>
    <row r="42" ht="15.75" customHeight="1">
      <c r="A42" s="249" t="n"/>
      <c r="K42" s="250" t="n"/>
    </row>
    <row r="43" ht="15.75" customHeight="1">
      <c r="A43" s="249" t="n"/>
      <c r="K43" s="250" t="n"/>
    </row>
    <row r="44" ht="15.75" customHeight="1">
      <c r="A44" s="249" t="n"/>
      <c r="K44" s="250" t="n"/>
    </row>
    <row r="45" ht="15.75" customHeight="1">
      <c r="A45" s="249" t="n"/>
      <c r="K45" s="250" t="n"/>
    </row>
    <row r="46" ht="15.75" customHeight="1">
      <c r="A46" s="249" t="n"/>
      <c r="K46" s="250" t="n"/>
    </row>
    <row r="47" ht="15.75" customHeight="1">
      <c r="A47" s="249" t="n"/>
      <c r="K47" s="250" t="n"/>
    </row>
    <row r="48" ht="15.75" customHeight="1">
      <c r="A48" s="249" t="n"/>
      <c r="K48" s="250" t="n"/>
    </row>
    <row r="49" ht="15.75" customHeight="1">
      <c r="A49" s="249" t="n"/>
      <c r="K49" s="250" t="n"/>
    </row>
    <row r="50" ht="15.75" customHeight="1">
      <c r="A50" s="249" t="n"/>
      <c r="K50" s="250" t="n"/>
    </row>
    <row r="51" ht="15.75" customHeight="1">
      <c r="A51" s="249" t="n"/>
      <c r="K51" s="250" t="n"/>
    </row>
    <row r="52" ht="15.75" customHeight="1">
      <c r="A52" s="249" t="n"/>
      <c r="K52" s="250" t="n"/>
    </row>
    <row r="53" ht="15.75" customHeight="1">
      <c r="A53" s="249" t="n"/>
      <c r="K53" s="250" t="n"/>
    </row>
    <row r="54" ht="15.75" customHeight="1">
      <c r="A54" s="249" t="n"/>
      <c r="K54" s="250" t="n"/>
    </row>
    <row r="55" ht="15.75" customHeight="1">
      <c r="A55" s="249" t="n"/>
      <c r="K55" s="250" t="n"/>
    </row>
    <row r="56" ht="15.75" customHeight="1">
      <c r="A56" s="249" t="n"/>
      <c r="K56" s="250" t="n"/>
    </row>
    <row r="57" ht="15.75" customHeight="1">
      <c r="A57" s="249" t="n"/>
      <c r="K57" s="250" t="n"/>
    </row>
    <row r="58" ht="15.75" customHeight="1">
      <c r="A58" s="249" t="n"/>
      <c r="K58" s="250" t="n"/>
    </row>
    <row r="59" ht="15.75" customHeight="1">
      <c r="A59" s="249" t="n"/>
      <c r="K59" s="250" t="n"/>
    </row>
    <row r="60" ht="15.75" customHeight="1">
      <c r="A60" s="249" t="n"/>
      <c r="K60" s="250" t="n"/>
    </row>
    <row r="61" ht="15.75" customHeight="1">
      <c r="A61" s="249" t="n"/>
      <c r="K61" s="250" t="n"/>
    </row>
    <row r="62" ht="15.75" customHeight="1">
      <c r="A62" s="249" t="n"/>
      <c r="K62" s="250" t="n"/>
    </row>
    <row r="63" ht="15.75" customHeight="1">
      <c r="A63" s="249" t="n"/>
      <c r="K63" s="250" t="n"/>
    </row>
    <row r="64" ht="15.75" customHeight="1">
      <c r="A64" s="249" t="n"/>
      <c r="K64" s="250" t="n"/>
    </row>
    <row r="65" ht="15.75" customHeight="1">
      <c r="A65" s="249" t="n"/>
      <c r="K65" s="250" t="n"/>
    </row>
    <row r="66" ht="15.75" customHeight="1">
      <c r="A66" s="249" t="n"/>
      <c r="K66" s="250" t="n"/>
    </row>
    <row r="67" ht="15.75" customHeight="1">
      <c r="A67" s="249" t="n"/>
      <c r="K67" s="250" t="n"/>
    </row>
    <row r="68" ht="15.75" customHeight="1">
      <c r="A68" s="249" t="n"/>
      <c r="K68" s="250" t="n"/>
    </row>
    <row r="69" ht="15.75" customHeight="1">
      <c r="A69" s="249" t="n"/>
      <c r="K69" s="250" t="n"/>
    </row>
    <row r="70" ht="15.75" customHeight="1">
      <c r="A70" s="249" t="n"/>
      <c r="K70" s="250" t="n"/>
    </row>
    <row r="71" ht="15.75" customHeight="1">
      <c r="A71" s="249" t="n"/>
      <c r="K71" s="250" t="n"/>
    </row>
    <row r="72" ht="15.75" customHeight="1">
      <c r="A72" s="249" t="n"/>
      <c r="K72" s="250" t="n"/>
    </row>
    <row r="73" ht="15.75" customHeight="1">
      <c r="A73" s="249" t="n"/>
      <c r="K73" s="250" t="n"/>
    </row>
    <row r="74" ht="15.75" customHeight="1">
      <c r="A74" s="249" t="n"/>
      <c r="K74" s="250" t="n"/>
    </row>
    <row r="75" ht="15.75" customHeight="1">
      <c r="A75" s="249" t="n"/>
      <c r="K75" s="250" t="n"/>
    </row>
    <row r="76" ht="15.75" customHeight="1">
      <c r="A76" s="249" t="n"/>
      <c r="K76" s="250" t="n"/>
    </row>
    <row r="77" ht="15.75" customHeight="1">
      <c r="A77" s="249" t="n"/>
      <c r="K77" s="250" t="n"/>
    </row>
    <row r="78" ht="15.75" customHeight="1">
      <c r="A78" s="249" t="n"/>
      <c r="K78" s="250" t="n"/>
    </row>
    <row r="79" ht="15.75" customHeight="1">
      <c r="A79" s="249" t="n"/>
      <c r="K79" s="250" t="n"/>
    </row>
    <row r="80" ht="15.75" customHeight="1">
      <c r="A80" s="249" t="n"/>
      <c r="K80" s="250" t="n"/>
    </row>
    <row r="81" ht="15.75" customHeight="1">
      <c r="A81" s="249" t="n"/>
      <c r="K81" s="250" t="n"/>
    </row>
    <row r="82" ht="15.75" customHeight="1" thickBot="1">
      <c r="A82" s="251" t="n"/>
      <c r="B82" s="252" t="n"/>
      <c r="C82" s="252" t="n"/>
      <c r="D82" s="252" t="n"/>
      <c r="E82" s="252" t="n"/>
      <c r="F82" s="252" t="n"/>
      <c r="G82" s="252" t="n"/>
      <c r="H82" s="252" t="n"/>
      <c r="I82" s="252" t="n"/>
      <c r="J82" s="252" t="n"/>
      <c r="K82" s="253" t="n"/>
    </row>
    <row r="83" hidden="1" ht="15.75" customHeight="1">
      <c r="A83" s="249" t="n"/>
      <c r="K83" s="250" t="n"/>
    </row>
    <row r="84" hidden="1" ht="15.75" customHeight="1">
      <c r="A84" s="249" t="n"/>
      <c r="K84" s="250" t="n"/>
    </row>
    <row r="85" hidden="1" ht="15.75" customHeight="1">
      <c r="A85" s="249" t="n"/>
      <c r="K85" s="250" t="n"/>
    </row>
    <row r="86" hidden="1" ht="15.75" customHeight="1">
      <c r="A86" s="249" t="n"/>
      <c r="K86" s="250" t="n"/>
    </row>
    <row r="87" hidden="1" ht="15.75" customHeight="1">
      <c r="A87" s="249" t="n"/>
      <c r="K87" s="250" t="n"/>
    </row>
    <row r="88" hidden="1" ht="15.75" customHeight="1">
      <c r="A88" s="249" t="n"/>
      <c r="K88" s="250" t="n"/>
    </row>
    <row r="89" hidden="1" ht="15.75" customHeight="1">
      <c r="A89" s="249" t="n"/>
      <c r="K89" s="250" t="n"/>
    </row>
    <row r="90" hidden="1" ht="15.75" customHeight="1">
      <c r="A90" s="251" t="n"/>
      <c r="B90" s="252" t="n"/>
      <c r="C90" s="252" t="n"/>
      <c r="D90" s="252" t="n"/>
      <c r="E90" s="252" t="n"/>
      <c r="F90" s="252" t="n"/>
      <c r="G90" s="252" t="n"/>
      <c r="H90" s="252" t="n"/>
      <c r="I90" s="252" t="n"/>
      <c r="J90" s="252" t="n"/>
      <c r="K90" s="253" t="n"/>
    </row>
    <row r="91" ht="31.5" customHeight="1">
      <c r="B91" s="254" t="n"/>
      <c r="C91" s="254" t="n"/>
      <c r="D91" s="254" t="n"/>
      <c r="E91" s="254" t="n"/>
      <c r="F91" s="254" t="n"/>
      <c r="G91" s="254" t="n"/>
      <c r="H91" s="254" t="n"/>
      <c r="I91" s="254" t="n"/>
      <c r="J91" s="254" t="n"/>
      <c r="K91" s="254" t="n"/>
    </row>
    <row r="92" ht="31.5" customHeight="1">
      <c r="B92" s="254" t="n"/>
      <c r="C92" s="254" t="n"/>
      <c r="D92" s="254" t="n"/>
      <c r="E92" s="254" t="n"/>
      <c r="F92" s="254" t="n"/>
      <c r="G92" s="254" t="n"/>
      <c r="H92" s="254" t="n"/>
      <c r="I92" s="254" t="n"/>
      <c r="J92" s="254" t="n"/>
      <c r="K92" s="254" t="n"/>
    </row>
    <row r="93" ht="31.5" customHeight="1">
      <c r="B93" s="254" t="n"/>
      <c r="C93" s="254" t="n"/>
      <c r="D93" s="254" t="n"/>
      <c r="E93" s="254" t="n"/>
      <c r="F93" s="254" t="n"/>
      <c r="G93" s="254" t="n"/>
      <c r="H93" s="254" t="n"/>
      <c r="I93" s="254" t="n"/>
      <c r="J93" s="254" t="n"/>
      <c r="K93" s="254" t="n"/>
    </row>
    <row r="94" ht="31.5" customHeight="1">
      <c r="B94" s="254" t="n"/>
      <c r="C94" s="254" t="n"/>
      <c r="D94" s="254" t="n"/>
      <c r="E94" s="254" t="n"/>
      <c r="F94" s="254" t="n"/>
      <c r="G94" s="254" t="n"/>
      <c r="H94" s="254" t="n"/>
      <c r="I94" s="254" t="n"/>
      <c r="J94" s="254" t="n"/>
      <c r="K94" s="254" t="n"/>
    </row>
    <row r="95" ht="31.5" customHeight="1">
      <c r="B95" s="254" t="n"/>
      <c r="C95" s="254" t="n"/>
      <c r="D95" s="254" t="n"/>
      <c r="E95" s="254" t="n"/>
      <c r="F95" s="254" t="n"/>
      <c r="G95" s="254" t="n"/>
      <c r="H95" s="254" t="n"/>
      <c r="I95" s="254" t="n"/>
      <c r="J95" s="254" t="n"/>
      <c r="K95" s="254" t="n"/>
    </row>
    <row r="96" ht="31.5" customHeight="1">
      <c r="B96" s="254" t="n"/>
      <c r="C96" s="254" t="n"/>
      <c r="D96" s="254" t="n"/>
      <c r="E96" s="254" t="n"/>
      <c r="F96" s="254" t="n"/>
      <c r="G96" s="254" t="n"/>
      <c r="H96" s="254" t="n"/>
      <c r="I96" s="254" t="n"/>
      <c r="J96" s="254" t="n"/>
      <c r="K96" s="254" t="n"/>
    </row>
    <row r="97" ht="31.5" customHeight="1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</row>
    <row r="98" ht="31.5" customHeight="1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</row>
    <row r="99" ht="31.5" customHeight="1">
      <c r="B99" s="254" t="n"/>
      <c r="C99" s="254" t="n"/>
      <c r="D99" s="254" t="n"/>
      <c r="E99" s="254" t="n"/>
      <c r="F99" s="254" t="n"/>
      <c r="G99" s="254" t="n"/>
      <c r="H99" s="254" t="n"/>
      <c r="I99" s="254" t="n"/>
      <c r="J99" s="254" t="n"/>
      <c r="K99" s="254" t="n"/>
    </row>
    <row r="100" ht="31.5" customHeight="1">
      <c r="B100" s="254" t="n"/>
      <c r="C100" s="254" t="n"/>
      <c r="D100" s="254" t="n"/>
      <c r="E100" s="254" t="n"/>
      <c r="F100" s="254" t="n"/>
      <c r="G100" s="254" t="n"/>
      <c r="H100" s="254" t="n"/>
      <c r="I100" s="254" t="n"/>
      <c r="J100" s="254" t="n"/>
      <c r="K100" s="254" t="n"/>
    </row>
    <row r="101" ht="31.5" customHeight="1">
      <c r="B101" s="254" t="n"/>
      <c r="C101" s="254" t="n"/>
      <c r="D101" s="254" t="n"/>
      <c r="E101" s="254" t="n"/>
      <c r="F101" s="254" t="n"/>
      <c r="G101" s="254" t="n"/>
      <c r="H101" s="254" t="n"/>
      <c r="I101" s="254" t="n"/>
      <c r="J101" s="254" t="n"/>
      <c r="K101" s="254" t="n"/>
    </row>
    <row r="102" ht="31.5" customHeight="1">
      <c r="B102" s="254" t="n"/>
      <c r="C102" s="254" t="n"/>
      <c r="D102" s="254" t="n"/>
      <c r="E102" s="254" t="n"/>
      <c r="F102" s="254" t="n"/>
      <c r="G102" s="254" t="n"/>
      <c r="H102" s="254" t="n"/>
      <c r="I102" s="254" t="n"/>
      <c r="J102" s="254" t="n"/>
      <c r="K102" s="254" t="n"/>
    </row>
    <row r="103" ht="31.5" customHeight="1">
      <c r="B103" s="254" t="n"/>
      <c r="C103" s="254" t="n"/>
      <c r="D103" s="254" t="n"/>
      <c r="E103" s="254" t="n"/>
      <c r="F103" s="254" t="n"/>
      <c r="G103" s="254" t="n"/>
      <c r="H103" s="254" t="n"/>
      <c r="I103" s="254" t="n"/>
      <c r="J103" s="254" t="n"/>
      <c r="K103" s="254" t="n"/>
    </row>
    <row r="104" ht="31.5" customHeight="1">
      <c r="B104" s="254" t="n"/>
      <c r="C104" s="254" t="n"/>
      <c r="D104" s="254" t="n"/>
      <c r="E104" s="254" t="n"/>
      <c r="F104" s="254" t="n"/>
      <c r="G104" s="254" t="n"/>
      <c r="H104" s="254" t="n"/>
      <c r="I104" s="254" t="n"/>
      <c r="J104" s="254" t="n"/>
      <c r="K104" s="254" t="n"/>
    </row>
    <row r="105" ht="31.5" customHeight="1">
      <c r="B105" s="254" t="n"/>
      <c r="C105" s="254" t="n"/>
      <c r="D105" s="254" t="n"/>
      <c r="E105" s="254" t="n"/>
      <c r="F105" s="254" t="n"/>
      <c r="G105" s="254" t="n"/>
      <c r="H105" s="254" t="n"/>
      <c r="I105" s="254" t="n"/>
      <c r="J105" s="254" t="n"/>
      <c r="K105" s="254" t="n"/>
    </row>
    <row r="106" ht="31.5" customHeight="1">
      <c r="B106" s="254" t="n"/>
      <c r="C106" s="254" t="n"/>
      <c r="D106" s="254" t="n"/>
      <c r="E106" s="254" t="n"/>
      <c r="F106" s="254" t="n"/>
      <c r="G106" s="254" t="n"/>
      <c r="H106" s="254" t="n"/>
      <c r="I106" s="254" t="n"/>
      <c r="J106" s="254" t="n"/>
      <c r="K106" s="254" t="n"/>
    </row>
    <row r="107" ht="31.5" customHeight="1">
      <c r="B107" s="254" t="n"/>
      <c r="C107" s="254" t="n"/>
      <c r="D107" s="254" t="n"/>
      <c r="E107" s="254" t="n"/>
      <c r="F107" s="254" t="n"/>
      <c r="G107" s="254" t="n"/>
      <c r="H107" s="254" t="n"/>
      <c r="I107" s="254" t="n"/>
      <c r="J107" s="254" t="n"/>
      <c r="K107" s="254" t="n"/>
    </row>
    <row r="108" ht="31.5" customHeight="1">
      <c r="B108" s="254" t="n"/>
      <c r="C108" s="254" t="n"/>
      <c r="D108" s="254" t="n"/>
      <c r="E108" s="254" t="n"/>
      <c r="F108" s="254" t="n"/>
      <c r="G108" s="254" t="n"/>
      <c r="H108" s="254" t="n"/>
      <c r="I108" s="254" t="n"/>
      <c r="J108" s="254" t="n"/>
      <c r="K108" s="254" t="n"/>
    </row>
    <row r="109" ht="31.5" customHeight="1">
      <c r="B109" s="254" t="n"/>
      <c r="C109" s="254" t="n"/>
      <c r="D109" s="254" t="n"/>
      <c r="E109" s="254" t="n"/>
      <c r="F109" s="254" t="n"/>
      <c r="G109" s="254" t="n"/>
      <c r="H109" s="254" t="n"/>
      <c r="I109" s="254" t="n"/>
      <c r="J109" s="254" t="n"/>
      <c r="K109" s="254" t="n"/>
    </row>
    <row r="110" ht="31.5" customHeight="1">
      <c r="B110" s="254" t="n"/>
      <c r="C110" s="254" t="n"/>
      <c r="D110" s="254" t="n"/>
      <c r="E110" s="254" t="n"/>
      <c r="F110" s="254" t="n"/>
      <c r="G110" s="254" t="n"/>
      <c r="H110" s="254" t="n"/>
      <c r="I110" s="254" t="n"/>
      <c r="J110" s="254" t="n"/>
      <c r="K110" s="254" t="n"/>
    </row>
    <row r="111" ht="31.5" customHeight="1">
      <c r="B111" s="254" t="n"/>
      <c r="C111" s="254" t="n"/>
      <c r="D111" s="254" t="n"/>
      <c r="E111" s="254" t="n"/>
      <c r="F111" s="254" t="n"/>
      <c r="G111" s="254" t="n"/>
      <c r="H111" s="254" t="n"/>
      <c r="I111" s="254" t="n"/>
      <c r="J111" s="254" t="n"/>
      <c r="K111" s="254" t="n"/>
    </row>
    <row r="112" ht="31.5" customHeight="1">
      <c r="B112" s="254" t="n"/>
      <c r="C112" s="254" t="n"/>
      <c r="D112" s="254" t="n"/>
      <c r="E112" s="254" t="n"/>
      <c r="F112" s="254" t="n"/>
      <c r="G112" s="254" t="n"/>
      <c r="H112" s="254" t="n"/>
      <c r="I112" s="254" t="n"/>
      <c r="J112" s="254" t="n"/>
      <c r="K112" s="254" t="n"/>
    </row>
    <row r="113" ht="31.5" customHeight="1">
      <c r="B113" s="254" t="n"/>
      <c r="C113" s="254" t="n"/>
      <c r="D113" s="254" t="n"/>
      <c r="E113" s="254" t="n"/>
      <c r="F113" s="254" t="n"/>
      <c r="G113" s="254" t="n"/>
      <c r="H113" s="254" t="n"/>
      <c r="I113" s="254" t="n"/>
      <c r="J113" s="254" t="n"/>
      <c r="K113" s="254" t="n"/>
    </row>
    <row r="114" ht="31.5" customHeight="1">
      <c r="B114" s="254" t="n"/>
      <c r="C114" s="254" t="n"/>
      <c r="D114" s="254" t="n"/>
      <c r="E114" s="254" t="n"/>
      <c r="F114" s="254" t="n"/>
      <c r="G114" s="254" t="n"/>
      <c r="H114" s="254" t="n"/>
      <c r="I114" s="254" t="n"/>
      <c r="J114" s="254" t="n"/>
      <c r="K114" s="254" t="n"/>
    </row>
    <row r="115" ht="31.5" customHeight="1">
      <c r="B115" s="254" t="n"/>
      <c r="C115" s="254" t="n"/>
      <c r="D115" s="254" t="n"/>
      <c r="E115" s="254" t="n"/>
      <c r="F115" s="254" t="n"/>
      <c r="G115" s="254" t="n"/>
      <c r="H115" s="254" t="n"/>
      <c r="I115" s="254" t="n"/>
      <c r="J115" s="254" t="n"/>
      <c r="K115" s="254" t="n"/>
    </row>
    <row r="116" ht="31.5" customHeight="1">
      <c r="B116" s="254" t="n"/>
      <c r="C116" s="254" t="n"/>
      <c r="D116" s="254" t="n"/>
      <c r="E116" s="254" t="n"/>
      <c r="F116" s="254" t="n"/>
      <c r="G116" s="254" t="n"/>
      <c r="H116" s="254" t="n"/>
      <c r="I116" s="254" t="n"/>
      <c r="J116" s="254" t="n"/>
      <c r="K116" s="254" t="n"/>
    </row>
    <row r="117" ht="31.5" customHeight="1">
      <c r="B117" s="254" t="n"/>
      <c r="C117" s="254" t="n"/>
      <c r="D117" s="254" t="n"/>
      <c r="E117" s="254" t="n"/>
      <c r="F117" s="254" t="n"/>
      <c r="G117" s="254" t="n"/>
      <c r="H117" s="254" t="n"/>
      <c r="I117" s="254" t="n"/>
      <c r="J117" s="254" t="n"/>
      <c r="K117" s="254" t="n"/>
    </row>
    <row r="118" ht="31.5" customHeight="1">
      <c r="B118" s="254" t="n"/>
      <c r="C118" s="254" t="n"/>
      <c r="D118" s="254" t="n"/>
      <c r="E118" s="254" t="n"/>
      <c r="F118" s="254" t="n"/>
      <c r="G118" s="254" t="n"/>
      <c r="H118" s="254" t="n"/>
      <c r="I118" s="254" t="n"/>
      <c r="J118" s="254" t="n"/>
      <c r="K118" s="254" t="n"/>
    </row>
    <row r="119" ht="31.5" customHeight="1">
      <c r="B119" s="254" t="n"/>
      <c r="C119" s="254" t="n"/>
      <c r="D119" s="254" t="n"/>
      <c r="E119" s="254" t="n"/>
      <c r="F119" s="254" t="n"/>
      <c r="G119" s="254" t="n"/>
      <c r="H119" s="254" t="n"/>
      <c r="I119" s="254" t="n"/>
      <c r="J119" s="254" t="n"/>
      <c r="K119" s="254" t="n"/>
    </row>
    <row r="120" ht="31.5" customHeight="1">
      <c r="B120" s="254" t="n"/>
      <c r="C120" s="254" t="n"/>
      <c r="D120" s="254" t="n"/>
      <c r="E120" s="254" t="n"/>
      <c r="F120" s="254" t="n"/>
      <c r="G120" s="254" t="n"/>
      <c r="H120" s="254" t="n"/>
      <c r="I120" s="254" t="n"/>
      <c r="J120" s="254" t="n"/>
      <c r="K120" s="254" t="n"/>
    </row>
    <row r="121" ht="31.5" customHeight="1">
      <c r="B121" s="254" t="n"/>
      <c r="C121" s="254" t="n"/>
      <c r="D121" s="254" t="n"/>
      <c r="E121" s="254" t="n"/>
      <c r="F121" s="254" t="n"/>
      <c r="G121" s="254" t="n"/>
      <c r="H121" s="254" t="n"/>
      <c r="I121" s="254" t="n"/>
      <c r="J121" s="254" t="n"/>
      <c r="K121" s="254" t="n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</sheetData>
  <mergeCells count="20">
    <mergeCell ref="E5:E6"/>
    <mergeCell ref="G23:G24"/>
    <mergeCell ref="E23:E24"/>
    <mergeCell ref="A36:K36"/>
    <mergeCell ref="A32:K33"/>
    <mergeCell ref="B23:B24"/>
    <mergeCell ref="A14:K17"/>
    <mergeCell ref="F23:F24"/>
    <mergeCell ref="A5:A6"/>
    <mergeCell ref="G5:G6"/>
    <mergeCell ref="B27:E27"/>
    <mergeCell ref="H5:J5"/>
    <mergeCell ref="A23:A24"/>
    <mergeCell ref="I23:I24"/>
    <mergeCell ref="B5:B6"/>
    <mergeCell ref="A22:K22"/>
    <mergeCell ref="A4:K4"/>
    <mergeCell ref="H23:H24"/>
    <mergeCell ref="J23:K23"/>
    <mergeCell ref="K5:K6"/>
  </mergeCells>
  <dataValidations count="2">
    <dataValidation sqref="E7:E11" showDropDown="0" showInputMessage="1" showErrorMessage="1" allowBlank="1" type="list">
      <formula1>"L/s, acción, %, regador, m3/ha/año"</formula1>
    </dataValidation>
    <dataValidation sqref="F7:G11 H25:H26" showDropDown="0" showInputMessage="1" showErrorMessage="1" allowBlank="1" type="list">
      <formula1>"SÍ, NO"</formula1>
    </dataValidation>
  </dataValidations>
  <printOptions horizontalCentered="1"/>
  <pageMargins left="0.7086614173228347" right="0.7086614173228347" top="0.7480314960629921" bottom="0.7480314960629921" header="0" footer="0"/>
  <pageSetup orientation="portrait" scale="60"/>
  <rowBreaks count="2" manualBreakCount="2">
    <brk id="34" min="0" max="9" man="1"/>
    <brk id="90" min="0" max="9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64"/>
  <sheetViews>
    <sheetView showGridLines="0" view="pageBreakPreview" topLeftCell="A21" zoomScale="80" zoomScaleNormal="100" zoomScaleSheetLayoutView="80" workbookViewId="0">
      <selection activeCell="V18" sqref="V18"/>
    </sheetView>
  </sheetViews>
  <sheetFormatPr baseColWidth="10" defaultColWidth="14.44140625" defaultRowHeight="15" customHeight="1"/>
  <cols>
    <col width="3.33203125" customWidth="1" style="1197" min="1" max="1"/>
    <col width="24.33203125" customWidth="1" style="1197" min="2" max="2"/>
    <col width="10.6640625" customWidth="1" style="1197" min="3" max="3"/>
    <col width="9.109375" customWidth="1" style="1197" min="4" max="4"/>
    <col width="9.6640625" customWidth="1" style="1197" min="5" max="5"/>
    <col width="11.6640625" customWidth="1" style="1197" min="6" max="6"/>
    <col width="10.44140625" customWidth="1" style="1197" min="7" max="7"/>
    <col width="10.6640625" customWidth="1" style="1197" min="8" max="8"/>
    <col width="10.33203125" customWidth="1" style="1197" min="9" max="9"/>
    <col width="11.6640625" customWidth="1" style="1197" min="10" max="10"/>
    <col width="10.6640625" customWidth="1" style="1197" min="11" max="11"/>
    <col width="9.33203125" customWidth="1" style="1197" min="12" max="13"/>
    <col width="8.109375" customWidth="1" style="1197" min="14" max="14"/>
    <col width="9" customWidth="1" style="1197" min="15" max="15"/>
    <col width="9.6640625" customWidth="1" style="1197" min="16" max="16"/>
    <col width="10.44140625" customWidth="1" style="1197" min="17" max="17"/>
    <col width="12.6640625" customWidth="1" style="1197" min="18" max="18"/>
    <col width="17.33203125" customWidth="1" style="1197" min="19" max="19"/>
    <col width="2.6640625" customWidth="1" style="1197" min="20" max="20"/>
    <col hidden="1" width="5.33203125" customWidth="1" style="1197" min="21" max="21"/>
    <col width="10.6640625" customWidth="1" style="1197" min="22" max="26"/>
    <col width="14.44140625" customWidth="1" style="1197" min="27" max="27"/>
    <col width="14.44140625" customWidth="1" style="1197" min="28" max="16384"/>
  </cols>
  <sheetData>
    <row r="1" ht="9" customHeight="1">
      <c r="A1" s="1198" t="n"/>
      <c r="T1" s="255" t="n"/>
      <c r="U1" s="255" t="n"/>
      <c r="V1" s="255" t="n"/>
      <c r="W1" s="255" t="n"/>
      <c r="X1" s="255" t="n"/>
      <c r="Y1" s="255" t="n"/>
      <c r="Z1" s="255" t="n"/>
    </row>
    <row r="2" ht="9" customHeight="1" thickBot="1">
      <c r="A2" s="257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8" t="n"/>
      <c r="M2" s="258" t="n"/>
      <c r="N2" s="258" t="n"/>
      <c r="O2" s="258" t="n"/>
      <c r="P2" s="258" t="n"/>
      <c r="Q2" s="258" t="n"/>
      <c r="R2" s="258" t="n"/>
      <c r="S2" s="259" t="n"/>
      <c r="T2" s="255" t="n"/>
      <c r="U2" s="255" t="n"/>
      <c r="V2" s="255" t="n"/>
      <c r="W2" s="255" t="n"/>
      <c r="X2" s="255" t="n"/>
      <c r="Y2" s="255" t="n"/>
      <c r="Z2" s="255" t="n"/>
    </row>
    <row r="3" ht="21" customHeight="1" thickBot="1">
      <c r="A3" s="573" t="inlineStr">
        <is>
          <t>5- DESCRIPCIÓN DE INFRAESTRUCTURA E INSTALACIONES</t>
        </is>
      </c>
      <c r="B3" s="574" t="n"/>
      <c r="C3" s="574" t="n"/>
      <c r="D3" s="574" t="n"/>
      <c r="E3" s="574" t="n"/>
      <c r="F3" s="574" t="n"/>
      <c r="G3" s="574" t="n"/>
      <c r="H3" s="574" t="n"/>
      <c r="I3" s="574" t="n"/>
      <c r="J3" s="574" t="n"/>
      <c r="K3" s="574" t="n"/>
      <c r="L3" s="574" t="n"/>
      <c r="M3" s="574" t="n"/>
      <c r="N3" s="574" t="n"/>
      <c r="O3" s="574" t="n"/>
      <c r="P3" s="574" t="inlineStr">
        <is>
          <t>USD</t>
        </is>
      </c>
      <c r="Q3" s="1241">
        <f>USD</f>
        <v/>
      </c>
      <c r="R3" s="576" t="inlineStr">
        <is>
          <t>UF</t>
        </is>
      </c>
      <c r="S3" s="1242">
        <f>UF</f>
        <v/>
      </c>
      <c r="T3" s="260" t="n"/>
      <c r="U3" s="260" t="n"/>
      <c r="V3" s="260" t="n"/>
      <c r="W3" s="260" t="n"/>
      <c r="X3" s="260" t="n"/>
      <c r="Y3" s="260" t="n"/>
      <c r="Z3" s="260" t="n"/>
    </row>
    <row r="4" ht="28.5" customHeight="1" thickBot="1">
      <c r="A4" s="1203" t="inlineStr">
        <is>
          <t xml:space="preserve">5.1.- CONSTRUCCIONES HIPOTECABLES </t>
        </is>
      </c>
      <c r="B4" s="262" t="n"/>
      <c r="C4" s="262" t="n"/>
      <c r="D4" s="262" t="n"/>
      <c r="E4" s="262" t="n"/>
      <c r="F4" s="262" t="n"/>
      <c r="G4" s="262" t="n"/>
      <c r="H4" s="262" t="n"/>
      <c r="I4" s="262" t="n"/>
      <c r="J4" s="262" t="n"/>
      <c r="K4" s="262" t="n"/>
      <c r="L4" s="262" t="n"/>
      <c r="M4" s="262" t="n"/>
      <c r="N4" s="262" t="n"/>
      <c r="O4" s="262" t="n"/>
      <c r="P4" s="262" t="n"/>
      <c r="Q4" s="262" t="n"/>
      <c r="R4" s="262" t="n"/>
      <c r="S4" s="258" t="n"/>
      <c r="T4" s="255" t="n"/>
      <c r="U4" s="255" t="n"/>
      <c r="V4" s="255" t="n"/>
      <c r="W4" s="255" t="n"/>
      <c r="X4" s="255" t="n"/>
      <c r="Y4" s="255" t="n"/>
      <c r="Z4" s="255" t="n"/>
    </row>
    <row r="5" ht="63.75" customHeight="1">
      <c r="A5" s="263" t="inlineStr">
        <is>
          <t>N°</t>
        </is>
      </c>
      <c r="B5" s="264" t="inlineStr">
        <is>
          <t xml:space="preserve">EDIFICACIONES </t>
        </is>
      </c>
      <c r="C5" s="1199" t="inlineStr">
        <is>
          <t>Estado conservación</t>
        </is>
      </c>
      <c r="D5" s="266" t="inlineStr">
        <is>
          <t>Ubicación
Rol</t>
        </is>
      </c>
      <c r="E5" s="266" t="inlineStr">
        <is>
          <t>Superficie
m2</t>
        </is>
      </c>
      <c r="F5" s="266" t="inlineStr">
        <is>
          <t>Estructura 
Vertical Principal</t>
        </is>
      </c>
      <c r="G5" s="266" t="inlineStr">
        <is>
          <t>Data
Aprox.</t>
        </is>
      </c>
      <c r="H5" s="266" t="inlineStr">
        <is>
          <t>Estructura
Techumbre</t>
        </is>
      </c>
      <c r="I5" s="267" t="inlineStr">
        <is>
          <t>Pavimentos</t>
        </is>
      </c>
      <c r="J5" s="266" t="inlineStr">
        <is>
          <t>Cubierta</t>
        </is>
      </c>
      <c r="K5" s="266" t="inlineStr">
        <is>
          <t>Revestimiento
 Vertical</t>
        </is>
      </c>
      <c r="L5" s="266" t="inlineStr">
        <is>
          <t>Bien asegurable 
Sí/NO</t>
        </is>
      </c>
      <c r="M5" s="266" t="inlineStr">
        <is>
          <t>Costo Reposición
UF/m2</t>
        </is>
      </c>
      <c r="N5" s="266" t="inlineStr">
        <is>
          <t>Vida Útil
Total (años)</t>
        </is>
      </c>
      <c r="O5" s="266" t="inlineStr">
        <is>
          <t>Vida remanente
(años)</t>
        </is>
      </c>
      <c r="P5" s="266" t="inlineStr">
        <is>
          <t>Valor residual estimado
%</t>
        </is>
      </c>
      <c r="Q5" s="266" t="inlineStr">
        <is>
          <t>Valor 
Unitario 
depreciado
UF/m2</t>
        </is>
      </c>
      <c r="R5" s="266" t="inlineStr">
        <is>
          <t>Valor 
Unitario 
$/m2</t>
        </is>
      </c>
      <c r="S5" s="268" t="inlineStr">
        <is>
          <t>Valor Total
Actual
$</t>
        </is>
      </c>
      <c r="T5" s="255" t="n"/>
      <c r="U5" s="255" t="n"/>
      <c r="V5" s="255" t="n"/>
      <c r="W5" s="255" t="n"/>
      <c r="X5" s="255" t="n"/>
      <c r="Y5" s="255" t="n"/>
      <c r="Z5" s="255" t="n"/>
    </row>
    <row r="6" ht="30" customFormat="1" customHeight="1" s="280">
      <c r="A6" s="269" t="n">
        <v>1</v>
      </c>
      <c r="B6" s="270" t="n"/>
      <c r="C6" s="270" t="n"/>
      <c r="D6" s="270" t="n"/>
      <c r="E6" s="271" t="n"/>
      <c r="F6" s="272" t="n"/>
      <c r="G6" s="273" t="n"/>
      <c r="H6" s="272" t="n"/>
      <c r="I6" s="272" t="n"/>
      <c r="J6" s="270" t="n"/>
      <c r="K6" s="272" t="n"/>
      <c r="L6" s="272" t="n"/>
      <c r="M6" s="1243" t="n"/>
      <c r="N6" s="272" t="n"/>
      <c r="O6" s="273" t="n"/>
      <c r="P6" s="275" t="n"/>
      <c r="Q6" s="276" t="n"/>
      <c r="R6" s="1244" t="n"/>
      <c r="S6" s="1245" t="n"/>
      <c r="T6" s="279" t="n"/>
      <c r="U6" s="279" t="n"/>
      <c r="V6" s="279" t="n"/>
      <c r="W6" s="279" t="n"/>
      <c r="X6" s="279" t="n"/>
      <c r="Y6" s="279" t="n"/>
      <c r="Z6" s="279" t="n"/>
    </row>
    <row r="7" ht="30" customFormat="1" customHeight="1" s="280">
      <c r="A7" s="269" t="n">
        <v>2</v>
      </c>
      <c r="B7" s="270" t="n"/>
      <c r="C7" s="270" t="n"/>
      <c r="D7" s="270" t="n"/>
      <c r="E7" s="271" t="n"/>
      <c r="F7" s="272" t="n"/>
      <c r="G7" s="273" t="n"/>
      <c r="H7" s="272" t="n"/>
      <c r="I7" s="272" t="n"/>
      <c r="J7" s="270" t="n"/>
      <c r="K7" s="272" t="n"/>
      <c r="L7" s="272" t="n"/>
      <c r="M7" s="1243" t="n"/>
      <c r="N7" s="272" t="n"/>
      <c r="O7" s="273" t="n"/>
      <c r="P7" s="275" t="n"/>
      <c r="Q7" s="276" t="n"/>
      <c r="R7" s="1244" t="n"/>
      <c r="S7" s="1245" t="n"/>
      <c r="T7" s="279" t="n"/>
      <c r="U7" s="279" t="n"/>
      <c r="V7" s="279" t="n"/>
      <c r="W7" s="279" t="n"/>
      <c r="X7" s="279" t="n"/>
      <c r="Y7" s="279" t="n"/>
      <c r="Z7" s="279" t="n"/>
    </row>
    <row r="8" ht="30" customFormat="1" customHeight="1" s="280">
      <c r="A8" s="269" t="n">
        <v>3</v>
      </c>
      <c r="B8" s="270" t="n"/>
      <c r="C8" s="270" t="n"/>
      <c r="D8" s="270" t="n"/>
      <c r="E8" s="271" t="n"/>
      <c r="F8" s="272" t="n"/>
      <c r="G8" s="273" t="n"/>
      <c r="H8" s="272" t="n"/>
      <c r="I8" s="272" t="n"/>
      <c r="J8" s="270" t="n"/>
      <c r="K8" s="272" t="n"/>
      <c r="L8" s="272" t="n"/>
      <c r="M8" s="1243" t="n"/>
      <c r="N8" s="272" t="n"/>
      <c r="O8" s="273" t="n"/>
      <c r="P8" s="275" t="n"/>
      <c r="Q8" s="276" t="n"/>
      <c r="R8" s="1244" t="n"/>
      <c r="S8" s="1245" t="n"/>
      <c r="T8" s="279" t="n"/>
      <c r="U8" s="279" t="n"/>
      <c r="V8" s="279" t="n"/>
      <c r="W8" s="279" t="n"/>
      <c r="X8" s="279" t="n"/>
      <c r="Y8" s="279" t="n"/>
      <c r="Z8" s="279" t="n"/>
    </row>
    <row r="9" ht="30" customFormat="1" customHeight="1" s="280">
      <c r="A9" s="269" t="n">
        <v>4</v>
      </c>
      <c r="B9" s="270" t="n"/>
      <c r="C9" s="270" t="n"/>
      <c r="D9" s="270" t="n"/>
      <c r="E9" s="271" t="n"/>
      <c r="F9" s="272" t="n"/>
      <c r="G9" s="273" t="n"/>
      <c r="H9" s="272" t="n"/>
      <c r="I9" s="272" t="n"/>
      <c r="J9" s="270" t="n"/>
      <c r="K9" s="272" t="n"/>
      <c r="L9" s="272" t="n"/>
      <c r="M9" s="1243" t="n"/>
      <c r="N9" s="272" t="n"/>
      <c r="O9" s="273" t="n"/>
      <c r="P9" s="275" t="n"/>
      <c r="Q9" s="276" t="n"/>
      <c r="R9" s="1244" t="n"/>
      <c r="S9" s="1245" t="n"/>
      <c r="T9" s="279" t="n"/>
      <c r="U9" s="279" t="n"/>
      <c r="V9" s="279" t="n"/>
      <c r="W9" s="279" t="n"/>
      <c r="X9" s="279" t="n"/>
      <c r="Y9" s="279" t="n"/>
      <c r="Z9" s="279" t="n"/>
    </row>
    <row r="10" ht="30" customFormat="1" customHeight="1" s="280">
      <c r="A10" s="269" t="n">
        <v>5</v>
      </c>
      <c r="B10" s="270" t="n"/>
      <c r="C10" s="270" t="n"/>
      <c r="D10" s="270" t="n"/>
      <c r="E10" s="271" t="n"/>
      <c r="F10" s="272" t="n"/>
      <c r="G10" s="273" t="n"/>
      <c r="H10" s="272" t="n"/>
      <c r="I10" s="272" t="n"/>
      <c r="J10" s="270" t="n"/>
      <c r="K10" s="272" t="n"/>
      <c r="L10" s="272" t="n"/>
      <c r="M10" s="1243" t="n"/>
      <c r="N10" s="272" t="n"/>
      <c r="O10" s="273" t="n"/>
      <c r="P10" s="275" t="n"/>
      <c r="Q10" s="276" t="n"/>
      <c r="R10" s="1244" t="n"/>
      <c r="S10" s="1245" t="n"/>
      <c r="T10" s="279" t="n"/>
      <c r="U10" s="279" t="n"/>
      <c r="V10" s="279" t="n"/>
      <c r="W10" s="279" t="n"/>
      <c r="X10" s="279" t="n"/>
      <c r="Y10" s="279" t="n"/>
      <c r="Z10" s="279" t="n"/>
    </row>
    <row r="11" ht="22.5" customHeight="1" thickBot="1">
      <c r="A11" s="281" t="n"/>
      <c r="B11" s="282" t="inlineStr">
        <is>
          <t xml:space="preserve">Superficie Total </t>
        </is>
      </c>
      <c r="C11" s="283" t="n"/>
      <c r="D11" s="284" t="n"/>
      <c r="E11" s="285">
        <f>SUM(E6:E10)</f>
        <v/>
      </c>
      <c r="F11" s="286" t="n"/>
      <c r="G11" s="287" t="n"/>
      <c r="H11" s="286" t="n"/>
      <c r="I11" s="286" t="n"/>
      <c r="J11" s="286" t="n"/>
      <c r="K11" s="286" t="n"/>
      <c r="L11" s="286" t="n"/>
      <c r="M11" s="288" t="n"/>
      <c r="N11" s="286" t="n"/>
      <c r="O11" s="287" t="n"/>
      <c r="P11" s="287" t="n"/>
      <c r="Q11" s="288" t="n"/>
      <c r="R11" s="288" t="n"/>
      <c r="S11" s="1246">
        <f>SUM(S6:S10)</f>
        <v/>
      </c>
      <c r="T11" s="255" t="n"/>
      <c r="U11" s="255" t="n"/>
      <c r="V11" s="255" t="n"/>
      <c r="W11" s="255" t="n"/>
      <c r="X11" s="255" t="n"/>
      <c r="Y11" s="255" t="n"/>
      <c r="Z11" s="255" t="n"/>
    </row>
    <row r="12" ht="21.75" customHeight="1" thickBot="1">
      <c r="A12" s="290" t="n"/>
      <c r="B12" s="291" t="n"/>
      <c r="C12" s="291" t="n"/>
      <c r="D12" s="290" t="n"/>
      <c r="E12" s="292" t="n"/>
      <c r="F12" s="293" t="n"/>
      <c r="G12" s="294" t="n"/>
      <c r="H12" s="293" t="n"/>
      <c r="I12" s="293" t="n"/>
      <c r="J12" s="293" t="n"/>
      <c r="K12" s="293" t="n"/>
      <c r="L12" s="293" t="n"/>
      <c r="M12" s="295" t="n"/>
      <c r="N12" s="293" t="n"/>
      <c r="O12" s="294" t="n"/>
      <c r="P12" s="294" t="n"/>
      <c r="Q12" s="295" t="n"/>
      <c r="R12" s="295" t="n"/>
      <c r="S12" s="1247">
        <f>S11/$Q$3</f>
        <v/>
      </c>
      <c r="T12" s="255" t="n"/>
      <c r="U12" s="255" t="n"/>
      <c r="V12" s="255" t="n"/>
      <c r="W12" s="255" t="n"/>
      <c r="X12" s="255" t="n"/>
      <c r="Y12" s="255" t="n"/>
      <c r="Z12" s="255" t="n"/>
    </row>
    <row r="13" ht="15" customHeight="1" thickBot="1">
      <c r="A13" s="1203" t="inlineStr">
        <is>
          <t xml:space="preserve">5.2.- CONSTRUCCIONES  PRENDABLES </t>
        </is>
      </c>
      <c r="B13" s="262" t="n"/>
      <c r="C13" s="262" t="n"/>
      <c r="D13" s="262" t="n"/>
      <c r="E13" s="262" t="n"/>
      <c r="F13" s="262" t="n"/>
      <c r="G13" s="262" t="n"/>
      <c r="H13" s="262" t="n"/>
      <c r="I13" s="262" t="n"/>
      <c r="J13" s="262" t="n"/>
      <c r="K13" s="262" t="n"/>
      <c r="L13" s="262" t="n"/>
      <c r="M13" s="262" t="n"/>
      <c r="N13" s="262" t="n"/>
      <c r="O13" s="262" t="n"/>
      <c r="P13" s="262" t="n"/>
      <c r="Q13" s="262" t="n"/>
      <c r="R13" s="262" t="n"/>
      <c r="S13" s="258" t="n"/>
      <c r="T13" s="255" t="n"/>
      <c r="U13" s="255" t="n"/>
      <c r="V13" s="255" t="n"/>
      <c r="W13" s="255" t="n"/>
      <c r="X13" s="255" t="n"/>
      <c r="Y13" s="255" t="n"/>
      <c r="Z13" s="255" t="n"/>
    </row>
    <row r="14" ht="63" customHeight="1" thickBot="1">
      <c r="A14" s="297" t="inlineStr">
        <is>
          <t>N°</t>
        </is>
      </c>
      <c r="B14" s="298" t="inlineStr">
        <is>
          <t xml:space="preserve">EDIFICACIONES </t>
        </is>
      </c>
      <c r="C14" s="299" t="inlineStr">
        <is>
          <t>Estado conservación</t>
        </is>
      </c>
      <c r="D14" s="298" t="inlineStr">
        <is>
          <t>Ubicación
Rol</t>
        </is>
      </c>
      <c r="E14" s="298" t="inlineStr">
        <is>
          <t>Superficie
m2</t>
        </is>
      </c>
      <c r="F14" s="298" t="inlineStr">
        <is>
          <t>Estructura 
Vertical Principal</t>
        </is>
      </c>
      <c r="G14" s="298" t="inlineStr">
        <is>
          <t>Data
Aprox.</t>
        </is>
      </c>
      <c r="H14" s="298" t="inlineStr">
        <is>
          <t>Estructura
Techumbre</t>
        </is>
      </c>
      <c r="I14" s="300" t="inlineStr">
        <is>
          <t>Pavimentos</t>
        </is>
      </c>
      <c r="J14" s="298" t="inlineStr">
        <is>
          <t>Cubierta</t>
        </is>
      </c>
      <c r="K14" s="298" t="inlineStr">
        <is>
          <t>Revestimiento
 Vertical</t>
        </is>
      </c>
      <c r="L14" s="298" t="inlineStr">
        <is>
          <t>Bien asegurable 
Sí/NO</t>
        </is>
      </c>
      <c r="M14" s="298" t="inlineStr">
        <is>
          <t>Costo Reposición
UF/m2</t>
        </is>
      </c>
      <c r="N14" s="298" t="inlineStr">
        <is>
          <t>Vida Útil
Total (años)</t>
        </is>
      </c>
      <c r="O14" s="298" t="inlineStr">
        <is>
          <t>Vida remanente
(años)</t>
        </is>
      </c>
      <c r="P14" s="298" t="inlineStr">
        <is>
          <t>Valor residual estimado
%</t>
        </is>
      </c>
      <c r="Q14" s="298" t="inlineStr">
        <is>
          <t>Valor 
Unitario 
depreciado
UF/m2</t>
        </is>
      </c>
      <c r="R14" s="298" t="inlineStr">
        <is>
          <t>Valor 
Unitario 
$/m2</t>
        </is>
      </c>
      <c r="S14" s="301" t="inlineStr">
        <is>
          <t>Valor Total
Actual
$</t>
        </is>
      </c>
      <c r="T14" s="255" t="n"/>
      <c r="U14" s="255" t="n"/>
      <c r="V14" s="255" t="n"/>
      <c r="W14" s="255" t="n"/>
      <c r="X14" s="255" t="n"/>
      <c r="Y14" s="255" t="n"/>
      <c r="Z14" s="255" t="n"/>
    </row>
    <row r="15" ht="30" customHeight="1">
      <c r="A15" s="302" t="n">
        <v>1</v>
      </c>
      <c r="B15" s="303" t="n"/>
      <c r="C15" s="303" t="n"/>
      <c r="D15" s="303" t="n"/>
      <c r="E15" s="304" t="n"/>
      <c r="F15" s="305" t="n"/>
      <c r="G15" s="306" t="n"/>
      <c r="H15" s="305" t="n"/>
      <c r="I15" s="305" t="n"/>
      <c r="J15" s="303" t="n"/>
      <c r="K15" s="303" t="n"/>
      <c r="L15" s="305" t="n"/>
      <c r="M15" s="1248" t="n"/>
      <c r="N15" s="305" t="n"/>
      <c r="O15" s="306" t="n"/>
      <c r="P15" s="308" t="n"/>
      <c r="Q15" s="309" t="n"/>
      <c r="R15" s="1249" t="n"/>
      <c r="S15" s="1250" t="n"/>
      <c r="T15" s="255" t="n"/>
      <c r="U15" s="255" t="n"/>
      <c r="V15" s="255" t="n"/>
      <c r="W15" s="255" t="n"/>
      <c r="X15" s="255" t="n"/>
      <c r="Y15" s="255" t="n"/>
      <c r="Z15" s="255" t="n"/>
    </row>
    <row r="16" ht="30" customHeight="1">
      <c r="A16" s="302" t="n">
        <v>2</v>
      </c>
      <c r="B16" s="303" t="n"/>
      <c r="C16" s="303" t="n"/>
      <c r="D16" s="303" t="n"/>
      <c r="E16" s="312" t="n"/>
      <c r="F16" s="313" t="n"/>
      <c r="G16" s="306" t="n"/>
      <c r="H16" s="305" t="n"/>
      <c r="I16" s="305" t="n"/>
      <c r="J16" s="303" t="n"/>
      <c r="K16" s="303" t="n"/>
      <c r="L16" s="305" t="n"/>
      <c r="M16" s="1248" t="n"/>
      <c r="N16" s="305" t="n"/>
      <c r="O16" s="306" t="n"/>
      <c r="P16" s="308" t="n"/>
      <c r="Q16" s="309" t="n"/>
      <c r="R16" s="1249" t="n"/>
      <c r="S16" s="1250" t="n"/>
      <c r="T16" s="255" t="n"/>
      <c r="U16" s="255" t="n"/>
      <c r="V16" s="255" t="n"/>
      <c r="W16" s="255" t="n"/>
      <c r="X16" s="255" t="n"/>
      <c r="Y16" s="255" t="n"/>
      <c r="Z16" s="255" t="n"/>
    </row>
    <row r="17" ht="30" customHeight="1">
      <c r="A17" s="302" t="n"/>
      <c r="B17" s="303" t="n"/>
      <c r="C17" s="303" t="n"/>
      <c r="D17" s="303" t="n"/>
      <c r="E17" s="313" t="n"/>
      <c r="F17" s="305" t="n"/>
      <c r="G17" s="306" t="n"/>
      <c r="H17" s="305" t="n"/>
      <c r="I17" s="305" t="n"/>
      <c r="J17" s="303" t="n"/>
      <c r="K17" s="303" t="n"/>
      <c r="L17" s="305" t="n"/>
      <c r="M17" s="1248" t="n"/>
      <c r="N17" s="305" t="n"/>
      <c r="O17" s="306" t="n"/>
      <c r="P17" s="308" t="n"/>
      <c r="Q17" s="309" t="n"/>
      <c r="R17" s="1249" t="n"/>
      <c r="S17" s="1250" t="n"/>
      <c r="T17" s="255" t="n"/>
      <c r="U17" s="255" t="n"/>
      <c r="V17" s="255" t="n"/>
      <c r="W17" s="255" t="n"/>
      <c r="X17" s="255" t="n"/>
      <c r="Y17" s="255" t="n"/>
      <c r="Z17" s="255" t="n"/>
    </row>
    <row r="18" ht="34.95" customHeight="1" thickBot="1">
      <c r="A18" s="314" t="n"/>
      <c r="B18" s="315" t="inlineStr">
        <is>
          <t xml:space="preserve">Superficie Total </t>
        </is>
      </c>
      <c r="C18" s="316" t="n"/>
      <c r="D18" s="317" t="n"/>
      <c r="E18" s="318">
        <f>SUM(E15:E17)</f>
        <v/>
      </c>
      <c r="F18" s="319" t="n"/>
      <c r="G18" s="320" t="n"/>
      <c r="H18" s="319" t="n"/>
      <c r="I18" s="319" t="n"/>
      <c r="J18" s="319" t="n"/>
      <c r="K18" s="319" t="n"/>
      <c r="L18" s="319" t="n"/>
      <c r="M18" s="321" t="n"/>
      <c r="N18" s="319" t="n"/>
      <c r="O18" s="320" t="n"/>
      <c r="P18" s="320" t="n"/>
      <c r="Q18" s="321" t="n"/>
      <c r="R18" s="321" t="n"/>
      <c r="S18" s="1251">
        <f>SUM(S15:S17)</f>
        <v/>
      </c>
      <c r="T18" s="255" t="n"/>
      <c r="U18" s="255" t="n"/>
      <c r="V18" s="255" t="n"/>
      <c r="W18" s="255" t="n"/>
      <c r="X18" s="255" t="n"/>
      <c r="Y18" s="255" t="n"/>
      <c r="Z18" s="255" t="n"/>
    </row>
    <row r="19" ht="22.5" customHeight="1" thickBot="1">
      <c r="A19" s="290" t="n"/>
      <c r="B19" s="291" t="n"/>
      <c r="C19" s="291" t="n"/>
      <c r="D19" s="290" t="n"/>
      <c r="E19" s="292" t="n"/>
      <c r="F19" s="293" t="n"/>
      <c r="G19" s="294" t="n"/>
      <c r="H19" s="293" t="n"/>
      <c r="I19" s="293" t="n"/>
      <c r="J19" s="293" t="n"/>
      <c r="K19" s="293" t="n"/>
      <c r="L19" s="293" t="n"/>
      <c r="M19" s="295" t="n"/>
      <c r="N19" s="293" t="n"/>
      <c r="O19" s="294" t="n"/>
      <c r="P19" s="294" t="n"/>
      <c r="Q19" s="295" t="n"/>
      <c r="R19" s="295" t="n"/>
      <c r="S19" s="1247">
        <f>S18/$Q$3</f>
        <v/>
      </c>
      <c r="T19" s="255" t="n"/>
      <c r="U19" s="255" t="n"/>
      <c r="V19" s="255" t="n"/>
      <c r="W19" s="255" t="n"/>
      <c r="X19" s="255" t="n"/>
      <c r="Y19" s="255" t="n"/>
      <c r="Z19" s="255" t="n"/>
    </row>
    <row r="20" ht="15" customHeight="1" thickBot="1">
      <c r="A20" s="1203" t="inlineStr">
        <is>
          <t>5.3.- INSTALACIONES Y OBRAS COMPLEMENTARIAS</t>
        </is>
      </c>
      <c r="B20" s="262" t="n"/>
      <c r="C20" s="262" t="n"/>
      <c r="D20" s="262" t="n"/>
      <c r="E20" s="262" t="n"/>
      <c r="F20" s="262" t="n"/>
      <c r="G20" s="262" t="n"/>
      <c r="H20" s="262" t="n"/>
      <c r="I20" s="262" t="n"/>
      <c r="J20" s="262" t="n"/>
      <c r="K20" s="262" t="n"/>
      <c r="L20" s="262" t="n"/>
      <c r="M20" s="262" t="n"/>
      <c r="N20" s="262" t="n"/>
      <c r="O20" s="262" t="n"/>
      <c r="P20" s="262" t="n"/>
      <c r="Q20" s="262" t="n"/>
      <c r="R20" s="262" t="n"/>
      <c r="S20" s="258" t="n"/>
      <c r="T20" s="255" t="n"/>
      <c r="U20" s="255" t="n"/>
      <c r="V20" s="255" t="n"/>
      <c r="W20" s="255" t="n"/>
      <c r="X20" s="255" t="n"/>
      <c r="Y20" s="255" t="n"/>
      <c r="Z20" s="255" t="n"/>
    </row>
    <row r="21" ht="52.2" customHeight="1" thickBot="1">
      <c r="A21" s="263" t="inlineStr">
        <is>
          <t>N°</t>
        </is>
      </c>
      <c r="B21" s="1199" t="inlineStr">
        <is>
          <t>ÍTEM</t>
        </is>
      </c>
      <c r="C21" s="1199" t="inlineStr">
        <is>
          <t>Estado conservación</t>
        </is>
      </c>
      <c r="D21" s="1199" t="inlineStr">
        <is>
          <t>Ubicación
Rol</t>
        </is>
      </c>
      <c r="E21" s="1199" t="inlineStr">
        <is>
          <t>Cantidad</t>
        </is>
      </c>
      <c r="F21" s="1199" t="inlineStr">
        <is>
          <t>Unidad</t>
        </is>
      </c>
      <c r="G21" s="1199" t="inlineStr">
        <is>
          <t>Data
Aprox.</t>
        </is>
      </c>
      <c r="H21" s="1199" t="inlineStr">
        <is>
          <t>Descripción General</t>
        </is>
      </c>
      <c r="I21" s="1080" t="n"/>
      <c r="J21" s="1080" t="n"/>
      <c r="K21" s="1200" t="n"/>
      <c r="L21" s="266" t="inlineStr">
        <is>
          <t>Bien asegurable 
Sí/NO</t>
        </is>
      </c>
      <c r="M21" s="1199" t="inlineStr">
        <is>
          <t>Costo Reposición
Unitario UF</t>
        </is>
      </c>
      <c r="N21" s="1199" t="inlineStr">
        <is>
          <t>Vida Útil
Total (años)</t>
        </is>
      </c>
      <c r="O21" s="1199" t="inlineStr">
        <is>
          <t>Vida remanente
(años)</t>
        </is>
      </c>
      <c r="P21" s="1199" t="inlineStr">
        <is>
          <t>Valor residual estimado</t>
        </is>
      </c>
      <c r="Q21" s="1199" t="inlineStr">
        <is>
          <t>Valor Unitario 
depreciado</t>
        </is>
      </c>
      <c r="R21" s="1199" t="inlineStr">
        <is>
          <t>Valor Unitario $</t>
        </is>
      </c>
      <c r="S21" s="1017" t="inlineStr">
        <is>
          <t>Valor Total
Actual
$</t>
        </is>
      </c>
      <c r="T21" s="255" t="n"/>
      <c r="U21" s="255" t="n"/>
      <c r="V21" s="255" t="n"/>
      <c r="W21" s="255" t="n"/>
      <c r="X21" s="255" t="n"/>
      <c r="Y21" s="255" t="n"/>
      <c r="Z21" s="255" t="n"/>
    </row>
    <row r="22" ht="82.5" customHeight="1" thickBot="1">
      <c r="A22" s="1018" t="n">
        <v>1</v>
      </c>
      <c r="B22" s="1019" t="n"/>
      <c r="C22" s="1194" t="n"/>
      <c r="D22" s="1021" t="n"/>
      <c r="E22" s="1022" t="n"/>
      <c r="F22" s="1023" t="n"/>
      <c r="G22" s="1024" t="n"/>
      <c r="H22" s="1194" t="n"/>
      <c r="I22" s="1144" t="n"/>
      <c r="J22" s="1144" t="n"/>
      <c r="K22" s="1195" t="n"/>
      <c r="L22" s="1023" t="n"/>
      <c r="M22" s="1252" t="n"/>
      <c r="N22" s="1023" t="n"/>
      <c r="O22" s="1024">
        <f>IFERROR(IF((G22+N22-YEAR(PORTADA!$H$7))&lt;0,0,G22+N22-YEAR(PORTADA!$H$7)),"")</f>
        <v/>
      </c>
      <c r="P22" s="1026" t="n"/>
      <c r="Q22" s="1027">
        <f>M22*(P22+(1-P22)*O22/N22)</f>
        <v/>
      </c>
      <c r="R22" s="1253">
        <f>Q22*$S$3</f>
        <v/>
      </c>
      <c r="S22" s="1254">
        <f>R22*E22</f>
        <v/>
      </c>
      <c r="T22" s="255" t="n"/>
      <c r="U22" s="255">
        <f>Q22/M22</f>
        <v/>
      </c>
      <c r="V22" s="255" t="n"/>
      <c r="W22" s="255" t="n"/>
      <c r="X22" s="255" t="n"/>
      <c r="Y22" s="255" t="n"/>
      <c r="Z22" s="255" t="n"/>
    </row>
    <row r="23" ht="22.5" customHeight="1" thickBot="1">
      <c r="A23" s="323" t="n"/>
      <c r="B23" s="324" t="inlineStr">
        <is>
          <t xml:space="preserve">Superficie Total </t>
        </is>
      </c>
      <c r="C23" s="325" t="n"/>
      <c r="D23" s="326" t="n"/>
      <c r="E23" s="327">
        <f>SUM(E22:E22)</f>
        <v/>
      </c>
      <c r="F23" s="1201" t="n"/>
      <c r="G23" s="329" t="n"/>
      <c r="H23" s="1201" t="n"/>
      <c r="I23" s="1085" t="n"/>
      <c r="J23" s="1085" t="n"/>
      <c r="K23" s="1202" t="n"/>
      <c r="L23" s="1201" t="n"/>
      <c r="M23" s="330" t="n"/>
      <c r="N23" s="1201" t="n"/>
      <c r="O23" s="329" t="n"/>
      <c r="P23" s="329" t="n"/>
      <c r="Q23" s="330" t="n"/>
      <c r="R23" s="331" t="n"/>
      <c r="S23" s="1255">
        <f>SUM(S22:S22)</f>
        <v/>
      </c>
      <c r="T23" s="255" t="n"/>
      <c r="U23" s="255" t="n"/>
      <c r="V23" s="255" t="n"/>
      <c r="W23" s="255" t="n"/>
      <c r="X23" s="255" t="n"/>
      <c r="Y23" s="255" t="n"/>
      <c r="Z23" s="255" t="n"/>
    </row>
    <row r="24" ht="25.95" customHeight="1" thickBot="1">
      <c r="A24" s="290" t="n"/>
      <c r="B24" s="291" t="n"/>
      <c r="C24" s="291" t="n"/>
      <c r="D24" s="290" t="n"/>
      <c r="E24" s="292" t="n"/>
      <c r="F24" s="293" t="n"/>
      <c r="G24" s="294" t="n"/>
      <c r="H24" s="293" t="n"/>
      <c r="I24" s="293" t="n"/>
      <c r="J24" s="293" t="n"/>
      <c r="K24" s="293" t="n"/>
      <c r="L24" s="293" t="n"/>
      <c r="M24" s="295" t="n"/>
      <c r="N24" s="293" t="n"/>
      <c r="O24" s="294" t="n"/>
      <c r="P24" s="294" t="n"/>
      <c r="Q24" s="295" t="n"/>
      <c r="R24" s="295" t="n"/>
      <c r="S24" s="1247">
        <f>S23/$Q$3</f>
        <v/>
      </c>
      <c r="T24" s="255" t="n"/>
      <c r="U24" s="255" t="n"/>
      <c r="V24" s="255" t="n"/>
      <c r="W24" s="255" t="n"/>
      <c r="X24" s="255" t="n"/>
      <c r="Y24" s="255" t="n"/>
      <c r="Z24" s="255" t="n"/>
    </row>
    <row r="25" ht="15.75" customHeight="1" thickBot="1">
      <c r="A25" s="333" t="n"/>
      <c r="B25" s="334" t="n"/>
      <c r="C25" s="290" t="n"/>
      <c r="D25" s="290" t="n"/>
      <c r="E25" s="335" t="n"/>
      <c r="F25" s="293" t="n"/>
      <c r="G25" s="294" t="n"/>
      <c r="H25" s="293" t="n"/>
      <c r="I25" s="293" t="n"/>
      <c r="J25" s="290" t="n"/>
      <c r="K25" s="293" t="n"/>
      <c r="L25" s="293" t="n"/>
      <c r="M25" s="295" t="n"/>
      <c r="N25" s="293" t="n"/>
      <c r="O25" s="294" t="n"/>
      <c r="P25" s="336" t="n"/>
      <c r="Q25" s="337" t="n"/>
      <c r="R25" s="1256" t="n"/>
      <c r="S25" s="1257" t="n"/>
      <c r="T25" s="255" t="n"/>
      <c r="U25" s="255" t="n"/>
      <c r="V25" s="255" t="n"/>
      <c r="W25" s="255" t="n"/>
      <c r="X25" s="255" t="n"/>
      <c r="Y25" s="255" t="n"/>
      <c r="Z25" s="255" t="n"/>
    </row>
    <row r="26" ht="22.2" customHeight="1" thickBot="1">
      <c r="A26" s="1258" t="inlineStr">
        <is>
          <t>OBSERVACIONES :</t>
        </is>
      </c>
      <c r="B26" s="1259" t="n"/>
      <c r="C26" s="1259" t="n"/>
      <c r="D26" s="1259" t="n"/>
      <c r="E26" s="1259" t="n"/>
      <c r="F26" s="1259" t="n"/>
      <c r="G26" s="1259" t="n"/>
      <c r="H26" s="1259" t="n"/>
      <c r="I26" s="1259" t="n"/>
      <c r="J26" s="1259" t="n"/>
      <c r="K26" s="1259" t="n"/>
      <c r="L26" s="1259" t="n"/>
      <c r="M26" s="1259" t="n"/>
      <c r="N26" s="1259" t="n"/>
      <c r="O26" s="1259" t="n"/>
      <c r="P26" s="1259" t="n"/>
      <c r="Q26" s="1259" t="n"/>
      <c r="R26" s="1259" t="n"/>
      <c r="S26" s="342" t="n"/>
      <c r="T26" s="255" t="n"/>
      <c r="U26" s="255" t="n"/>
      <c r="V26" s="255" t="n"/>
      <c r="W26" s="255" t="n"/>
      <c r="X26" s="255" t="n"/>
      <c r="Y26" s="255" t="n"/>
      <c r="Z26" s="255" t="n"/>
    </row>
    <row r="27" ht="15" customHeight="1">
      <c r="A27" s="1196" t="n"/>
      <c r="B27" s="1106" t="n"/>
      <c r="C27" s="1106" t="n"/>
      <c r="D27" s="1106" t="n"/>
      <c r="E27" s="1106" t="n"/>
      <c r="F27" s="1106" t="n"/>
      <c r="G27" s="1106" t="n"/>
      <c r="H27" s="1106" t="n"/>
      <c r="I27" s="1106" t="n"/>
      <c r="J27" s="1106" t="n"/>
      <c r="K27" s="1106" t="n"/>
      <c r="L27" s="1106" t="n"/>
      <c r="M27" s="1106" t="n"/>
      <c r="N27" s="1106" t="n"/>
      <c r="O27" s="1106" t="n"/>
      <c r="P27" s="1106" t="n"/>
      <c r="Q27" s="1106" t="n"/>
      <c r="R27" s="1106" t="n"/>
      <c r="S27" s="1087" t="n"/>
      <c r="T27" s="255" t="n"/>
      <c r="U27" s="255" t="n"/>
      <c r="V27" s="255" t="n"/>
      <c r="W27" s="255" t="n"/>
      <c r="X27" s="255" t="n"/>
      <c r="Y27" s="255" t="n"/>
      <c r="Z27" s="255" t="n"/>
    </row>
    <row r="28" ht="15" customHeight="1">
      <c r="A28" s="1107" t="n"/>
      <c r="S28" s="1068" t="n"/>
      <c r="T28" s="255" t="n"/>
      <c r="U28" s="255" t="n"/>
      <c r="V28" s="255" t="n"/>
      <c r="W28" s="255" t="n"/>
      <c r="X28" s="255" t="n"/>
      <c r="Y28" s="255" t="n"/>
      <c r="Z28" s="255" t="n"/>
    </row>
    <row r="29" ht="15" customHeight="1">
      <c r="A29" s="1107" t="n"/>
      <c r="S29" s="1068" t="n"/>
      <c r="T29" s="255" t="n"/>
      <c r="U29" s="255" t="n"/>
      <c r="V29" s="255" t="n"/>
      <c r="W29" s="255" t="n"/>
      <c r="X29" s="255" t="n"/>
      <c r="Y29" s="255" t="n"/>
      <c r="Z29" s="255" t="n"/>
    </row>
    <row r="30" ht="15" customHeight="1">
      <c r="A30" s="1107" t="n"/>
      <c r="S30" s="1068" t="n"/>
      <c r="T30" s="255" t="n"/>
      <c r="U30" s="255" t="n"/>
      <c r="V30" s="255" t="n"/>
      <c r="W30" s="255" t="n"/>
      <c r="X30" s="255" t="n"/>
      <c r="Y30" s="255" t="n"/>
      <c r="Z30" s="255" t="n"/>
    </row>
    <row r="31" ht="15" customHeight="1">
      <c r="A31" s="1107" t="n"/>
      <c r="S31" s="1068" t="n"/>
      <c r="T31" s="255" t="n"/>
      <c r="U31" s="255" t="n"/>
      <c r="V31" s="255" t="n"/>
      <c r="W31" s="255" t="n"/>
      <c r="X31" s="255" t="n"/>
      <c r="Y31" s="255" t="n"/>
      <c r="Z31" s="255" t="n"/>
    </row>
    <row r="32" ht="24" customHeight="1" thickBot="1">
      <c r="A32" s="1108" t="n"/>
      <c r="B32" s="1109" t="n"/>
      <c r="C32" s="1109" t="n"/>
      <c r="D32" s="1109" t="n"/>
      <c r="E32" s="1109" t="n"/>
      <c r="F32" s="1109" t="n"/>
      <c r="G32" s="1109" t="n"/>
      <c r="H32" s="1109" t="n"/>
      <c r="I32" s="1109" t="n"/>
      <c r="J32" s="1109" t="n"/>
      <c r="K32" s="1109" t="n"/>
      <c r="L32" s="1109" t="n"/>
      <c r="M32" s="1109" t="n"/>
      <c r="N32" s="1109" t="n"/>
      <c r="O32" s="1109" t="n"/>
      <c r="P32" s="1109" t="n"/>
      <c r="Q32" s="1109" t="n"/>
      <c r="R32" s="1109" t="n"/>
      <c r="S32" s="1078" t="n"/>
      <c r="T32" s="255" t="n"/>
      <c r="U32" s="255" t="n"/>
      <c r="V32" s="255" t="n"/>
      <c r="W32" s="255" t="n"/>
      <c r="X32" s="255" t="n"/>
      <c r="Y32" s="255" t="n"/>
      <c r="Z32" s="255" t="n"/>
    </row>
    <row r="33" ht="9.75" customHeight="1">
      <c r="A33" s="343" t="n"/>
      <c r="B33" s="344" t="n"/>
      <c r="C33" s="344" t="n"/>
      <c r="D33" s="344" t="n"/>
      <c r="E33" s="344" t="n"/>
      <c r="F33" s="344" t="n"/>
      <c r="G33" s="344" t="n"/>
      <c r="H33" s="344" t="n"/>
      <c r="I33" s="344" t="n"/>
      <c r="J33" s="344" t="n"/>
      <c r="K33" s="344" t="n"/>
      <c r="L33" s="344" t="n"/>
      <c r="M33" s="344" t="n"/>
      <c r="N33" s="344" t="n"/>
      <c r="O33" s="344" t="n"/>
      <c r="P33" s="344" t="n"/>
      <c r="Q33" s="344" t="n"/>
      <c r="R33" s="344" t="n"/>
      <c r="S33" s="259" t="n"/>
      <c r="T33" s="255" t="n"/>
      <c r="U33" s="255" t="n"/>
      <c r="V33" s="255" t="n"/>
      <c r="W33" s="255" t="n"/>
      <c r="X33" s="255" t="n"/>
      <c r="Y33" s="255" t="n"/>
      <c r="Z33" s="255" t="n"/>
    </row>
    <row r="34" ht="15" customHeight="1">
      <c r="A34" s="290" t="n"/>
      <c r="B34" s="334" t="n"/>
      <c r="C34" s="334" t="n"/>
      <c r="D34" s="290" t="n"/>
      <c r="E34" s="335" t="n"/>
      <c r="F34" s="293" t="n"/>
      <c r="G34" s="294" t="n"/>
      <c r="H34" s="293" t="n"/>
      <c r="I34" s="293" t="n"/>
      <c r="J34" s="293" t="n"/>
      <c r="K34" s="293" t="n"/>
      <c r="L34" s="293" t="n"/>
      <c r="M34" s="295" t="n"/>
      <c r="N34" s="293" t="n"/>
      <c r="O34" s="294" t="n"/>
      <c r="P34" s="294" t="n"/>
      <c r="Q34" s="295" t="n"/>
      <c r="R34" s="295" t="n"/>
      <c r="S34" s="258" t="n"/>
      <c r="T34" s="255" t="n"/>
      <c r="U34" s="255" t="n"/>
      <c r="V34" s="255" t="n"/>
      <c r="W34" s="255" t="n"/>
      <c r="X34" s="255" t="n"/>
      <c r="Y34" s="255" t="n"/>
      <c r="Z34" s="255" t="n"/>
    </row>
    <row r="35" hidden="1" ht="15" customHeight="1">
      <c r="A35" s="1258" t="inlineStr">
        <is>
          <t>5.4. EMPLAZAMIENTO DE LAS EDIFICACIONES</t>
        </is>
      </c>
      <c r="B35" s="1259" t="n"/>
      <c r="C35" s="1259" t="n"/>
      <c r="D35" s="1259" t="n"/>
      <c r="E35" s="1259" t="n"/>
      <c r="F35" s="1259" t="n"/>
      <c r="G35" s="1259" t="n"/>
      <c r="H35" s="1259" t="n"/>
      <c r="I35" s="1259" t="n"/>
      <c r="J35" s="1259" t="n"/>
      <c r="K35" s="1259" t="n"/>
      <c r="L35" s="1259" t="n"/>
      <c r="M35" s="1259" t="n"/>
      <c r="N35" s="1259" t="n"/>
      <c r="O35" s="1259" t="n"/>
      <c r="P35" s="1259" t="n"/>
      <c r="Q35" s="1259" t="n"/>
      <c r="R35" s="1259" t="n"/>
      <c r="S35" s="342" t="n"/>
      <c r="T35" s="255" t="n"/>
      <c r="U35" s="255" t="n"/>
      <c r="V35" s="255" t="n"/>
      <c r="W35" s="255" t="n"/>
      <c r="X35" s="255" t="n"/>
      <c r="Y35" s="255" t="n"/>
      <c r="Z35" s="255" t="n"/>
    </row>
    <row r="36" hidden="1" ht="15" customHeight="1">
      <c r="A36" s="345" t="n"/>
      <c r="B36" s="346" t="n"/>
      <c r="C36" s="346" t="n"/>
      <c r="D36" s="346" t="n"/>
      <c r="E36" s="346" t="n"/>
      <c r="F36" s="346" t="n"/>
      <c r="G36" s="346" t="n"/>
      <c r="H36" s="346" t="n"/>
      <c r="I36" s="346" t="n"/>
      <c r="J36" s="346" t="n"/>
      <c r="K36" s="346" t="n"/>
      <c r="L36" s="346" t="n"/>
      <c r="M36" s="346" t="n"/>
      <c r="N36" s="346" t="n"/>
      <c r="O36" s="346" t="n"/>
      <c r="P36" s="346" t="n"/>
      <c r="Q36" s="346" t="n"/>
      <c r="R36" s="346" t="n"/>
      <c r="S36" s="347" t="n"/>
      <c r="T36" s="255" t="n"/>
      <c r="U36" s="255" t="n"/>
      <c r="V36" s="255" t="n"/>
      <c r="W36" s="255" t="n"/>
      <c r="X36" s="255" t="n"/>
      <c r="Y36" s="255" t="n"/>
      <c r="Z36" s="255" t="n"/>
    </row>
    <row r="37" hidden="1" ht="15" customHeight="1">
      <c r="A37" s="348" t="n"/>
      <c r="B37" s="255" t="n"/>
      <c r="C37" s="255" t="n"/>
      <c r="D37" s="255" t="n"/>
      <c r="E37" s="255" t="n"/>
      <c r="F37" s="255" t="n"/>
      <c r="G37" s="255" t="n"/>
      <c r="H37" s="255" t="n"/>
      <c r="I37" s="255" t="n"/>
      <c r="J37" s="255" t="n"/>
      <c r="K37" s="255" t="n"/>
      <c r="L37" s="255" t="n"/>
      <c r="M37" s="255" t="n"/>
      <c r="N37" s="255" t="n"/>
      <c r="O37" s="255" t="n"/>
      <c r="P37" s="255" t="n"/>
      <c r="Q37" s="255" t="n"/>
      <c r="R37" s="255" t="n"/>
      <c r="S37" s="349" t="n"/>
      <c r="T37" s="255" t="n"/>
      <c r="U37" s="255" t="n"/>
      <c r="V37" s="255" t="n"/>
      <c r="W37" s="255" t="n"/>
      <c r="X37" s="255" t="n"/>
      <c r="Y37" s="255" t="n"/>
      <c r="Z37" s="255" t="n"/>
    </row>
    <row r="38" hidden="1" ht="15" customHeight="1">
      <c r="A38" s="348" t="n"/>
      <c r="B38" s="255" t="n"/>
      <c r="C38" s="255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5" t="n"/>
      <c r="O38" s="255" t="n"/>
      <c r="P38" s="255" t="n"/>
      <c r="Q38" s="255" t="n"/>
      <c r="R38" s="255" t="n"/>
      <c r="S38" s="349" t="n"/>
      <c r="T38" s="255" t="n"/>
      <c r="U38" s="255" t="n"/>
      <c r="V38" s="255" t="n"/>
      <c r="W38" s="255" t="n"/>
      <c r="X38" s="255" t="n"/>
      <c r="Y38" s="255" t="n"/>
      <c r="Z38" s="255" t="n"/>
    </row>
    <row r="39" hidden="1" ht="15" customHeight="1">
      <c r="A39" s="348" t="n"/>
      <c r="B39" s="255" t="n"/>
      <c r="C39" s="255" t="n"/>
      <c r="D39" s="255" t="n"/>
      <c r="E39" s="255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  <c r="P39" s="255" t="n"/>
      <c r="Q39" s="255" t="n"/>
      <c r="R39" s="255" t="n"/>
      <c r="S39" s="349" t="n"/>
      <c r="T39" s="255" t="n"/>
      <c r="U39" s="255" t="n"/>
      <c r="V39" s="255" t="n"/>
      <c r="W39" s="255" t="n"/>
      <c r="X39" s="255" t="n"/>
      <c r="Y39" s="255" t="n"/>
      <c r="Z39" s="255" t="n"/>
    </row>
    <row r="40" hidden="1" ht="15" customHeight="1">
      <c r="A40" s="348" t="n"/>
      <c r="B40" s="255" t="n"/>
      <c r="C40" s="255" t="n"/>
      <c r="D40" s="255" t="n"/>
      <c r="E40" s="255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N40" s="255" t="n"/>
      <c r="O40" s="255" t="n"/>
      <c r="P40" s="255" t="n"/>
      <c r="Q40" s="255" t="n"/>
      <c r="R40" s="255" t="n"/>
      <c r="S40" s="349" t="n"/>
      <c r="T40" s="255" t="n"/>
      <c r="U40" s="255" t="n"/>
      <c r="V40" s="255" t="n"/>
      <c r="W40" s="255" t="n"/>
      <c r="X40" s="255" t="n"/>
      <c r="Y40" s="255" t="n"/>
      <c r="Z40" s="255" t="n"/>
    </row>
    <row r="41" hidden="1" ht="15" customHeight="1">
      <c r="A41" s="348" t="n"/>
      <c r="B41" s="255" t="n"/>
      <c r="C41" s="255" t="n"/>
      <c r="D41" s="255" t="n"/>
      <c r="E41" s="255" t="n"/>
      <c r="F41" s="255" t="n"/>
      <c r="G41" s="255" t="n"/>
      <c r="H41" s="255" t="n"/>
      <c r="I41" s="255" t="n"/>
      <c r="J41" s="255" t="n"/>
      <c r="K41" s="255" t="n"/>
      <c r="L41" s="255" t="n"/>
      <c r="M41" s="255" t="n"/>
      <c r="N41" s="255" t="n"/>
      <c r="O41" s="255" t="n"/>
      <c r="P41" s="255" t="n"/>
      <c r="Q41" s="255" t="n"/>
      <c r="R41" s="255" t="n"/>
      <c r="S41" s="349" t="n"/>
      <c r="T41" s="255" t="n"/>
      <c r="U41" s="255" t="n"/>
      <c r="V41" s="255" t="n"/>
      <c r="W41" s="255" t="n"/>
      <c r="X41" s="255" t="n"/>
      <c r="Y41" s="255" t="n"/>
      <c r="Z41" s="255" t="n"/>
    </row>
    <row r="42" hidden="1" ht="15" customHeight="1">
      <c r="A42" s="348" t="n"/>
      <c r="B42" s="255" t="n"/>
      <c r="C42" s="255" t="n"/>
      <c r="D42" s="255" t="n"/>
      <c r="E42" s="255" t="n"/>
      <c r="F42" s="255" t="n"/>
      <c r="G42" s="255" t="n"/>
      <c r="H42" s="255" t="n"/>
      <c r="I42" s="255" t="n"/>
      <c r="J42" s="255" t="n"/>
      <c r="K42" s="255" t="n"/>
      <c r="L42" s="255" t="n"/>
      <c r="M42" s="255" t="n"/>
      <c r="N42" s="255" t="n"/>
      <c r="O42" s="255" t="n"/>
      <c r="P42" s="255" t="n"/>
      <c r="Q42" s="255" t="n"/>
      <c r="R42" s="255" t="n"/>
      <c r="S42" s="349" t="n"/>
      <c r="T42" s="255" t="n"/>
      <c r="U42" s="255" t="n"/>
      <c r="V42" s="255" t="n"/>
      <c r="W42" s="255" t="n"/>
      <c r="X42" s="255" t="n"/>
      <c r="Y42" s="255" t="n"/>
      <c r="Z42" s="255" t="n"/>
    </row>
    <row r="43" hidden="1" ht="15" customHeight="1">
      <c r="A43" s="348" t="n"/>
      <c r="B43" s="255" t="n"/>
      <c r="C43" s="255" t="n"/>
      <c r="D43" s="255" t="n"/>
      <c r="E43" s="255" t="n"/>
      <c r="F43" s="255" t="n"/>
      <c r="G43" s="255" t="n"/>
      <c r="H43" s="255" t="n"/>
      <c r="I43" s="255" t="n"/>
      <c r="J43" s="255" t="n"/>
      <c r="K43" s="255" t="n"/>
      <c r="L43" s="255" t="n"/>
      <c r="M43" s="255" t="n"/>
      <c r="N43" s="255" t="n"/>
      <c r="O43" s="255" t="n"/>
      <c r="P43" s="255" t="n"/>
      <c r="Q43" s="255" t="n"/>
      <c r="R43" s="255" t="n"/>
      <c r="S43" s="349" t="n"/>
      <c r="T43" s="255" t="n"/>
      <c r="U43" s="255" t="n"/>
      <c r="V43" s="255" t="n"/>
      <c r="W43" s="255" t="n"/>
      <c r="X43" s="255" t="n"/>
      <c r="Y43" s="255" t="n"/>
      <c r="Z43" s="255" t="n"/>
    </row>
    <row r="44" hidden="1" ht="15" customHeight="1">
      <c r="A44" s="348" t="n"/>
      <c r="B44" s="255" t="n"/>
      <c r="C44" s="255" t="n"/>
      <c r="D44" s="255" t="n"/>
      <c r="E44" s="255" t="n"/>
      <c r="F44" s="255" t="n"/>
      <c r="G44" s="255" t="n"/>
      <c r="H44" s="255" t="n"/>
      <c r="I44" s="255" t="n"/>
      <c r="J44" s="255" t="n"/>
      <c r="K44" s="255" t="n"/>
      <c r="L44" s="255" t="n"/>
      <c r="M44" s="255" t="n"/>
      <c r="N44" s="255" t="n"/>
      <c r="O44" s="255" t="n"/>
      <c r="P44" s="255" t="n"/>
      <c r="Q44" s="255" t="n"/>
      <c r="R44" s="255" t="n"/>
      <c r="S44" s="349" t="n"/>
      <c r="T44" s="255" t="n"/>
      <c r="U44" s="255" t="n"/>
      <c r="V44" s="333" t="n"/>
      <c r="W44" s="333" t="n"/>
      <c r="X44" s="333" t="n"/>
      <c r="Y44" s="333" t="n"/>
      <c r="Z44" s="333" t="n"/>
    </row>
    <row r="45" hidden="1" ht="15" customHeight="1">
      <c r="A45" s="348" t="n"/>
      <c r="B45" s="255" t="n"/>
      <c r="C45" s="255" t="n"/>
      <c r="D45" s="255" t="n"/>
      <c r="E45" s="255" t="n"/>
      <c r="F45" s="255" t="n"/>
      <c r="G45" s="255" t="n"/>
      <c r="H45" s="255" t="n"/>
      <c r="I45" s="255" t="n"/>
      <c r="J45" s="255" t="n"/>
      <c r="K45" s="255" t="n"/>
      <c r="L45" s="255" t="n"/>
      <c r="M45" s="255" t="n"/>
      <c r="N45" s="255" t="n"/>
      <c r="O45" s="255" t="n"/>
      <c r="P45" s="255" t="n"/>
      <c r="Q45" s="255" t="n"/>
      <c r="R45" s="255" t="n"/>
      <c r="S45" s="349" t="n"/>
      <c r="T45" s="255" t="n"/>
      <c r="U45" s="255" t="n"/>
      <c r="V45" s="333" t="n"/>
      <c r="W45" s="333" t="n"/>
      <c r="X45" s="333" t="n"/>
      <c r="Y45" s="333" t="n"/>
      <c r="Z45" s="333" t="n"/>
    </row>
    <row r="46" hidden="1" ht="15" customHeight="1">
      <c r="A46" s="348" t="n"/>
      <c r="B46" s="255" t="n"/>
      <c r="C46" s="255" t="n"/>
      <c r="D46" s="255" t="n"/>
      <c r="E46" s="255" t="n"/>
      <c r="F46" s="255" t="n"/>
      <c r="G46" s="255" t="n"/>
      <c r="H46" s="255" t="n"/>
      <c r="I46" s="255" t="n"/>
      <c r="J46" s="255" t="n"/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349" t="n"/>
      <c r="T46" s="255" t="n"/>
      <c r="U46" s="255" t="n"/>
      <c r="V46" s="333" t="n"/>
      <c r="W46" s="333" t="n"/>
      <c r="X46" s="333" t="n"/>
      <c r="Y46" s="333" t="n"/>
      <c r="Z46" s="333" t="n"/>
    </row>
    <row r="47" hidden="1" ht="15" customHeight="1">
      <c r="A47" s="348" t="n"/>
      <c r="B47" s="255" t="n"/>
      <c r="C47" s="255" t="n"/>
      <c r="D47" s="255" t="n"/>
      <c r="E47" s="255" t="n"/>
      <c r="F47" s="255" t="n"/>
      <c r="G47" s="255" t="n"/>
      <c r="H47" s="255" t="n"/>
      <c r="I47" s="255" t="n"/>
      <c r="J47" s="255" t="n"/>
      <c r="K47" s="255" t="n"/>
      <c r="L47" s="255" t="n"/>
      <c r="M47" s="255" t="n"/>
      <c r="N47" s="255" t="n"/>
      <c r="O47" s="255" t="n"/>
      <c r="P47" s="255" t="n"/>
      <c r="Q47" s="255" t="n"/>
      <c r="R47" s="255" t="n"/>
      <c r="S47" s="349" t="n"/>
      <c r="T47" s="255" t="n"/>
      <c r="U47" s="255" t="n"/>
      <c r="V47" s="333" t="n"/>
      <c r="W47" s="333" t="n"/>
      <c r="X47" s="333" t="n"/>
      <c r="Y47" s="333" t="n"/>
      <c r="Z47" s="333" t="n"/>
    </row>
    <row r="48" hidden="1" ht="15" customHeight="1">
      <c r="A48" s="348" t="n"/>
      <c r="B48" s="255" t="n"/>
      <c r="C48" s="255" t="n"/>
      <c r="D48" s="255" t="n"/>
      <c r="E48" s="255" t="n"/>
      <c r="F48" s="255" t="n"/>
      <c r="G48" s="255" t="n"/>
      <c r="H48" s="255" t="n"/>
      <c r="I48" s="255" t="n"/>
      <c r="J48" s="255" t="n"/>
      <c r="K48" s="255" t="n"/>
      <c r="L48" s="255" t="n"/>
      <c r="M48" s="255" t="n"/>
      <c r="N48" s="255" t="n"/>
      <c r="O48" s="255" t="n"/>
      <c r="P48" s="255" t="n"/>
      <c r="Q48" s="255" t="n"/>
      <c r="R48" s="255" t="n"/>
      <c r="S48" s="349" t="n"/>
      <c r="T48" s="255" t="n"/>
      <c r="U48" s="255" t="n"/>
      <c r="V48" s="333" t="n"/>
      <c r="W48" s="333" t="n"/>
      <c r="X48" s="333" t="n"/>
      <c r="Y48" s="333" t="n"/>
      <c r="Z48" s="333" t="n"/>
    </row>
    <row r="49" hidden="1" ht="15" customHeight="1">
      <c r="A49" s="348" t="n"/>
      <c r="B49" s="255" t="n"/>
      <c r="C49" s="255" t="n"/>
      <c r="D49" s="255" t="n"/>
      <c r="E49" s="255" t="n"/>
      <c r="F49" s="255" t="n"/>
      <c r="G49" s="255" t="n"/>
      <c r="H49" s="255" t="n"/>
      <c r="I49" s="255" t="n"/>
      <c r="J49" s="255" t="n"/>
      <c r="K49" s="255" t="n"/>
      <c r="L49" s="255" t="n"/>
      <c r="M49" s="255" t="n"/>
      <c r="N49" s="255" t="n"/>
      <c r="O49" s="255" t="n"/>
      <c r="P49" s="255" t="n"/>
      <c r="Q49" s="255" t="n"/>
      <c r="R49" s="255" t="n"/>
      <c r="S49" s="349" t="n"/>
      <c r="T49" s="255" t="n"/>
      <c r="U49" s="255" t="n"/>
      <c r="V49" s="333" t="n"/>
      <c r="W49" s="333" t="n"/>
      <c r="X49" s="333" t="n"/>
      <c r="Y49" s="333" t="n"/>
      <c r="Z49" s="333" t="n"/>
    </row>
    <row r="50" hidden="1" ht="15" customHeight="1">
      <c r="A50" s="348" t="n"/>
      <c r="B50" s="255" t="n"/>
      <c r="C50" s="255" t="n"/>
      <c r="D50" s="255" t="n"/>
      <c r="E50" s="255" t="n"/>
      <c r="F50" s="255" t="n"/>
      <c r="G50" s="255" t="n"/>
      <c r="H50" s="255" t="n"/>
      <c r="I50" s="255" t="n"/>
      <c r="J50" s="255" t="n"/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349" t="n"/>
      <c r="T50" s="255" t="n"/>
      <c r="U50" s="255" t="n"/>
      <c r="V50" s="333" t="n"/>
      <c r="W50" s="333" t="n"/>
      <c r="X50" s="333" t="n"/>
      <c r="Y50" s="333" t="n"/>
      <c r="Z50" s="333" t="n"/>
    </row>
    <row r="51" hidden="1" ht="15" customHeight="1">
      <c r="A51" s="348" t="n"/>
      <c r="B51" s="255" t="n"/>
      <c r="C51" s="255" t="n"/>
      <c r="D51" s="255" t="n"/>
      <c r="E51" s="255" t="n"/>
      <c r="F51" s="255" t="n"/>
      <c r="G51" s="255" t="n"/>
      <c r="H51" s="255" t="n"/>
      <c r="I51" s="255" t="n"/>
      <c r="J51" s="255" t="n"/>
      <c r="K51" s="255" t="n"/>
      <c r="L51" s="255" t="n"/>
      <c r="M51" s="255" t="n"/>
      <c r="N51" s="255" t="n"/>
      <c r="O51" s="255" t="n"/>
      <c r="P51" s="255" t="n"/>
      <c r="Q51" s="255" t="n"/>
      <c r="R51" s="255" t="n"/>
      <c r="S51" s="349" t="n"/>
      <c r="T51" s="255" t="n"/>
      <c r="U51" s="255" t="n"/>
      <c r="V51" s="333" t="n"/>
      <c r="W51" s="333" t="n"/>
      <c r="X51" s="333" t="n"/>
      <c r="Y51" s="333" t="n"/>
      <c r="Z51" s="333" t="n"/>
    </row>
    <row r="52" hidden="1" ht="15" customHeight="1">
      <c r="A52" s="348" t="n"/>
      <c r="B52" s="255" t="n"/>
      <c r="C52" s="255" t="n"/>
      <c r="D52" s="255" t="n"/>
      <c r="E52" s="255" t="n"/>
      <c r="F52" s="255" t="n"/>
      <c r="G52" s="255" t="n"/>
      <c r="H52" s="255" t="n"/>
      <c r="I52" s="255" t="n"/>
      <c r="J52" s="255" t="n"/>
      <c r="K52" s="255" t="n"/>
      <c r="L52" s="255" t="n"/>
      <c r="M52" s="255" t="n"/>
      <c r="N52" s="255" t="n"/>
      <c r="O52" s="255" t="n"/>
      <c r="P52" s="255" t="n"/>
      <c r="Q52" s="255" t="n"/>
      <c r="R52" s="255" t="n"/>
      <c r="S52" s="349" t="n"/>
      <c r="T52" s="255" t="n"/>
      <c r="U52" s="255" t="n"/>
      <c r="V52" s="333" t="n"/>
      <c r="W52" s="333" t="n"/>
      <c r="X52" s="333" t="n"/>
      <c r="Y52" s="333" t="n"/>
      <c r="Z52" s="333" t="n"/>
    </row>
    <row r="53" hidden="1" ht="15" customHeight="1">
      <c r="A53" s="348" t="n"/>
      <c r="B53" s="255" t="n"/>
      <c r="C53" s="255" t="n"/>
      <c r="D53" s="255" t="n"/>
      <c r="E53" s="255" t="n"/>
      <c r="F53" s="255" t="n"/>
      <c r="G53" s="255" t="n"/>
      <c r="H53" s="255" t="n"/>
      <c r="I53" s="255" t="n"/>
      <c r="J53" s="255" t="n"/>
      <c r="K53" s="255" t="n"/>
      <c r="L53" s="255" t="n"/>
      <c r="M53" s="255" t="n"/>
      <c r="N53" s="255" t="n"/>
      <c r="O53" s="255" t="n"/>
      <c r="P53" s="255" t="n"/>
      <c r="Q53" s="255" t="n"/>
      <c r="R53" s="255" t="n"/>
      <c r="S53" s="349" t="n"/>
      <c r="T53" s="255" t="n"/>
      <c r="U53" s="255" t="n"/>
      <c r="V53" s="333" t="n"/>
      <c r="W53" s="333" t="n"/>
      <c r="X53" s="333" t="n"/>
      <c r="Y53" s="333" t="n"/>
      <c r="Z53" s="333" t="n"/>
    </row>
    <row r="54" hidden="1" ht="15" customHeight="1">
      <c r="A54" s="348" t="n"/>
      <c r="B54" s="255" t="n"/>
      <c r="C54" s="255" t="n"/>
      <c r="D54" s="255" t="n"/>
      <c r="E54" s="255" t="n"/>
      <c r="F54" s="255" t="n"/>
      <c r="G54" s="255" t="n"/>
      <c r="H54" s="255" t="n"/>
      <c r="I54" s="255" t="n"/>
      <c r="J54" s="255" t="n"/>
      <c r="K54" s="255" t="n"/>
      <c r="L54" s="255" t="n"/>
      <c r="M54" s="255" t="n"/>
      <c r="N54" s="255" t="n"/>
      <c r="O54" s="255" t="n"/>
      <c r="P54" s="255" t="n"/>
      <c r="Q54" s="255" t="n"/>
      <c r="R54" s="255" t="n"/>
      <c r="S54" s="349" t="n"/>
      <c r="T54" s="255" t="n"/>
      <c r="U54" s="255" t="n"/>
      <c r="V54" s="333" t="n"/>
      <c r="W54" s="333" t="n"/>
      <c r="X54" s="333" t="n"/>
      <c r="Y54" s="333" t="n"/>
      <c r="Z54" s="333" t="n"/>
    </row>
    <row r="55" hidden="1" ht="12.75" customHeight="1">
      <c r="A55" s="348" t="n"/>
      <c r="B55" s="255" t="n"/>
      <c r="C55" s="255" t="n"/>
      <c r="D55" s="255" t="n"/>
      <c r="E55" s="255" t="n"/>
      <c r="F55" s="255" t="n"/>
      <c r="G55" s="255" t="n"/>
      <c r="H55" s="255" t="n"/>
      <c r="I55" s="255" t="n"/>
      <c r="J55" s="255" t="n"/>
      <c r="K55" s="255" t="n"/>
      <c r="L55" s="255" t="n"/>
      <c r="M55" s="255" t="n"/>
      <c r="N55" s="255" t="n"/>
      <c r="O55" s="255" t="n"/>
      <c r="P55" s="255" t="n"/>
      <c r="Q55" s="255" t="n"/>
      <c r="R55" s="255" t="n"/>
      <c r="S55" s="349" t="n"/>
      <c r="T55" s="255" t="n"/>
      <c r="U55" s="255" t="n"/>
      <c r="V55" s="255" t="n"/>
      <c r="W55" s="255" t="n"/>
      <c r="X55" s="255" t="n"/>
      <c r="Y55" s="255" t="n"/>
      <c r="Z55" s="255" t="n"/>
    </row>
    <row r="56" hidden="1" ht="12.75" customHeight="1">
      <c r="A56" s="348" t="n"/>
      <c r="B56" s="255" t="n"/>
      <c r="C56" s="255" t="n"/>
      <c r="D56" s="255" t="n"/>
      <c r="E56" s="255" t="n"/>
      <c r="F56" s="255" t="n"/>
      <c r="G56" s="255" t="n"/>
      <c r="H56" s="255" t="n"/>
      <c r="I56" s="255" t="n"/>
      <c r="J56" s="255" t="n"/>
      <c r="K56" s="255" t="n"/>
      <c r="L56" s="255" t="n"/>
      <c r="M56" s="255" t="n"/>
      <c r="N56" s="255" t="n"/>
      <c r="O56" s="255" t="n"/>
      <c r="P56" s="255" t="n"/>
      <c r="Q56" s="255" t="n"/>
      <c r="R56" s="255" t="n"/>
      <c r="S56" s="349" t="n"/>
      <c r="T56" s="255" t="n"/>
      <c r="U56" s="255" t="n"/>
      <c r="V56" s="255" t="n"/>
      <c r="W56" s="255" t="n"/>
      <c r="X56" s="255" t="n"/>
      <c r="Y56" s="255" t="n"/>
      <c r="Z56" s="255" t="n"/>
    </row>
    <row r="57" hidden="1" ht="12.75" customHeight="1">
      <c r="A57" s="348" t="n"/>
      <c r="B57" s="255" t="n"/>
      <c r="C57" s="255" t="n"/>
      <c r="D57" s="255" t="n"/>
      <c r="E57" s="255" t="n"/>
      <c r="F57" s="255" t="n"/>
      <c r="G57" s="255" t="n"/>
      <c r="H57" s="255" t="n"/>
      <c r="I57" s="255" t="n"/>
      <c r="J57" s="255" t="n"/>
      <c r="K57" s="255" t="n"/>
      <c r="L57" s="255" t="n"/>
      <c r="M57" s="255" t="n"/>
      <c r="N57" s="255" t="n"/>
      <c r="O57" s="255" t="n"/>
      <c r="P57" s="255" t="n"/>
      <c r="Q57" s="255" t="n"/>
      <c r="R57" s="255" t="n"/>
      <c r="S57" s="349" t="n"/>
      <c r="T57" s="255" t="n"/>
      <c r="U57" s="255" t="n"/>
      <c r="V57" s="255" t="n"/>
      <c r="W57" s="255" t="n"/>
      <c r="X57" s="255" t="n"/>
      <c r="Y57" s="255" t="n"/>
      <c r="Z57" s="255" t="n"/>
    </row>
    <row r="58" hidden="1" ht="12.75" customHeight="1">
      <c r="A58" s="348" t="n"/>
      <c r="B58" s="255" t="n"/>
      <c r="C58" s="255" t="n"/>
      <c r="D58" s="255" t="n"/>
      <c r="E58" s="255" t="n"/>
      <c r="F58" s="255" t="n"/>
      <c r="G58" s="255" t="n"/>
      <c r="H58" s="255" t="n"/>
      <c r="I58" s="255" t="n"/>
      <c r="J58" s="255" t="n"/>
      <c r="K58" s="255" t="n"/>
      <c r="L58" s="255" t="n"/>
      <c r="M58" s="255" t="n"/>
      <c r="N58" s="255" t="n"/>
      <c r="O58" s="255" t="n"/>
      <c r="P58" s="255" t="n"/>
      <c r="Q58" s="255" t="n"/>
      <c r="R58" s="255" t="n"/>
      <c r="S58" s="349" t="n"/>
      <c r="T58" s="255" t="n"/>
      <c r="U58" s="255" t="n"/>
      <c r="V58" s="255" t="n"/>
      <c r="W58" s="255" t="n"/>
      <c r="X58" s="255" t="n"/>
      <c r="Y58" s="255" t="n"/>
      <c r="Z58" s="255" t="n"/>
    </row>
    <row r="59" hidden="1" ht="12.75" customHeight="1">
      <c r="A59" s="348" t="n"/>
      <c r="B59" s="255" t="n"/>
      <c r="C59" s="255" t="n"/>
      <c r="D59" s="255" t="n"/>
      <c r="E59" s="255" t="n"/>
      <c r="F59" s="255" t="n"/>
      <c r="G59" s="255" t="n"/>
      <c r="H59" s="255" t="n"/>
      <c r="I59" s="255" t="n"/>
      <c r="J59" s="255" t="n"/>
      <c r="K59" s="255" t="n"/>
      <c r="L59" s="255" t="n"/>
      <c r="M59" s="255" t="n"/>
      <c r="N59" s="255" t="n"/>
      <c r="O59" s="255" t="n"/>
      <c r="P59" s="255" t="n"/>
      <c r="Q59" s="255" t="n"/>
      <c r="R59" s="255" t="n"/>
      <c r="S59" s="349" t="n"/>
      <c r="T59" s="255" t="n"/>
      <c r="U59" s="255" t="n"/>
      <c r="V59" s="255" t="n"/>
      <c r="W59" s="255" t="n"/>
      <c r="X59" s="255" t="n"/>
      <c r="Y59" s="255" t="n"/>
      <c r="Z59" s="255" t="n"/>
    </row>
    <row r="60" hidden="1" ht="12.75" customHeight="1">
      <c r="A60" s="348" t="n"/>
      <c r="B60" s="255" t="n"/>
      <c r="C60" s="255" t="n"/>
      <c r="D60" s="255" t="n"/>
      <c r="E60" s="255" t="n"/>
      <c r="F60" s="255" t="n"/>
      <c r="G60" s="255" t="n"/>
      <c r="H60" s="255" t="n"/>
      <c r="I60" s="255" t="n"/>
      <c r="J60" s="255" t="n"/>
      <c r="K60" s="255" t="n"/>
      <c r="L60" s="255" t="n"/>
      <c r="M60" s="255" t="n"/>
      <c r="N60" s="255" t="n"/>
      <c r="O60" s="255" t="n"/>
      <c r="P60" s="255" t="n"/>
      <c r="Q60" s="255" t="n"/>
      <c r="R60" s="255" t="n"/>
      <c r="S60" s="349" t="n"/>
      <c r="T60" s="255" t="n"/>
      <c r="U60" s="255" t="n"/>
      <c r="V60" s="255" t="n"/>
      <c r="W60" s="255" t="n"/>
      <c r="X60" s="255" t="n"/>
      <c r="Y60" s="255" t="n"/>
      <c r="Z60" s="255" t="n"/>
    </row>
    <row r="61" hidden="1" ht="12.75" customHeight="1">
      <c r="A61" s="348" t="n"/>
      <c r="B61" s="255" t="n"/>
      <c r="C61" s="255" t="n"/>
      <c r="D61" s="255" t="n"/>
      <c r="E61" s="255" t="n"/>
      <c r="F61" s="255" t="n"/>
      <c r="G61" s="255" t="n"/>
      <c r="H61" s="255" t="n"/>
      <c r="I61" s="255" t="n"/>
      <c r="J61" s="255" t="n"/>
      <c r="K61" s="255" t="n"/>
      <c r="L61" s="255" t="n"/>
      <c r="M61" s="255" t="n"/>
      <c r="N61" s="255" t="n"/>
      <c r="O61" s="255" t="n"/>
      <c r="P61" s="255" t="n"/>
      <c r="Q61" s="255" t="n"/>
      <c r="R61" s="255" t="n"/>
      <c r="S61" s="349" t="n"/>
      <c r="T61" s="255" t="n"/>
      <c r="U61" s="255" t="n"/>
      <c r="V61" s="255" t="n"/>
      <c r="W61" s="255" t="n"/>
      <c r="X61" s="255" t="n"/>
      <c r="Y61" s="255" t="n"/>
      <c r="Z61" s="255" t="n"/>
    </row>
    <row r="62" hidden="1" ht="12.75" customHeight="1">
      <c r="A62" s="348" t="n"/>
      <c r="B62" s="255" t="n"/>
      <c r="C62" s="255" t="n"/>
      <c r="D62" s="255" t="n"/>
      <c r="E62" s="255" t="n"/>
      <c r="F62" s="255" t="n"/>
      <c r="G62" s="255" t="n"/>
      <c r="H62" s="255" t="n"/>
      <c r="I62" s="255" t="n"/>
      <c r="J62" s="255" t="n"/>
      <c r="K62" s="255" t="n"/>
      <c r="L62" s="255" t="n"/>
      <c r="M62" s="255" t="n"/>
      <c r="N62" s="255" t="n"/>
      <c r="O62" s="255" t="n"/>
      <c r="P62" s="255" t="n"/>
      <c r="Q62" s="255" t="n"/>
      <c r="R62" s="255" t="n"/>
      <c r="S62" s="349" t="n"/>
      <c r="T62" s="255" t="n"/>
      <c r="U62" s="255" t="n"/>
      <c r="V62" s="255" t="n"/>
      <c r="W62" s="255" t="n"/>
      <c r="X62" s="255" t="n"/>
      <c r="Y62" s="255" t="n"/>
      <c r="Z62" s="255" t="n"/>
    </row>
    <row r="63" hidden="1" ht="12.75" customHeight="1">
      <c r="A63" s="348" t="n"/>
      <c r="B63" s="255" t="n"/>
      <c r="C63" s="255" t="n"/>
      <c r="D63" s="255" t="n"/>
      <c r="E63" s="255" t="n"/>
      <c r="F63" s="255" t="n"/>
      <c r="G63" s="255" t="n"/>
      <c r="H63" s="255" t="n"/>
      <c r="I63" s="255" t="n"/>
      <c r="J63" s="255" t="n"/>
      <c r="K63" s="255" t="n"/>
      <c r="L63" s="255" t="n"/>
      <c r="M63" s="255" t="n"/>
      <c r="N63" s="255" t="n"/>
      <c r="O63" s="255" t="n"/>
      <c r="P63" s="255" t="n"/>
      <c r="Q63" s="255" t="n"/>
      <c r="R63" s="255" t="n"/>
      <c r="S63" s="349" t="n"/>
      <c r="T63" s="255" t="n"/>
      <c r="U63" s="255" t="n"/>
      <c r="V63" s="255" t="n"/>
      <c r="W63" s="255" t="n"/>
      <c r="X63" s="255" t="n"/>
      <c r="Y63" s="255" t="n"/>
      <c r="Z63" s="255" t="n"/>
    </row>
    <row r="64" hidden="1" ht="12.75" customHeight="1">
      <c r="A64" s="348" t="n"/>
      <c r="B64" s="255" t="n"/>
      <c r="C64" s="255" t="n"/>
      <c r="D64" s="255" t="n"/>
      <c r="E64" s="255" t="n"/>
      <c r="F64" s="255" t="n"/>
      <c r="G64" s="255" t="n"/>
      <c r="H64" s="255" t="n"/>
      <c r="I64" s="255" t="n"/>
      <c r="J64" s="255" t="n"/>
      <c r="K64" s="255" t="n"/>
      <c r="L64" s="255" t="n"/>
      <c r="M64" s="255" t="n"/>
      <c r="N64" s="255" t="n"/>
      <c r="O64" s="255" t="n"/>
      <c r="P64" s="255" t="n"/>
      <c r="Q64" s="255" t="n"/>
      <c r="R64" s="255" t="n"/>
      <c r="S64" s="349" t="n"/>
      <c r="T64" s="255" t="n"/>
      <c r="U64" s="255" t="n"/>
      <c r="V64" s="255" t="n"/>
      <c r="W64" s="255" t="n"/>
      <c r="X64" s="255" t="n"/>
      <c r="Y64" s="255" t="n"/>
      <c r="Z64" s="255" t="n"/>
    </row>
    <row r="65" hidden="1" ht="12.75" customHeight="1">
      <c r="A65" s="348" t="n"/>
      <c r="B65" s="255" t="n"/>
      <c r="C65" s="255" t="n"/>
      <c r="D65" s="255" t="n"/>
      <c r="E65" s="255" t="n"/>
      <c r="F65" s="255" t="n"/>
      <c r="G65" s="255" t="n"/>
      <c r="H65" s="255" t="n"/>
      <c r="I65" s="255" t="n"/>
      <c r="J65" s="255" t="n"/>
      <c r="K65" s="255" t="n"/>
      <c r="L65" s="255" t="n"/>
      <c r="M65" s="255" t="n"/>
      <c r="N65" s="255" t="n"/>
      <c r="O65" s="255" t="n"/>
      <c r="P65" s="255" t="n"/>
      <c r="Q65" s="255" t="n"/>
      <c r="R65" s="255" t="n"/>
      <c r="S65" s="349" t="n"/>
      <c r="T65" s="255" t="n"/>
      <c r="U65" s="255" t="n"/>
      <c r="V65" s="255" t="n"/>
      <c r="W65" s="255" t="n"/>
      <c r="X65" s="255" t="n"/>
      <c r="Y65" s="255" t="n"/>
      <c r="Z65" s="255" t="n"/>
    </row>
    <row r="66" hidden="1" ht="12.75" customHeight="1">
      <c r="A66" s="348" t="n"/>
      <c r="B66" s="255" t="n"/>
      <c r="C66" s="255" t="n"/>
      <c r="D66" s="255" t="n"/>
      <c r="E66" s="255" t="n"/>
      <c r="F66" s="255" t="n"/>
      <c r="G66" s="255" t="n"/>
      <c r="H66" s="255" t="n"/>
      <c r="I66" s="255" t="n"/>
      <c r="J66" s="255" t="n"/>
      <c r="K66" s="255" t="n"/>
      <c r="L66" s="255" t="n"/>
      <c r="M66" s="255" t="n"/>
      <c r="N66" s="255" t="n"/>
      <c r="O66" s="255" t="n"/>
      <c r="P66" s="255" t="n"/>
      <c r="Q66" s="255" t="n"/>
      <c r="R66" s="255" t="n"/>
      <c r="S66" s="349" t="n"/>
      <c r="T66" s="255" t="n"/>
      <c r="U66" s="255" t="n"/>
      <c r="V66" s="255" t="n"/>
      <c r="W66" s="255" t="n"/>
      <c r="X66" s="255" t="n"/>
      <c r="Y66" s="255" t="n"/>
      <c r="Z66" s="255" t="n"/>
    </row>
    <row r="67" hidden="1" ht="12.75" customHeight="1">
      <c r="A67" s="348" t="n"/>
      <c r="B67" s="255" t="n"/>
      <c r="C67" s="255" t="n"/>
      <c r="D67" s="255" t="n"/>
      <c r="E67" s="255" t="n"/>
      <c r="F67" s="255" t="n"/>
      <c r="G67" s="255" t="n"/>
      <c r="H67" s="255" t="n"/>
      <c r="I67" s="255" t="n"/>
      <c r="J67" s="255" t="n"/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349" t="n"/>
      <c r="T67" s="255" t="n"/>
      <c r="U67" s="255" t="n"/>
      <c r="V67" s="255" t="n"/>
      <c r="W67" s="255" t="n"/>
      <c r="X67" s="255" t="n"/>
      <c r="Y67" s="255" t="n"/>
      <c r="Z67" s="255" t="n"/>
    </row>
    <row r="68" hidden="1" ht="12.75" customHeight="1">
      <c r="A68" s="348" t="n"/>
      <c r="B68" s="255" t="n"/>
      <c r="C68" s="255" t="n"/>
      <c r="D68" s="255" t="n"/>
      <c r="E68" s="255" t="n"/>
      <c r="F68" s="255" t="n"/>
      <c r="G68" s="255" t="n"/>
      <c r="H68" s="255" t="n"/>
      <c r="I68" s="255" t="n"/>
      <c r="J68" s="255" t="n"/>
      <c r="K68" s="255" t="n"/>
      <c r="L68" s="255" t="n"/>
      <c r="M68" s="255" t="n"/>
      <c r="N68" s="255" t="n"/>
      <c r="O68" s="255" t="n"/>
      <c r="P68" s="255" t="n"/>
      <c r="Q68" s="255" t="n"/>
      <c r="R68" s="255" t="n"/>
      <c r="S68" s="349" t="n"/>
      <c r="T68" s="255" t="n"/>
      <c r="U68" s="255" t="n"/>
      <c r="V68" s="255" t="n"/>
      <c r="W68" s="255" t="n"/>
      <c r="X68" s="255" t="n"/>
      <c r="Y68" s="255" t="n"/>
      <c r="Z68" s="255" t="n"/>
    </row>
    <row r="69" hidden="1" ht="12.75" customHeight="1">
      <c r="A69" s="348" t="n"/>
      <c r="B69" s="255" t="n"/>
      <c r="C69" s="255" t="n"/>
      <c r="D69" s="255" t="n"/>
      <c r="E69" s="255" t="n"/>
      <c r="F69" s="255" t="n"/>
      <c r="G69" s="255" t="n"/>
      <c r="H69" s="255" t="n"/>
      <c r="I69" s="255" t="n"/>
      <c r="J69" s="255" t="n"/>
      <c r="K69" s="255" t="n"/>
      <c r="L69" s="255" t="n"/>
      <c r="M69" s="255" t="n"/>
      <c r="N69" s="255" t="n"/>
      <c r="O69" s="255" t="n"/>
      <c r="P69" s="255" t="n"/>
      <c r="Q69" s="255" t="n"/>
      <c r="R69" s="255" t="n"/>
      <c r="S69" s="349" t="n"/>
      <c r="T69" s="255" t="n"/>
      <c r="U69" s="255" t="n"/>
      <c r="V69" s="255" t="n"/>
      <c r="W69" s="255" t="n"/>
      <c r="X69" s="255" t="n"/>
      <c r="Y69" s="255" t="n"/>
      <c r="Z69" s="255" t="n"/>
    </row>
    <row r="70" hidden="1" ht="12.75" customHeight="1">
      <c r="A70" s="348" t="n"/>
      <c r="B70" s="255" t="n"/>
      <c r="C70" s="255" t="n"/>
      <c r="D70" s="255" t="n"/>
      <c r="E70" s="255" t="n"/>
      <c r="F70" s="255" t="n"/>
      <c r="G70" s="255" t="n"/>
      <c r="H70" s="255" t="n"/>
      <c r="I70" s="255" t="n"/>
      <c r="J70" s="255" t="n"/>
      <c r="K70" s="255" t="n"/>
      <c r="L70" s="255" t="n"/>
      <c r="M70" s="255" t="n"/>
      <c r="N70" s="255" t="n"/>
      <c r="O70" s="255" t="n"/>
      <c r="P70" s="255" t="n"/>
      <c r="Q70" s="255" t="n"/>
      <c r="R70" s="255" t="n"/>
      <c r="S70" s="349" t="n"/>
      <c r="T70" s="255" t="n"/>
      <c r="U70" s="255" t="n"/>
      <c r="V70" s="255" t="n"/>
      <c r="W70" s="255" t="n"/>
      <c r="X70" s="255" t="n"/>
      <c r="Y70" s="255" t="n"/>
      <c r="Z70" s="255" t="n"/>
    </row>
    <row r="71" hidden="1" ht="12.75" customHeight="1">
      <c r="A71" s="348" t="n"/>
      <c r="B71" s="255" t="n"/>
      <c r="C71" s="255" t="n"/>
      <c r="D71" s="255" t="n"/>
      <c r="E71" s="255" t="n"/>
      <c r="F71" s="255" t="n"/>
      <c r="G71" s="255" t="n"/>
      <c r="H71" s="255" t="n"/>
      <c r="I71" s="255" t="n"/>
      <c r="J71" s="255" t="n"/>
      <c r="K71" s="255" t="n"/>
      <c r="L71" s="255" t="n"/>
      <c r="M71" s="255" t="n"/>
      <c r="N71" s="255" t="n"/>
      <c r="O71" s="255" t="n"/>
      <c r="P71" s="255" t="n"/>
      <c r="Q71" s="255" t="n"/>
      <c r="R71" s="255" t="n"/>
      <c r="S71" s="349" t="n"/>
      <c r="T71" s="255" t="n"/>
      <c r="U71" s="255" t="n"/>
      <c r="V71" s="255" t="n"/>
      <c r="W71" s="255" t="n"/>
      <c r="X71" s="255" t="n"/>
      <c r="Y71" s="255" t="n"/>
      <c r="Z71" s="255" t="n"/>
    </row>
    <row r="72" hidden="1" ht="12.75" customHeight="1">
      <c r="A72" s="348" t="n"/>
      <c r="B72" s="255" t="n"/>
      <c r="C72" s="255" t="n"/>
      <c r="D72" s="255" t="n"/>
      <c r="E72" s="255" t="n"/>
      <c r="F72" s="255" t="n"/>
      <c r="G72" s="255" t="n"/>
      <c r="H72" s="255" t="n"/>
      <c r="I72" s="255" t="n"/>
      <c r="J72" s="255" t="n"/>
      <c r="K72" s="255" t="n"/>
      <c r="L72" s="255" t="n"/>
      <c r="M72" s="255" t="n"/>
      <c r="N72" s="255" t="n"/>
      <c r="O72" s="255" t="n"/>
      <c r="P72" s="255" t="n"/>
      <c r="Q72" s="255" t="n"/>
      <c r="R72" s="255" t="n"/>
      <c r="S72" s="349" t="n"/>
      <c r="T72" s="255" t="n"/>
      <c r="U72" s="255" t="n"/>
      <c r="V72" s="255" t="n"/>
      <c r="W72" s="255" t="n"/>
      <c r="X72" s="255" t="n"/>
      <c r="Y72" s="255" t="n"/>
      <c r="Z72" s="255" t="n"/>
    </row>
    <row r="73" hidden="1" ht="12.75" customHeight="1">
      <c r="A73" s="348" t="n"/>
      <c r="B73" s="255" t="n"/>
      <c r="C73" s="255" t="n"/>
      <c r="D73" s="255" t="n"/>
      <c r="E73" s="255" t="n"/>
      <c r="F73" s="255" t="n"/>
      <c r="G73" s="255" t="n"/>
      <c r="H73" s="255" t="n"/>
      <c r="I73" s="255" t="n"/>
      <c r="J73" s="255" t="n"/>
      <c r="K73" s="255" t="n"/>
      <c r="L73" s="255" t="n"/>
      <c r="M73" s="255" t="n"/>
      <c r="N73" s="255" t="n"/>
      <c r="O73" s="255" t="n"/>
      <c r="P73" s="255" t="n"/>
      <c r="Q73" s="255" t="n"/>
      <c r="R73" s="255" t="n"/>
      <c r="S73" s="349" t="n"/>
      <c r="T73" s="255" t="n"/>
      <c r="U73" s="255" t="n"/>
      <c r="V73" s="255" t="n"/>
      <c r="W73" s="255" t="n"/>
      <c r="X73" s="255" t="n"/>
      <c r="Y73" s="255" t="n"/>
      <c r="Z73" s="255" t="n"/>
    </row>
    <row r="74" hidden="1" ht="12.75" customHeight="1">
      <c r="A74" s="348" t="n"/>
      <c r="B74" s="255" t="n"/>
      <c r="C74" s="255" t="n"/>
      <c r="D74" s="255" t="n"/>
      <c r="E74" s="255" t="n"/>
      <c r="F74" s="255" t="n"/>
      <c r="G74" s="255" t="n"/>
      <c r="H74" s="255" t="n"/>
      <c r="I74" s="255" t="n"/>
      <c r="J74" s="255" t="n"/>
      <c r="K74" s="255" t="n"/>
      <c r="L74" s="255" t="n"/>
      <c r="M74" s="255" t="n"/>
      <c r="N74" s="255" t="n"/>
      <c r="O74" s="255" t="n"/>
      <c r="P74" s="255" t="n"/>
      <c r="Q74" s="255" t="n"/>
      <c r="R74" s="255" t="n"/>
      <c r="S74" s="349" t="n"/>
      <c r="T74" s="255" t="n"/>
      <c r="U74" s="255" t="n"/>
      <c r="V74" s="255" t="n"/>
      <c r="W74" s="255" t="n"/>
      <c r="X74" s="255" t="n"/>
      <c r="Y74" s="255" t="n"/>
      <c r="Z74" s="255" t="n"/>
    </row>
    <row r="75" hidden="1" ht="12.75" customHeight="1">
      <c r="A75" s="348" t="n"/>
      <c r="B75" s="255" t="n"/>
      <c r="C75" s="255" t="n"/>
      <c r="D75" s="255" t="n"/>
      <c r="E75" s="255" t="n"/>
      <c r="F75" s="255" t="n"/>
      <c r="G75" s="255" t="n"/>
      <c r="H75" s="255" t="n"/>
      <c r="I75" s="255" t="n"/>
      <c r="J75" s="255" t="n"/>
      <c r="K75" s="255" t="n"/>
      <c r="L75" s="255" t="n"/>
      <c r="M75" s="255" t="n"/>
      <c r="N75" s="255" t="n"/>
      <c r="O75" s="255" t="n"/>
      <c r="P75" s="255" t="n"/>
      <c r="Q75" s="255" t="n"/>
      <c r="R75" s="255" t="n"/>
      <c r="S75" s="349" t="n"/>
      <c r="T75" s="255" t="n"/>
      <c r="U75" s="255" t="n"/>
      <c r="V75" s="255" t="n"/>
      <c r="W75" s="255" t="n"/>
      <c r="X75" s="255" t="n"/>
      <c r="Y75" s="255" t="n"/>
      <c r="Z75" s="255" t="n"/>
    </row>
    <row r="76" hidden="1" ht="12.75" customHeight="1">
      <c r="A76" s="348" t="n"/>
      <c r="B76" s="255" t="n"/>
      <c r="C76" s="255" t="n"/>
      <c r="D76" s="255" t="n"/>
      <c r="E76" s="255" t="n"/>
      <c r="F76" s="255" t="n"/>
      <c r="G76" s="255" t="n"/>
      <c r="H76" s="255" t="n"/>
      <c r="I76" s="255" t="n"/>
      <c r="J76" s="255" t="n"/>
      <c r="K76" s="255" t="n"/>
      <c r="L76" s="255" t="n"/>
      <c r="M76" s="255" t="n"/>
      <c r="N76" s="255" t="n"/>
      <c r="O76" s="255" t="n"/>
      <c r="P76" s="255" t="n"/>
      <c r="Q76" s="255" t="n"/>
      <c r="R76" s="255" t="n"/>
      <c r="S76" s="349" t="n"/>
      <c r="T76" s="255" t="n"/>
      <c r="U76" s="255" t="n"/>
      <c r="V76" s="255" t="n"/>
      <c r="W76" s="255" t="n"/>
      <c r="X76" s="255" t="n"/>
      <c r="Y76" s="255" t="n"/>
      <c r="Z76" s="255" t="n"/>
    </row>
    <row r="77" hidden="1" ht="12.75" customHeight="1">
      <c r="A77" s="348" t="n"/>
      <c r="B77" s="255" t="n"/>
      <c r="C77" s="255" t="n"/>
      <c r="D77" s="255" t="n"/>
      <c r="E77" s="255" t="n"/>
      <c r="F77" s="255" t="n"/>
      <c r="G77" s="255" t="n"/>
      <c r="H77" s="255" t="n"/>
      <c r="I77" s="255" t="n"/>
      <c r="J77" s="255" t="n"/>
      <c r="K77" s="255" t="n"/>
      <c r="L77" s="255" t="n"/>
      <c r="M77" s="255" t="n"/>
      <c r="N77" s="255" t="n"/>
      <c r="O77" s="255" t="n"/>
      <c r="P77" s="255" t="n"/>
      <c r="Q77" s="255" t="n"/>
      <c r="R77" s="255" t="n"/>
      <c r="S77" s="349" t="n"/>
      <c r="T77" s="255" t="n"/>
      <c r="U77" s="255" t="n"/>
      <c r="V77" s="255" t="n"/>
      <c r="W77" s="255" t="n"/>
      <c r="X77" s="255" t="n"/>
      <c r="Y77" s="255" t="n"/>
      <c r="Z77" s="255" t="n"/>
    </row>
    <row r="78" hidden="1" ht="12.75" customHeight="1">
      <c r="A78" s="348" t="n"/>
      <c r="B78" s="255" t="n"/>
      <c r="C78" s="255" t="n"/>
      <c r="D78" s="255" t="n"/>
      <c r="E78" s="255" t="n"/>
      <c r="F78" s="255" t="n"/>
      <c r="G78" s="255" t="n"/>
      <c r="H78" s="255" t="n"/>
      <c r="I78" s="255" t="n"/>
      <c r="J78" s="255" t="n"/>
      <c r="K78" s="255" t="n"/>
      <c r="L78" s="255" t="n"/>
      <c r="M78" s="255" t="n"/>
      <c r="N78" s="255" t="n"/>
      <c r="O78" s="255" t="n"/>
      <c r="P78" s="255" t="n"/>
      <c r="Q78" s="255" t="n"/>
      <c r="R78" s="255" t="n"/>
      <c r="S78" s="349" t="n"/>
      <c r="T78" s="255" t="n"/>
      <c r="U78" s="255" t="n"/>
      <c r="V78" s="255" t="n"/>
      <c r="W78" s="255" t="n"/>
      <c r="X78" s="255" t="n"/>
      <c r="Y78" s="255" t="n"/>
      <c r="Z78" s="255" t="n"/>
    </row>
    <row r="79" hidden="1" ht="12.75" customHeight="1">
      <c r="A79" s="348" t="n"/>
      <c r="B79" s="255" t="n"/>
      <c r="C79" s="255" t="n"/>
      <c r="D79" s="255" t="n"/>
      <c r="E79" s="255" t="n"/>
      <c r="F79" s="255" t="n"/>
      <c r="G79" s="255" t="n"/>
      <c r="H79" s="255" t="n"/>
      <c r="I79" s="255" t="n"/>
      <c r="J79" s="255" t="n"/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349" t="n"/>
      <c r="T79" s="255" t="n"/>
      <c r="U79" s="255" t="n"/>
      <c r="V79" s="255" t="n"/>
      <c r="W79" s="255" t="n"/>
      <c r="X79" s="255" t="n"/>
      <c r="Y79" s="255" t="n"/>
      <c r="Z79" s="255" t="n"/>
    </row>
    <row r="80" hidden="1" ht="12.75" customHeight="1">
      <c r="A80" s="348" t="n"/>
      <c r="B80" s="255" t="n"/>
      <c r="C80" s="255" t="n"/>
      <c r="D80" s="255" t="n"/>
      <c r="E80" s="255" t="n"/>
      <c r="F80" s="255" t="n"/>
      <c r="G80" s="255" t="n"/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/>
      <c r="R80" s="255" t="n"/>
      <c r="S80" s="349" t="n"/>
      <c r="T80" s="255" t="n"/>
      <c r="U80" s="255" t="n"/>
      <c r="V80" s="255" t="n"/>
      <c r="W80" s="255" t="n"/>
      <c r="X80" s="255" t="n"/>
      <c r="Y80" s="255" t="n"/>
      <c r="Z80" s="255" t="n"/>
    </row>
    <row r="81" hidden="1" ht="12.75" customHeight="1">
      <c r="A81" s="348" t="n"/>
      <c r="B81" s="255" t="n"/>
      <c r="C81" s="255" t="n"/>
      <c r="D81" s="255" t="n"/>
      <c r="E81" s="255" t="n"/>
      <c r="F81" s="255" t="n"/>
      <c r="G81" s="255" t="n"/>
      <c r="H81" s="255" t="n"/>
      <c r="I81" s="255" t="n"/>
      <c r="J81" s="255" t="n"/>
      <c r="K81" s="255" t="n"/>
      <c r="L81" s="255" t="n"/>
      <c r="M81" s="255" t="n"/>
      <c r="N81" s="255" t="n"/>
      <c r="O81" s="255" t="n"/>
      <c r="P81" s="255" t="n"/>
      <c r="Q81" s="255" t="n"/>
      <c r="R81" s="255" t="n"/>
      <c r="S81" s="349" t="n"/>
      <c r="T81" s="255" t="n"/>
      <c r="U81" s="255" t="n"/>
      <c r="V81" s="255" t="n"/>
      <c r="W81" s="255" t="n"/>
      <c r="X81" s="255" t="n"/>
      <c r="Y81" s="255" t="n"/>
      <c r="Z81" s="255" t="n"/>
    </row>
    <row r="82" hidden="1" ht="12.75" customHeight="1">
      <c r="A82" s="348" t="n"/>
      <c r="B82" s="255" t="n"/>
      <c r="C82" s="255" t="n"/>
      <c r="D82" s="255" t="n"/>
      <c r="E82" s="255" t="n"/>
      <c r="F82" s="255" t="n"/>
      <c r="G82" s="255" t="n"/>
      <c r="H82" s="255" t="n"/>
      <c r="I82" s="255" t="n"/>
      <c r="J82" s="255" t="n"/>
      <c r="K82" s="255" t="n"/>
      <c r="L82" s="255" t="n"/>
      <c r="M82" s="255" t="n"/>
      <c r="N82" s="255" t="n"/>
      <c r="O82" s="255" t="n"/>
      <c r="P82" s="255" t="n"/>
      <c r="Q82" s="255" t="n"/>
      <c r="R82" s="255" t="n"/>
      <c r="S82" s="349" t="n"/>
      <c r="T82" s="255" t="n"/>
      <c r="U82" s="255" t="n"/>
      <c r="V82" s="255" t="n"/>
      <c r="W82" s="255" t="n"/>
      <c r="X82" s="255" t="n"/>
      <c r="Y82" s="255" t="n"/>
      <c r="Z82" s="255" t="n"/>
    </row>
    <row r="83" hidden="1" ht="12.75" customHeight="1">
      <c r="A83" s="348" t="n"/>
      <c r="B83" s="255" t="n"/>
      <c r="C83" s="255" t="n"/>
      <c r="D83" s="255" t="n"/>
      <c r="E83" s="255" t="n"/>
      <c r="F83" s="255" t="n"/>
      <c r="G83" s="255" t="n"/>
      <c r="H83" s="255" t="n"/>
      <c r="I83" s="255" t="n"/>
      <c r="J83" s="255" t="n"/>
      <c r="K83" s="255" t="n"/>
      <c r="L83" s="255" t="n"/>
      <c r="M83" s="255" t="n"/>
      <c r="N83" s="255" t="n"/>
      <c r="O83" s="255" t="n"/>
      <c r="P83" s="255" t="n"/>
      <c r="Q83" s="255" t="n"/>
      <c r="R83" s="255" t="n"/>
      <c r="S83" s="349" t="n"/>
      <c r="T83" s="255" t="n"/>
      <c r="U83" s="255" t="n"/>
      <c r="V83" s="255" t="n"/>
      <c r="W83" s="255" t="n"/>
      <c r="X83" s="255" t="n"/>
      <c r="Y83" s="255" t="n"/>
      <c r="Z83" s="255" t="n"/>
    </row>
    <row r="84" hidden="1" ht="12.75" customHeight="1">
      <c r="A84" s="348" t="n"/>
      <c r="B84" s="255" t="n"/>
      <c r="C84" s="255" t="n"/>
      <c r="D84" s="255" t="n"/>
      <c r="E84" s="255" t="n"/>
      <c r="F84" s="255" t="n"/>
      <c r="G84" s="255" t="n"/>
      <c r="H84" s="255" t="n"/>
      <c r="I84" s="255" t="n"/>
      <c r="J84" s="255" t="n"/>
      <c r="K84" s="255" t="n"/>
      <c r="L84" s="255" t="n"/>
      <c r="M84" s="255" t="n"/>
      <c r="N84" s="255" t="n"/>
      <c r="O84" s="255" t="n"/>
      <c r="P84" s="255" t="n"/>
      <c r="Q84" s="255" t="n"/>
      <c r="R84" s="255" t="n"/>
      <c r="S84" s="349" t="n"/>
      <c r="T84" s="255" t="n"/>
      <c r="U84" s="255" t="n"/>
      <c r="V84" s="255" t="n"/>
      <c r="W84" s="255" t="n"/>
      <c r="X84" s="255" t="n"/>
      <c r="Y84" s="255" t="n"/>
      <c r="Z84" s="255" t="n"/>
    </row>
    <row r="85" hidden="1" ht="12.75" customHeight="1">
      <c r="A85" s="348" t="n"/>
      <c r="B85" s="255" t="n"/>
      <c r="C85" s="255" t="n"/>
      <c r="D85" s="255" t="n"/>
      <c r="E85" s="255" t="n"/>
      <c r="F85" s="255" t="n"/>
      <c r="G85" s="255" t="n"/>
      <c r="H85" s="255" t="n"/>
      <c r="I85" s="255" t="n"/>
      <c r="J85" s="255" t="n"/>
      <c r="K85" s="255" t="n"/>
      <c r="L85" s="255" t="n"/>
      <c r="M85" s="255" t="n"/>
      <c r="N85" s="255" t="n"/>
      <c r="O85" s="255" t="n"/>
      <c r="P85" s="255" t="n"/>
      <c r="Q85" s="255" t="n"/>
      <c r="R85" s="255" t="n"/>
      <c r="S85" s="349" t="n"/>
      <c r="T85" s="255" t="n"/>
      <c r="U85" s="255" t="n"/>
      <c r="V85" s="255" t="n"/>
      <c r="W85" s="255" t="n"/>
      <c r="X85" s="255" t="n"/>
      <c r="Y85" s="255" t="n"/>
      <c r="Z85" s="255" t="n"/>
    </row>
    <row r="86" hidden="1" ht="12.75" customHeight="1">
      <c r="A86" s="348" t="n"/>
      <c r="B86" s="255" t="n"/>
      <c r="C86" s="255" t="n"/>
      <c r="D86" s="255" t="n"/>
      <c r="E86" s="255" t="n"/>
      <c r="F86" s="255" t="n"/>
      <c r="G86" s="255" t="n"/>
      <c r="H86" s="255" t="n"/>
      <c r="I86" s="255" t="n"/>
      <c r="J86" s="255" t="n"/>
      <c r="K86" s="255" t="n"/>
      <c r="L86" s="255" t="n"/>
      <c r="M86" s="255" t="n"/>
      <c r="N86" s="255" t="n"/>
      <c r="O86" s="255" t="n"/>
      <c r="P86" s="255" t="n"/>
      <c r="Q86" s="255" t="n"/>
      <c r="R86" s="255" t="n"/>
      <c r="S86" s="349" t="n"/>
      <c r="T86" s="255" t="n"/>
      <c r="U86" s="255" t="n"/>
      <c r="V86" s="255" t="n"/>
      <c r="W86" s="255" t="n"/>
      <c r="X86" s="255" t="n"/>
      <c r="Y86" s="255" t="n"/>
      <c r="Z86" s="255" t="n"/>
    </row>
    <row r="87" hidden="1" ht="12.75" customHeight="1">
      <c r="A87" s="348" t="n"/>
      <c r="B87" s="255" t="n"/>
      <c r="C87" s="255" t="n"/>
      <c r="D87" s="255" t="n"/>
      <c r="E87" s="255" t="n"/>
      <c r="F87" s="255" t="n"/>
      <c r="G87" s="255" t="n"/>
      <c r="H87" s="255" t="n"/>
      <c r="I87" s="255" t="n"/>
      <c r="J87" s="255" t="n"/>
      <c r="K87" s="255" t="n"/>
      <c r="L87" s="255" t="n"/>
      <c r="M87" s="255" t="n"/>
      <c r="N87" s="255" t="n"/>
      <c r="O87" s="255" t="n"/>
      <c r="P87" s="255" t="n"/>
      <c r="Q87" s="255" t="n"/>
      <c r="R87" s="255" t="n"/>
      <c r="S87" s="349" t="n"/>
      <c r="T87" s="255" t="n"/>
      <c r="U87" s="255" t="n"/>
      <c r="V87" s="255" t="n"/>
      <c r="W87" s="255" t="n"/>
      <c r="X87" s="255" t="n"/>
      <c r="Y87" s="255" t="n"/>
      <c r="Z87" s="255" t="n"/>
    </row>
    <row r="88" hidden="1" ht="12.75" customHeight="1">
      <c r="A88" s="348" t="n"/>
      <c r="B88" s="255" t="n"/>
      <c r="C88" s="255" t="n"/>
      <c r="D88" s="255" t="n"/>
      <c r="E88" s="255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349" t="n"/>
      <c r="T88" s="255" t="n"/>
      <c r="U88" s="255" t="n"/>
      <c r="V88" s="255" t="n"/>
      <c r="W88" s="255" t="n"/>
      <c r="X88" s="255" t="n"/>
      <c r="Y88" s="255" t="n"/>
      <c r="Z88" s="255" t="n"/>
    </row>
    <row r="89" hidden="1" ht="12.75" customHeight="1">
      <c r="A89" s="348" t="n"/>
      <c r="B89" s="255" t="n"/>
      <c r="C89" s="255" t="n"/>
      <c r="D89" s="255" t="n"/>
      <c r="E89" s="255" t="n"/>
      <c r="F89" s="255" t="n"/>
      <c r="G89" s="255" t="n"/>
      <c r="H89" s="255" t="n"/>
      <c r="I89" s="255" t="n"/>
      <c r="J89" s="255" t="n"/>
      <c r="K89" s="255" t="n"/>
      <c r="L89" s="255" t="n"/>
      <c r="M89" s="255" t="n"/>
      <c r="N89" s="255" t="n"/>
      <c r="O89" s="255" t="n"/>
      <c r="P89" s="255" t="n"/>
      <c r="Q89" s="255" t="n"/>
      <c r="R89" s="255" t="n"/>
      <c r="S89" s="349" t="n"/>
      <c r="T89" s="255" t="n"/>
      <c r="U89" s="255" t="n"/>
      <c r="V89" s="255" t="n"/>
      <c r="W89" s="255" t="n"/>
      <c r="X89" s="255" t="n"/>
      <c r="Y89" s="255" t="n"/>
      <c r="Z89" s="255" t="n"/>
    </row>
    <row r="90" hidden="1" ht="12.75" customHeight="1">
      <c r="A90" s="348" t="n"/>
      <c r="B90" s="255" t="n"/>
      <c r="C90" s="255" t="n"/>
      <c r="D90" s="255" t="n"/>
      <c r="E90" s="255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349" t="n"/>
      <c r="T90" s="255" t="n"/>
      <c r="U90" s="255" t="n"/>
      <c r="V90" s="255" t="n"/>
      <c r="W90" s="255" t="n"/>
      <c r="X90" s="255" t="n"/>
      <c r="Y90" s="255" t="n"/>
      <c r="Z90" s="255" t="n"/>
    </row>
    <row r="91" hidden="1" ht="12.75" customHeight="1">
      <c r="A91" s="348" t="n"/>
      <c r="B91" s="255" t="n"/>
      <c r="C91" s="255" t="n"/>
      <c r="D91" s="255" t="n"/>
      <c r="E91" s="255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349" t="n"/>
      <c r="T91" s="255" t="n"/>
      <c r="U91" s="255" t="n"/>
      <c r="V91" s="255" t="n"/>
      <c r="W91" s="255" t="n"/>
      <c r="X91" s="255" t="n"/>
      <c r="Y91" s="255" t="n"/>
      <c r="Z91" s="255" t="n"/>
    </row>
    <row r="92" hidden="1" ht="12.75" customHeight="1">
      <c r="A92" s="348" t="n"/>
      <c r="B92" s="255" t="n"/>
      <c r="C92" s="255" t="n"/>
      <c r="D92" s="255" t="n"/>
      <c r="E92" s="255" t="n"/>
      <c r="F92" s="255" t="n"/>
      <c r="G92" s="255" t="n"/>
      <c r="H92" s="255" t="n"/>
      <c r="I92" s="255" t="n"/>
      <c r="J92" s="255" t="n"/>
      <c r="K92" s="255" t="n"/>
      <c r="L92" s="255" t="n"/>
      <c r="M92" s="255" t="n"/>
      <c r="N92" s="255" t="n"/>
      <c r="O92" s="255" t="n"/>
      <c r="P92" s="255" t="n"/>
      <c r="Q92" s="255" t="n"/>
      <c r="R92" s="255" t="n"/>
      <c r="S92" s="349" t="n"/>
      <c r="T92" s="255" t="n"/>
      <c r="U92" s="255" t="n"/>
      <c r="V92" s="255" t="n"/>
      <c r="W92" s="255" t="n"/>
      <c r="X92" s="255" t="n"/>
      <c r="Y92" s="255" t="n"/>
      <c r="Z92" s="255" t="n"/>
    </row>
    <row r="93" hidden="1" ht="12.75" customHeight="1">
      <c r="A93" s="350" t="n"/>
      <c r="B93" s="351" t="n"/>
      <c r="C93" s="351" t="n"/>
      <c r="D93" s="351" t="n"/>
      <c r="E93" s="351" t="n"/>
      <c r="F93" s="351" t="n"/>
      <c r="G93" s="351" t="n"/>
      <c r="H93" s="351" t="n"/>
      <c r="I93" s="351" t="n"/>
      <c r="J93" s="351" t="n"/>
      <c r="K93" s="351" t="n"/>
      <c r="L93" s="351" t="n"/>
      <c r="M93" s="351" t="n"/>
      <c r="N93" s="351" t="n"/>
      <c r="O93" s="351" t="n"/>
      <c r="P93" s="351" t="n"/>
      <c r="Q93" s="351" t="n"/>
      <c r="R93" s="351" t="n"/>
      <c r="S93" s="352" t="n"/>
      <c r="T93" s="255" t="n"/>
      <c r="U93" s="255" t="n"/>
      <c r="V93" s="255" t="n"/>
      <c r="W93" s="255" t="n"/>
      <c r="X93" s="255" t="n"/>
      <c r="Y93" s="255" t="n"/>
      <c r="Z93" s="255" t="n"/>
    </row>
    <row r="94" ht="12.75" customHeight="1">
      <c r="A94" s="333" t="n"/>
      <c r="B94" s="255" t="n"/>
      <c r="C94" s="255" t="n"/>
      <c r="D94" s="255" t="n"/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5" t="n"/>
      <c r="Y94" s="255" t="n"/>
      <c r="Z94" s="255" t="n"/>
    </row>
    <row r="95" ht="12.75" customHeight="1">
      <c r="A95" s="333" t="n"/>
      <c r="B95" s="255" t="n"/>
      <c r="C95" s="255" t="n"/>
      <c r="D95" s="255" t="n"/>
      <c r="E95" s="255" t="n"/>
      <c r="F95" s="255" t="n"/>
      <c r="G95" s="255" t="n"/>
      <c r="H95" s="255" t="n"/>
      <c r="I95" s="255" t="n"/>
      <c r="J95" s="255" t="n"/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n"/>
      <c r="U95" s="255" t="n"/>
      <c r="V95" s="255" t="n"/>
      <c r="W95" s="255" t="n"/>
      <c r="X95" s="255" t="n"/>
      <c r="Y95" s="255" t="n"/>
      <c r="Z95" s="255" t="n"/>
    </row>
    <row r="96" ht="12.75" customHeight="1">
      <c r="A96" s="333" t="n"/>
      <c r="B96" s="255" t="n"/>
      <c r="C96" s="255" t="n"/>
      <c r="D96" s="255" t="n"/>
      <c r="E96" s="255" t="n"/>
      <c r="F96" s="255" t="n"/>
      <c r="G96" s="255" t="n"/>
      <c r="H96" s="255" t="n"/>
      <c r="I96" s="255" t="n"/>
      <c r="J96" s="255" t="n"/>
      <c r="K96" s="255" t="n"/>
      <c r="L96" s="255" t="n"/>
      <c r="M96" s="255" t="n"/>
      <c r="N96" s="255" t="n"/>
      <c r="O96" s="255" t="n"/>
      <c r="P96" s="255" t="n"/>
      <c r="Q96" s="255" t="n"/>
      <c r="R96" s="255" t="n"/>
      <c r="S96" s="255" t="n"/>
      <c r="T96" s="255" t="n"/>
      <c r="U96" s="255" t="n"/>
      <c r="V96" s="255" t="n"/>
      <c r="W96" s="255" t="n"/>
      <c r="X96" s="255" t="n"/>
      <c r="Y96" s="255" t="n"/>
      <c r="Z96" s="255" t="n"/>
    </row>
    <row r="97" ht="12.75" customHeight="1">
      <c r="A97" s="333" t="n"/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5" t="n"/>
      <c r="Y97" s="255" t="n"/>
      <c r="Z97" s="255" t="n"/>
    </row>
    <row r="98" ht="12.75" customHeight="1">
      <c r="A98" s="333" t="n"/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5" t="n"/>
      <c r="Y98" s="255" t="n"/>
      <c r="Z98" s="255" t="n"/>
    </row>
    <row r="99" ht="12.75" customHeight="1">
      <c r="A99" s="333" t="n"/>
      <c r="B99" s="255" t="n"/>
      <c r="C99" s="255" t="n"/>
      <c r="D99" s="255" t="n"/>
      <c r="E99" s="255" t="n"/>
      <c r="F99" s="255" t="n"/>
      <c r="G99" s="255" t="n"/>
      <c r="H99" s="255" t="n"/>
      <c r="I99" s="255" t="n"/>
      <c r="J99" s="255" t="n"/>
      <c r="K99" s="255" t="n"/>
      <c r="L99" s="255" t="n"/>
      <c r="M99" s="255" t="n"/>
      <c r="N99" s="255" t="n"/>
      <c r="O99" s="255" t="n"/>
      <c r="P99" s="255" t="n"/>
      <c r="Q99" s="255" t="n"/>
      <c r="R99" s="255" t="n"/>
      <c r="S99" s="255" t="n"/>
      <c r="T99" s="255" t="n"/>
      <c r="U99" s="255" t="n"/>
      <c r="V99" s="255" t="n"/>
      <c r="W99" s="255" t="n"/>
      <c r="X99" s="255" t="n"/>
      <c r="Y99" s="255" t="n"/>
      <c r="Z99" s="255" t="n"/>
    </row>
    <row r="100" ht="12.75" customHeight="1">
      <c r="A100" s="333" t="n"/>
      <c r="B100" s="255" t="n"/>
      <c r="C100" s="255" t="n"/>
      <c r="D100" s="255" t="n"/>
      <c r="E100" s="255" t="n"/>
      <c r="F100" s="255" t="n"/>
      <c r="G100" s="255" t="n"/>
      <c r="H100" s="255" t="n"/>
      <c r="I100" s="255" t="n"/>
      <c r="J100" s="255" t="n"/>
      <c r="K100" s="255" t="n"/>
      <c r="L100" s="255" t="n"/>
      <c r="M100" s="255" t="n"/>
      <c r="N100" s="255" t="n"/>
      <c r="O100" s="255" t="n"/>
      <c r="P100" s="255" t="n"/>
      <c r="Q100" s="255" t="n"/>
      <c r="R100" s="255" t="n"/>
      <c r="S100" s="255" t="n"/>
      <c r="T100" s="255" t="n"/>
      <c r="U100" s="255" t="n"/>
      <c r="V100" s="255" t="n"/>
      <c r="W100" s="255" t="n"/>
      <c r="X100" s="255" t="n"/>
      <c r="Y100" s="255" t="n"/>
      <c r="Z100" s="255" t="n"/>
    </row>
    <row r="101" ht="12.75" customHeight="1">
      <c r="A101" s="333" t="n"/>
      <c r="B101" s="255" t="n"/>
      <c r="C101" s="255" t="n"/>
      <c r="D101" s="255" t="n"/>
      <c r="E101" s="255" t="n"/>
      <c r="F101" s="255" t="n"/>
      <c r="G101" s="255" t="n"/>
      <c r="H101" s="255" t="n"/>
      <c r="I101" s="255" t="n"/>
      <c r="J101" s="255" t="n"/>
      <c r="K101" s="255" t="n"/>
      <c r="L101" s="255" t="n"/>
      <c r="M101" s="255" t="n"/>
      <c r="N101" s="255" t="n"/>
      <c r="O101" s="255" t="n"/>
      <c r="P101" s="255" t="n"/>
      <c r="Q101" s="255" t="n"/>
      <c r="R101" s="255" t="n"/>
      <c r="S101" s="255" t="n"/>
      <c r="T101" s="255" t="n"/>
      <c r="U101" s="255" t="n"/>
      <c r="V101" s="255" t="n"/>
      <c r="W101" s="255" t="n"/>
      <c r="X101" s="255" t="n"/>
      <c r="Y101" s="255" t="n"/>
      <c r="Z101" s="255" t="n"/>
    </row>
    <row r="102" ht="12.75" customHeight="1">
      <c r="A102" s="333" t="n"/>
      <c r="B102" s="255" t="n"/>
      <c r="C102" s="255" t="n"/>
      <c r="D102" s="255" t="n"/>
      <c r="E102" s="255" t="n"/>
      <c r="F102" s="255" t="n"/>
      <c r="G102" s="255" t="n"/>
      <c r="H102" s="255" t="n"/>
      <c r="I102" s="255" t="n"/>
      <c r="J102" s="255" t="n"/>
      <c r="K102" s="255" t="n"/>
      <c r="L102" s="255" t="n"/>
      <c r="M102" s="255" t="n"/>
      <c r="N102" s="255" t="n"/>
      <c r="O102" s="255" t="n"/>
      <c r="P102" s="255" t="n"/>
      <c r="Q102" s="255" t="n"/>
      <c r="R102" s="255" t="n"/>
      <c r="S102" s="255" t="n"/>
      <c r="T102" s="255" t="n"/>
      <c r="U102" s="255" t="n"/>
      <c r="V102" s="255" t="n"/>
      <c r="W102" s="255" t="n"/>
      <c r="X102" s="255" t="n"/>
      <c r="Y102" s="255" t="n"/>
      <c r="Z102" s="255" t="n"/>
    </row>
    <row r="103" ht="12.75" customHeight="1">
      <c r="A103" s="333" t="n"/>
      <c r="B103" s="255" t="n"/>
      <c r="C103" s="255" t="n"/>
      <c r="D103" s="255" t="n"/>
      <c r="E103" s="255" t="n"/>
      <c r="F103" s="255" t="n"/>
      <c r="G103" s="255" t="n"/>
      <c r="H103" s="255" t="n"/>
      <c r="I103" s="255" t="n"/>
      <c r="J103" s="255" t="n"/>
      <c r="K103" s="255" t="n"/>
      <c r="L103" s="255" t="n"/>
      <c r="M103" s="255" t="n"/>
      <c r="N103" s="255" t="n"/>
      <c r="O103" s="255" t="n"/>
      <c r="P103" s="255" t="n"/>
      <c r="Q103" s="255" t="n"/>
      <c r="R103" s="255" t="n"/>
      <c r="S103" s="255" t="n"/>
      <c r="T103" s="255" t="n"/>
      <c r="U103" s="255" t="n"/>
      <c r="V103" s="255" t="n"/>
      <c r="W103" s="255" t="n"/>
      <c r="X103" s="255" t="n"/>
      <c r="Y103" s="255" t="n"/>
      <c r="Z103" s="255" t="n"/>
    </row>
    <row r="104" ht="12.75" customHeight="1">
      <c r="A104" s="333" t="n"/>
      <c r="B104" s="255" t="n"/>
      <c r="C104" s="255" t="n"/>
      <c r="D104" s="255" t="n"/>
      <c r="E104" s="255" t="n"/>
      <c r="F104" s="255" t="n"/>
      <c r="G104" s="255" t="n"/>
      <c r="H104" s="255" t="n"/>
      <c r="I104" s="255" t="n"/>
      <c r="J104" s="255" t="n"/>
      <c r="K104" s="255" t="n"/>
      <c r="L104" s="255" t="n"/>
      <c r="M104" s="255" t="n"/>
      <c r="N104" s="255" t="n"/>
      <c r="O104" s="255" t="n"/>
      <c r="P104" s="255" t="n"/>
      <c r="Q104" s="255" t="n"/>
      <c r="R104" s="255" t="n"/>
      <c r="S104" s="255" t="n"/>
      <c r="T104" s="255" t="n"/>
      <c r="U104" s="255" t="n"/>
      <c r="V104" s="255" t="n"/>
      <c r="W104" s="255" t="n"/>
      <c r="X104" s="255" t="n"/>
      <c r="Y104" s="255" t="n"/>
      <c r="Z104" s="255" t="n"/>
    </row>
    <row r="105" ht="12.75" customHeight="1">
      <c r="A105" s="333" t="n"/>
      <c r="B105" s="255" t="n"/>
      <c r="C105" s="255" t="n"/>
      <c r="D105" s="255" t="n"/>
      <c r="E105" s="255" t="n"/>
      <c r="F105" s="255" t="n"/>
      <c r="G105" s="255" t="n"/>
      <c r="H105" s="255" t="n"/>
      <c r="I105" s="255" t="n"/>
      <c r="J105" s="255" t="n"/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n"/>
      <c r="U105" s="255" t="n"/>
      <c r="V105" s="255" t="n"/>
      <c r="W105" s="255" t="n"/>
      <c r="X105" s="255" t="n"/>
      <c r="Y105" s="255" t="n"/>
      <c r="Z105" s="255" t="n"/>
    </row>
    <row r="106" ht="12.75" customHeight="1">
      <c r="A106" s="333" t="n"/>
      <c r="B106" s="255" t="n"/>
      <c r="C106" s="255" t="n"/>
      <c r="D106" s="255" t="n"/>
      <c r="E106" s="255" t="n"/>
      <c r="F106" s="255" t="n"/>
      <c r="G106" s="255" t="n"/>
      <c r="H106" s="255" t="n"/>
      <c r="I106" s="255" t="n"/>
      <c r="J106" s="255" t="n"/>
      <c r="K106" s="255" t="n"/>
      <c r="L106" s="255" t="n"/>
      <c r="M106" s="255" t="n"/>
      <c r="N106" s="255" t="n"/>
      <c r="O106" s="255" t="n"/>
      <c r="P106" s="255" t="n"/>
      <c r="Q106" s="255" t="n"/>
      <c r="R106" s="255" t="n"/>
      <c r="S106" s="255" t="n"/>
      <c r="T106" s="255" t="n"/>
      <c r="U106" s="255" t="n"/>
      <c r="V106" s="255" t="n"/>
      <c r="W106" s="255" t="n"/>
      <c r="X106" s="255" t="n"/>
      <c r="Y106" s="255" t="n"/>
      <c r="Z106" s="255" t="n"/>
    </row>
    <row r="107" ht="12.75" customHeight="1">
      <c r="A107" s="333" t="n"/>
      <c r="B107" s="255" t="n"/>
      <c r="C107" s="255" t="n"/>
      <c r="D107" s="255" t="n"/>
      <c r="E107" s="255" t="n"/>
      <c r="F107" s="255" t="n"/>
      <c r="G107" s="255" t="n"/>
      <c r="H107" s="255" t="n"/>
      <c r="I107" s="255" t="n"/>
      <c r="J107" s="255" t="n"/>
      <c r="K107" s="255" t="n"/>
      <c r="L107" s="255" t="n"/>
      <c r="M107" s="255" t="n"/>
      <c r="N107" s="255" t="n"/>
      <c r="O107" s="255" t="n"/>
      <c r="P107" s="255" t="n"/>
      <c r="Q107" s="255" t="n"/>
      <c r="R107" s="255" t="n"/>
      <c r="S107" s="255" t="n"/>
      <c r="T107" s="255" t="n"/>
      <c r="U107" s="255" t="n"/>
      <c r="V107" s="255" t="n"/>
      <c r="W107" s="255" t="n"/>
      <c r="X107" s="255" t="n"/>
      <c r="Y107" s="255" t="n"/>
      <c r="Z107" s="255" t="n"/>
    </row>
    <row r="108" ht="12.75" customHeight="1">
      <c r="A108" s="333" t="n"/>
      <c r="B108" s="255" t="n"/>
      <c r="C108" s="255" t="n"/>
      <c r="D108" s="255" t="n"/>
      <c r="E108" s="255" t="n"/>
      <c r="F108" s="255" t="n"/>
      <c r="G108" s="255" t="n"/>
      <c r="H108" s="255" t="n"/>
      <c r="I108" s="255" t="n"/>
      <c r="J108" s="255" t="n"/>
      <c r="K108" s="255" t="n"/>
      <c r="L108" s="255" t="n"/>
      <c r="M108" s="255" t="n"/>
      <c r="N108" s="255" t="n"/>
      <c r="O108" s="255" t="n"/>
      <c r="P108" s="255" t="n"/>
      <c r="Q108" s="255" t="n"/>
      <c r="R108" s="255" t="n"/>
      <c r="S108" s="255" t="n"/>
      <c r="T108" s="255" t="n"/>
      <c r="U108" s="255" t="n"/>
      <c r="V108" s="255" t="n"/>
      <c r="W108" s="255" t="n"/>
      <c r="X108" s="255" t="n"/>
      <c r="Y108" s="255" t="n"/>
      <c r="Z108" s="255" t="n"/>
    </row>
    <row r="109" ht="12.75" customHeight="1">
      <c r="A109" s="333" t="n"/>
      <c r="B109" s="255" t="n"/>
      <c r="C109" s="255" t="n"/>
      <c r="D109" s="255" t="n"/>
      <c r="E109" s="255" t="n"/>
      <c r="F109" s="255" t="n"/>
      <c r="G109" s="255" t="n"/>
      <c r="H109" s="255" t="n"/>
      <c r="I109" s="255" t="n"/>
      <c r="J109" s="255" t="n"/>
      <c r="K109" s="255" t="n"/>
      <c r="L109" s="255" t="n"/>
      <c r="M109" s="255" t="n"/>
      <c r="N109" s="255" t="n"/>
      <c r="O109" s="255" t="n"/>
      <c r="P109" s="255" t="n"/>
      <c r="Q109" s="255" t="n"/>
      <c r="R109" s="255" t="n"/>
      <c r="S109" s="255" t="n"/>
      <c r="T109" s="255" t="n"/>
      <c r="U109" s="255" t="n"/>
      <c r="V109" s="255" t="n"/>
      <c r="W109" s="255" t="n"/>
      <c r="X109" s="255" t="n"/>
      <c r="Y109" s="255" t="n"/>
      <c r="Z109" s="255" t="n"/>
    </row>
    <row r="110" ht="12.75" customHeight="1">
      <c r="A110" s="333" t="n"/>
      <c r="B110" s="255" t="n"/>
      <c r="C110" s="255" t="n"/>
      <c r="D110" s="255" t="n"/>
      <c r="E110" s="255" t="n"/>
      <c r="F110" s="255" t="n"/>
      <c r="G110" s="255" t="n"/>
      <c r="H110" s="255" t="n"/>
      <c r="I110" s="255" t="n"/>
      <c r="J110" s="255" t="n"/>
      <c r="K110" s="255" t="n"/>
      <c r="L110" s="255" t="n"/>
      <c r="M110" s="255" t="n"/>
      <c r="N110" s="255" t="n"/>
      <c r="O110" s="255" t="n"/>
      <c r="P110" s="255" t="n"/>
      <c r="Q110" s="255" t="n"/>
      <c r="R110" s="255" t="n"/>
      <c r="S110" s="255" t="n"/>
      <c r="T110" s="255" t="n"/>
      <c r="U110" s="255" t="n"/>
      <c r="V110" s="255" t="n"/>
      <c r="W110" s="255" t="n"/>
      <c r="X110" s="255" t="n"/>
      <c r="Y110" s="255" t="n"/>
      <c r="Z110" s="255" t="n"/>
    </row>
    <row r="111" ht="12.75" customHeight="1">
      <c r="A111" s="333" t="n"/>
      <c r="B111" s="255" t="n"/>
      <c r="C111" s="255" t="n"/>
      <c r="D111" s="255" t="n"/>
      <c r="E111" s="255" t="n"/>
      <c r="F111" s="255" t="n"/>
      <c r="G111" s="255" t="n"/>
      <c r="H111" s="255" t="n"/>
      <c r="I111" s="255" t="n"/>
      <c r="J111" s="255" t="n"/>
      <c r="K111" s="255" t="n"/>
      <c r="L111" s="255" t="n"/>
      <c r="M111" s="255" t="n"/>
      <c r="N111" s="255" t="n"/>
      <c r="O111" s="255" t="n"/>
      <c r="P111" s="255" t="n"/>
      <c r="Q111" s="255" t="n"/>
      <c r="R111" s="255" t="n"/>
      <c r="S111" s="255" t="n"/>
      <c r="T111" s="255" t="n"/>
      <c r="U111" s="255" t="n"/>
      <c r="V111" s="255" t="n"/>
      <c r="W111" s="255" t="n"/>
      <c r="X111" s="255" t="n"/>
      <c r="Y111" s="255" t="n"/>
      <c r="Z111" s="255" t="n"/>
    </row>
    <row r="112" ht="12.75" customHeight="1">
      <c r="A112" s="333" t="n"/>
      <c r="B112" s="255" t="n"/>
      <c r="C112" s="255" t="n"/>
      <c r="D112" s="255" t="n"/>
      <c r="E112" s="255" t="n"/>
      <c r="F112" s="255" t="n"/>
      <c r="G112" s="255" t="n"/>
      <c r="H112" s="255" t="n"/>
      <c r="I112" s="255" t="n"/>
      <c r="J112" s="255" t="n"/>
      <c r="K112" s="255" t="n"/>
      <c r="L112" s="255" t="n"/>
      <c r="M112" s="255" t="n"/>
      <c r="N112" s="255" t="n"/>
      <c r="O112" s="255" t="n"/>
      <c r="P112" s="255" t="n"/>
      <c r="Q112" s="255" t="n"/>
      <c r="R112" s="255" t="n"/>
      <c r="S112" s="255" t="n"/>
      <c r="T112" s="255" t="n"/>
      <c r="U112" s="255" t="n"/>
      <c r="V112" s="255" t="n"/>
      <c r="W112" s="255" t="n"/>
      <c r="X112" s="255" t="n"/>
      <c r="Y112" s="255" t="n"/>
      <c r="Z112" s="255" t="n"/>
    </row>
    <row r="113" ht="12.75" customHeight="1">
      <c r="A113" s="333" t="n"/>
      <c r="B113" s="255" t="n"/>
      <c r="C113" s="255" t="n"/>
      <c r="D113" s="255" t="n"/>
      <c r="E113" s="255" t="n"/>
      <c r="F113" s="255" t="n"/>
      <c r="G113" s="255" t="n"/>
      <c r="H113" s="255" t="n"/>
      <c r="I113" s="255" t="n"/>
      <c r="J113" s="255" t="n"/>
      <c r="K113" s="255" t="n"/>
      <c r="L113" s="255" t="n"/>
      <c r="M113" s="255" t="n"/>
      <c r="N113" s="255" t="n"/>
      <c r="O113" s="255" t="n"/>
      <c r="P113" s="255" t="n"/>
      <c r="Q113" s="255" t="n"/>
      <c r="R113" s="255" t="n"/>
      <c r="S113" s="255" t="n"/>
      <c r="T113" s="255" t="n"/>
      <c r="U113" s="255" t="n"/>
      <c r="V113" s="255" t="n"/>
      <c r="W113" s="255" t="n"/>
      <c r="X113" s="255" t="n"/>
      <c r="Y113" s="255" t="n"/>
      <c r="Z113" s="255" t="n"/>
    </row>
    <row r="114" ht="12.75" customHeight="1">
      <c r="A114" s="333" t="n"/>
      <c r="B114" s="255" t="n"/>
      <c r="C114" s="255" t="n"/>
      <c r="D114" s="255" t="n"/>
      <c r="E114" s="255" t="n"/>
      <c r="F114" s="255" t="n"/>
      <c r="G114" s="255" t="n"/>
      <c r="H114" s="255" t="n"/>
      <c r="I114" s="255" t="n"/>
      <c r="J114" s="255" t="n"/>
      <c r="K114" s="255" t="n"/>
      <c r="L114" s="255" t="n"/>
      <c r="M114" s="255" t="n"/>
      <c r="N114" s="255" t="n"/>
      <c r="O114" s="255" t="n"/>
      <c r="P114" s="255" t="n"/>
      <c r="Q114" s="255" t="n"/>
      <c r="R114" s="255" t="n"/>
      <c r="S114" s="255" t="n"/>
      <c r="T114" s="255" t="n"/>
      <c r="U114" s="255" t="n"/>
      <c r="V114" s="255" t="n"/>
      <c r="W114" s="255" t="n"/>
      <c r="X114" s="255" t="n"/>
      <c r="Y114" s="255" t="n"/>
      <c r="Z114" s="255" t="n"/>
    </row>
    <row r="115" ht="12.75" customHeight="1">
      <c r="A115" s="333" t="n"/>
      <c r="B115" s="255" t="n"/>
      <c r="C115" s="255" t="n"/>
      <c r="D115" s="255" t="n"/>
      <c r="E115" s="255" t="n"/>
      <c r="F115" s="255" t="n"/>
      <c r="G115" s="255" t="n"/>
      <c r="H115" s="255" t="n"/>
      <c r="I115" s="255" t="n"/>
      <c r="J115" s="255" t="n"/>
      <c r="K115" s="255" t="n"/>
      <c r="L115" s="255" t="n"/>
      <c r="M115" s="255" t="n"/>
      <c r="N115" s="255" t="n"/>
      <c r="O115" s="255" t="n"/>
      <c r="P115" s="255" t="n"/>
      <c r="Q115" s="255" t="n"/>
      <c r="R115" s="255" t="n"/>
      <c r="S115" s="255" t="n"/>
      <c r="T115" s="255" t="n"/>
      <c r="U115" s="255" t="n"/>
      <c r="V115" s="255" t="n"/>
      <c r="W115" s="255" t="n"/>
      <c r="X115" s="255" t="n"/>
      <c r="Y115" s="255" t="n"/>
      <c r="Z115" s="255" t="n"/>
    </row>
    <row r="116" ht="12.75" customHeight="1">
      <c r="A116" s="333" t="n"/>
      <c r="B116" s="255" t="n"/>
      <c r="C116" s="255" t="n"/>
      <c r="D116" s="255" t="n"/>
      <c r="E116" s="255" t="n"/>
      <c r="F116" s="255" t="n"/>
      <c r="G116" s="255" t="n"/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/>
      <c r="R116" s="255" t="n"/>
      <c r="S116" s="255" t="n"/>
      <c r="T116" s="255" t="n"/>
      <c r="U116" s="255" t="n"/>
      <c r="V116" s="255" t="n"/>
      <c r="W116" s="255" t="n"/>
      <c r="X116" s="255" t="n"/>
      <c r="Y116" s="255" t="n"/>
      <c r="Z116" s="255" t="n"/>
    </row>
    <row r="117" ht="12.75" customHeight="1">
      <c r="A117" s="333" t="n"/>
      <c r="B117" s="255" t="n"/>
      <c r="C117" s="255" t="n"/>
      <c r="D117" s="255" t="n"/>
      <c r="E117" s="255" t="n"/>
      <c r="F117" s="255" t="n"/>
      <c r="G117" s="255" t="n"/>
      <c r="H117" s="255" t="n"/>
      <c r="I117" s="255" t="n"/>
      <c r="J117" s="255" t="n"/>
      <c r="K117" s="255" t="n"/>
      <c r="L117" s="255" t="n"/>
      <c r="M117" s="255" t="n"/>
      <c r="N117" s="255" t="n"/>
      <c r="O117" s="255" t="n"/>
      <c r="P117" s="255" t="n"/>
      <c r="Q117" s="255" t="n"/>
      <c r="R117" s="255" t="n"/>
      <c r="S117" s="255" t="n"/>
      <c r="T117" s="255" t="n"/>
      <c r="U117" s="255" t="n"/>
      <c r="V117" s="255" t="n"/>
      <c r="W117" s="255" t="n"/>
      <c r="X117" s="255" t="n"/>
      <c r="Y117" s="255" t="n"/>
      <c r="Z117" s="255" t="n"/>
    </row>
    <row r="118" ht="12.75" customHeight="1">
      <c r="A118" s="333" t="n"/>
      <c r="B118" s="255" t="n"/>
      <c r="C118" s="255" t="n"/>
      <c r="D118" s="255" t="n"/>
      <c r="E118" s="255" t="n"/>
      <c r="F118" s="255" t="n"/>
      <c r="G118" s="255" t="n"/>
      <c r="H118" s="255" t="n"/>
      <c r="I118" s="255" t="n"/>
      <c r="J118" s="255" t="n"/>
      <c r="K118" s="255" t="n"/>
      <c r="L118" s="255" t="n"/>
      <c r="M118" s="255" t="n"/>
      <c r="N118" s="255" t="n"/>
      <c r="O118" s="255" t="n"/>
      <c r="P118" s="255" t="n"/>
      <c r="Q118" s="255" t="n"/>
      <c r="R118" s="255" t="n"/>
      <c r="S118" s="255" t="n"/>
      <c r="T118" s="255" t="n"/>
      <c r="U118" s="255" t="n"/>
      <c r="V118" s="255" t="n"/>
      <c r="W118" s="255" t="n"/>
      <c r="X118" s="255" t="n"/>
      <c r="Y118" s="255" t="n"/>
      <c r="Z118" s="255" t="n"/>
    </row>
    <row r="119" ht="12.75" customHeight="1">
      <c r="A119" s="333" t="n"/>
      <c r="B119" s="255" t="n"/>
      <c r="C119" s="255" t="n"/>
      <c r="D119" s="255" t="n"/>
      <c r="E119" s="255" t="n"/>
      <c r="F119" s="255" t="n"/>
      <c r="G119" s="255" t="n"/>
      <c r="H119" s="255" t="n"/>
      <c r="I119" s="255" t="n"/>
      <c r="J119" s="255" t="n"/>
      <c r="K119" s="255" t="n"/>
      <c r="L119" s="255" t="n"/>
      <c r="M119" s="255" t="n"/>
      <c r="N119" s="255" t="n"/>
      <c r="O119" s="255" t="n"/>
      <c r="P119" s="255" t="n"/>
      <c r="Q119" s="255" t="n"/>
      <c r="R119" s="255" t="n"/>
      <c r="S119" s="255" t="n"/>
      <c r="T119" s="255" t="n"/>
      <c r="U119" s="255" t="n"/>
      <c r="V119" s="255" t="n"/>
      <c r="W119" s="255" t="n"/>
      <c r="X119" s="255" t="n"/>
      <c r="Y119" s="255" t="n"/>
      <c r="Z119" s="255" t="n"/>
    </row>
    <row r="120" ht="12.75" customHeight="1">
      <c r="A120" s="333" t="n"/>
      <c r="B120" s="255" t="n"/>
      <c r="C120" s="255" t="n"/>
      <c r="D120" s="255" t="n"/>
      <c r="E120" s="255" t="n"/>
      <c r="F120" s="255" t="n"/>
      <c r="G120" s="255" t="n"/>
      <c r="H120" s="255" t="n"/>
      <c r="I120" s="255" t="n"/>
      <c r="J120" s="255" t="n"/>
      <c r="K120" s="255" t="n"/>
      <c r="L120" s="255" t="n"/>
      <c r="M120" s="255" t="n"/>
      <c r="N120" s="255" t="n"/>
      <c r="O120" s="255" t="n"/>
      <c r="P120" s="255" t="n"/>
      <c r="Q120" s="255" t="n"/>
      <c r="R120" s="255" t="n"/>
      <c r="S120" s="255" t="n"/>
      <c r="T120" s="255" t="n"/>
      <c r="U120" s="255" t="n"/>
      <c r="V120" s="255" t="n"/>
      <c r="W120" s="255" t="n"/>
      <c r="X120" s="255" t="n"/>
      <c r="Y120" s="255" t="n"/>
      <c r="Z120" s="255" t="n"/>
    </row>
    <row r="121" ht="12.75" customHeight="1">
      <c r="A121" s="333" t="n"/>
      <c r="B121" s="255" t="n"/>
      <c r="C121" s="255" t="n"/>
      <c r="D121" s="255" t="n"/>
      <c r="E121" s="255" t="n"/>
      <c r="F121" s="255" t="n"/>
      <c r="G121" s="255" t="n"/>
      <c r="H121" s="255" t="n"/>
      <c r="I121" s="255" t="n"/>
      <c r="J121" s="255" t="n"/>
      <c r="K121" s="255" t="n"/>
      <c r="L121" s="255" t="n"/>
      <c r="M121" s="255" t="n"/>
      <c r="N121" s="255" t="n"/>
      <c r="O121" s="255" t="n"/>
      <c r="P121" s="255" t="n"/>
      <c r="Q121" s="255" t="n"/>
      <c r="R121" s="255" t="n"/>
      <c r="S121" s="255" t="n"/>
      <c r="T121" s="255" t="n"/>
      <c r="U121" s="255" t="n"/>
      <c r="V121" s="255" t="n"/>
      <c r="W121" s="255" t="n"/>
      <c r="X121" s="255" t="n"/>
      <c r="Y121" s="255" t="n"/>
      <c r="Z121" s="255" t="n"/>
    </row>
    <row r="122" ht="12.75" customHeight="1">
      <c r="A122" s="333" t="n"/>
      <c r="B122" s="255" t="n"/>
      <c r="C122" s="255" t="n"/>
      <c r="D122" s="255" t="n"/>
      <c r="E122" s="255" t="n"/>
      <c r="F122" s="255" t="n"/>
      <c r="G122" s="255" t="n"/>
      <c r="H122" s="255" t="n"/>
      <c r="I122" s="255" t="n"/>
      <c r="J122" s="255" t="n"/>
      <c r="K122" s="255" t="n"/>
      <c r="L122" s="255" t="n"/>
      <c r="M122" s="255" t="n"/>
      <c r="N122" s="255" t="n"/>
      <c r="O122" s="255" t="n"/>
      <c r="P122" s="255" t="n"/>
      <c r="Q122" s="255" t="n"/>
      <c r="R122" s="255" t="n"/>
      <c r="S122" s="255" t="n"/>
      <c r="T122" s="255" t="n"/>
      <c r="U122" s="255" t="n"/>
      <c r="V122" s="255" t="n"/>
      <c r="W122" s="255" t="n"/>
      <c r="X122" s="255" t="n"/>
      <c r="Y122" s="255" t="n"/>
      <c r="Z122" s="255" t="n"/>
    </row>
    <row r="123" ht="12.75" customHeight="1">
      <c r="A123" s="333" t="n"/>
      <c r="B123" s="255" t="n"/>
      <c r="C123" s="255" t="n"/>
      <c r="D123" s="255" t="n"/>
      <c r="E123" s="255" t="n"/>
      <c r="F123" s="255" t="n"/>
      <c r="G123" s="255" t="n"/>
      <c r="H123" s="255" t="n"/>
      <c r="I123" s="255" t="n"/>
      <c r="J123" s="255" t="n"/>
      <c r="K123" s="255" t="n"/>
      <c r="L123" s="255" t="n"/>
      <c r="M123" s="255" t="n"/>
      <c r="N123" s="255" t="n"/>
      <c r="O123" s="255" t="n"/>
      <c r="P123" s="255" t="n"/>
      <c r="Q123" s="255" t="n"/>
      <c r="R123" s="255" t="n"/>
      <c r="S123" s="255" t="n"/>
      <c r="T123" s="255" t="n"/>
      <c r="U123" s="255" t="n"/>
      <c r="V123" s="255" t="n"/>
      <c r="W123" s="255" t="n"/>
      <c r="X123" s="255" t="n"/>
      <c r="Y123" s="255" t="n"/>
      <c r="Z123" s="255" t="n"/>
    </row>
    <row r="124" ht="12.75" customHeight="1">
      <c r="A124" s="333" t="n"/>
      <c r="B124" s="255" t="n"/>
      <c r="C124" s="255" t="n"/>
      <c r="D124" s="255" t="n"/>
      <c r="E124" s="255" t="n"/>
      <c r="F124" s="255" t="n"/>
      <c r="G124" s="255" t="n"/>
      <c r="H124" s="255" t="n"/>
      <c r="I124" s="255" t="n"/>
      <c r="J124" s="255" t="n"/>
      <c r="K124" s="255" t="n"/>
      <c r="L124" s="255" t="n"/>
      <c r="M124" s="255" t="n"/>
      <c r="N124" s="255" t="n"/>
      <c r="O124" s="255" t="n"/>
      <c r="P124" s="255" t="n"/>
      <c r="Q124" s="255" t="n"/>
      <c r="R124" s="255" t="n"/>
      <c r="S124" s="255" t="n"/>
      <c r="T124" s="255" t="n"/>
      <c r="U124" s="255" t="n"/>
      <c r="V124" s="255" t="n"/>
      <c r="W124" s="255" t="n"/>
      <c r="X124" s="255" t="n"/>
      <c r="Y124" s="255" t="n"/>
      <c r="Z124" s="255" t="n"/>
    </row>
    <row r="125" ht="12.75" customHeight="1">
      <c r="A125" s="333" t="n"/>
      <c r="B125" s="255" t="n"/>
      <c r="C125" s="255" t="n"/>
      <c r="D125" s="255" t="n"/>
      <c r="E125" s="255" t="n"/>
      <c r="F125" s="255" t="n"/>
      <c r="G125" s="255" t="n"/>
      <c r="H125" s="255" t="n"/>
      <c r="I125" s="255" t="n"/>
      <c r="J125" s="255" t="n"/>
      <c r="K125" s="255" t="n"/>
      <c r="L125" s="255" t="n"/>
      <c r="M125" s="255" t="n"/>
      <c r="N125" s="255" t="n"/>
      <c r="O125" s="255" t="n"/>
      <c r="P125" s="255" t="n"/>
      <c r="Q125" s="255" t="n"/>
      <c r="R125" s="255" t="n"/>
      <c r="S125" s="255" t="n"/>
      <c r="T125" s="255" t="n"/>
      <c r="U125" s="255" t="n"/>
      <c r="V125" s="255" t="n"/>
      <c r="W125" s="255" t="n"/>
      <c r="X125" s="255" t="n"/>
      <c r="Y125" s="255" t="n"/>
      <c r="Z125" s="255" t="n"/>
    </row>
    <row r="126" ht="12.75" customHeight="1">
      <c r="A126" s="333" t="n"/>
      <c r="B126" s="255" t="n"/>
      <c r="C126" s="255" t="n"/>
      <c r="D126" s="255" t="n"/>
      <c r="E126" s="255" t="n"/>
      <c r="F126" s="255" t="n"/>
      <c r="G126" s="255" t="n"/>
      <c r="H126" s="255" t="n"/>
      <c r="I126" s="255" t="n"/>
      <c r="J126" s="255" t="n"/>
      <c r="K126" s="255" t="n"/>
      <c r="L126" s="255" t="n"/>
      <c r="M126" s="255" t="n"/>
      <c r="N126" s="255" t="n"/>
      <c r="O126" s="255" t="n"/>
      <c r="P126" s="255" t="n"/>
      <c r="Q126" s="255" t="n"/>
      <c r="R126" s="255" t="n"/>
      <c r="S126" s="255" t="n"/>
      <c r="T126" s="255" t="n"/>
      <c r="U126" s="255" t="n"/>
      <c r="V126" s="255" t="n"/>
      <c r="W126" s="255" t="n"/>
      <c r="X126" s="255" t="n"/>
      <c r="Y126" s="255" t="n"/>
      <c r="Z126" s="255" t="n"/>
    </row>
    <row r="127" ht="12.75" customHeight="1">
      <c r="A127" s="333" t="n"/>
      <c r="B127" s="255" t="n"/>
      <c r="C127" s="255" t="n"/>
      <c r="D127" s="255" t="n"/>
      <c r="E127" s="255" t="n"/>
      <c r="F127" s="255" t="n"/>
      <c r="G127" s="255" t="n"/>
      <c r="H127" s="255" t="n"/>
      <c r="I127" s="255" t="n"/>
      <c r="J127" s="255" t="n"/>
      <c r="K127" s="255" t="n"/>
      <c r="L127" s="255" t="n"/>
      <c r="M127" s="255" t="n"/>
      <c r="N127" s="255" t="n"/>
      <c r="O127" s="255" t="n"/>
      <c r="P127" s="255" t="n"/>
      <c r="Q127" s="255" t="n"/>
      <c r="R127" s="255" t="n"/>
      <c r="S127" s="255" t="n"/>
      <c r="T127" s="255" t="n"/>
      <c r="U127" s="255" t="n"/>
      <c r="V127" s="255" t="n"/>
      <c r="W127" s="255" t="n"/>
      <c r="X127" s="255" t="n"/>
      <c r="Y127" s="255" t="n"/>
      <c r="Z127" s="255" t="n"/>
    </row>
    <row r="128" ht="12.75" customHeight="1">
      <c r="A128" s="333" t="n"/>
      <c r="B128" s="255" t="n"/>
      <c r="C128" s="255" t="n"/>
      <c r="D128" s="255" t="n"/>
      <c r="E128" s="255" t="n"/>
      <c r="F128" s="255" t="n"/>
      <c r="G128" s="255" t="n"/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/>
      <c r="R128" s="255" t="n"/>
      <c r="S128" s="255" t="n"/>
      <c r="T128" s="255" t="n"/>
      <c r="U128" s="255" t="n"/>
      <c r="V128" s="255" t="n"/>
      <c r="W128" s="255" t="n"/>
      <c r="X128" s="255" t="n"/>
      <c r="Y128" s="255" t="n"/>
      <c r="Z128" s="255" t="n"/>
    </row>
    <row r="129" ht="12.75" customHeight="1">
      <c r="A129" s="333" t="n"/>
      <c r="B129" s="255" t="n"/>
      <c r="C129" s="255" t="n"/>
      <c r="D129" s="255" t="n"/>
      <c r="E129" s="255" t="n"/>
      <c r="F129" s="255" t="n"/>
      <c r="G129" s="255" t="n"/>
      <c r="H129" s="255" t="n"/>
      <c r="I129" s="255" t="n"/>
      <c r="J129" s="255" t="n"/>
      <c r="K129" s="255" t="n"/>
      <c r="L129" s="255" t="n"/>
      <c r="M129" s="255" t="n"/>
      <c r="N129" s="255" t="n"/>
      <c r="O129" s="255" t="n"/>
      <c r="P129" s="255" t="n"/>
      <c r="Q129" s="255" t="n"/>
      <c r="R129" s="255" t="n"/>
      <c r="S129" s="255" t="n"/>
      <c r="T129" s="255" t="n"/>
      <c r="U129" s="255" t="n"/>
      <c r="V129" s="255" t="n"/>
      <c r="W129" s="255" t="n"/>
      <c r="X129" s="255" t="n"/>
      <c r="Y129" s="255" t="n"/>
      <c r="Z129" s="255" t="n"/>
    </row>
    <row r="130" ht="12.75" customHeight="1">
      <c r="A130" s="333" t="n"/>
      <c r="B130" s="255" t="n"/>
      <c r="C130" s="255" t="n"/>
      <c r="D130" s="255" t="n"/>
      <c r="E130" s="255" t="n"/>
      <c r="F130" s="255" t="n"/>
      <c r="G130" s="255" t="n"/>
      <c r="H130" s="255" t="n"/>
      <c r="I130" s="255" t="n"/>
      <c r="J130" s="255" t="n"/>
      <c r="K130" s="255" t="n"/>
      <c r="L130" s="255" t="n"/>
      <c r="M130" s="255" t="n"/>
      <c r="N130" s="255" t="n"/>
      <c r="O130" s="255" t="n"/>
      <c r="P130" s="255" t="n"/>
      <c r="Q130" s="255" t="n"/>
      <c r="R130" s="255" t="n"/>
      <c r="S130" s="255" t="n"/>
      <c r="T130" s="255" t="n"/>
      <c r="U130" s="255" t="n"/>
      <c r="V130" s="255" t="n"/>
      <c r="W130" s="255" t="n"/>
      <c r="X130" s="255" t="n"/>
      <c r="Y130" s="255" t="n"/>
      <c r="Z130" s="255" t="n"/>
    </row>
    <row r="131" ht="12.75" customHeight="1">
      <c r="A131" s="333" t="n"/>
      <c r="B131" s="255" t="n"/>
      <c r="C131" s="255" t="n"/>
      <c r="D131" s="255" t="n"/>
      <c r="E131" s="255" t="n"/>
      <c r="F131" s="255" t="n"/>
      <c r="G131" s="255" t="n"/>
      <c r="H131" s="255" t="n"/>
      <c r="I131" s="255" t="n"/>
      <c r="J131" s="255" t="n"/>
      <c r="K131" s="255" t="n"/>
      <c r="L131" s="255" t="n"/>
      <c r="M131" s="255" t="n"/>
      <c r="N131" s="255" t="n"/>
      <c r="O131" s="255" t="n"/>
      <c r="P131" s="255" t="n"/>
      <c r="Q131" s="255" t="n"/>
      <c r="R131" s="255" t="n"/>
      <c r="S131" s="255" t="n"/>
      <c r="T131" s="255" t="n"/>
      <c r="U131" s="255" t="n"/>
      <c r="V131" s="255" t="n"/>
      <c r="W131" s="255" t="n"/>
      <c r="X131" s="255" t="n"/>
      <c r="Y131" s="255" t="n"/>
      <c r="Z131" s="255" t="n"/>
    </row>
    <row r="132" ht="12.75" customHeight="1">
      <c r="A132" s="333" t="n"/>
      <c r="B132" s="255" t="n"/>
      <c r="C132" s="255" t="n"/>
      <c r="D132" s="255" t="n"/>
      <c r="E132" s="255" t="n"/>
      <c r="F132" s="255" t="n"/>
      <c r="G132" s="255" t="n"/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/>
      <c r="R132" s="255" t="n"/>
      <c r="S132" s="255" t="n"/>
      <c r="T132" s="255" t="n"/>
      <c r="U132" s="255" t="n"/>
      <c r="V132" s="255" t="n"/>
      <c r="W132" s="255" t="n"/>
      <c r="X132" s="255" t="n"/>
      <c r="Y132" s="255" t="n"/>
      <c r="Z132" s="255" t="n"/>
    </row>
    <row r="133" ht="12.75" customHeight="1">
      <c r="A133" s="333" t="n"/>
      <c r="B133" s="255" t="n"/>
      <c r="C133" s="255" t="n"/>
      <c r="D133" s="255" t="n"/>
      <c r="E133" s="255" t="n"/>
      <c r="F133" s="255" t="n"/>
      <c r="G133" s="255" t="n"/>
      <c r="H133" s="255" t="n"/>
      <c r="I133" s="255" t="n"/>
      <c r="J133" s="255" t="n"/>
      <c r="K133" s="255" t="n"/>
      <c r="L133" s="255" t="n"/>
      <c r="M133" s="255" t="n"/>
      <c r="N133" s="255" t="n"/>
      <c r="O133" s="255" t="n"/>
      <c r="P133" s="255" t="n"/>
      <c r="Q133" s="255" t="n"/>
      <c r="R133" s="255" t="n"/>
      <c r="S133" s="255" t="n"/>
      <c r="T133" s="255" t="n"/>
      <c r="U133" s="255" t="n"/>
      <c r="V133" s="255" t="n"/>
      <c r="W133" s="255" t="n"/>
      <c r="X133" s="255" t="n"/>
      <c r="Y133" s="255" t="n"/>
      <c r="Z133" s="255" t="n"/>
    </row>
    <row r="134" ht="12.75" customHeight="1">
      <c r="A134" s="333" t="n"/>
      <c r="B134" s="255" t="n"/>
      <c r="C134" s="255" t="n"/>
      <c r="D134" s="255" t="n"/>
      <c r="E134" s="255" t="n"/>
      <c r="F134" s="255" t="n"/>
      <c r="G134" s="255" t="n"/>
      <c r="H134" s="255" t="n"/>
      <c r="I134" s="255" t="n"/>
      <c r="J134" s="255" t="n"/>
      <c r="K134" s="255" t="n"/>
      <c r="L134" s="255" t="n"/>
      <c r="M134" s="255" t="n"/>
      <c r="N134" s="255" t="n"/>
      <c r="O134" s="255" t="n"/>
      <c r="P134" s="255" t="n"/>
      <c r="Q134" s="255" t="n"/>
      <c r="R134" s="255" t="n"/>
      <c r="S134" s="255" t="n"/>
      <c r="T134" s="255" t="n"/>
      <c r="U134" s="255" t="n"/>
      <c r="V134" s="255" t="n"/>
      <c r="W134" s="255" t="n"/>
      <c r="X134" s="255" t="n"/>
      <c r="Y134" s="255" t="n"/>
      <c r="Z134" s="255" t="n"/>
    </row>
    <row r="135" ht="12.75" customHeight="1">
      <c r="A135" s="333" t="n"/>
      <c r="B135" s="255" t="n"/>
      <c r="C135" s="255" t="n"/>
      <c r="D135" s="255" t="n"/>
      <c r="E135" s="255" t="n"/>
      <c r="F135" s="255" t="n"/>
      <c r="G135" s="255" t="n"/>
      <c r="H135" s="255" t="n"/>
      <c r="I135" s="255" t="n"/>
      <c r="J135" s="255" t="n"/>
      <c r="K135" s="255" t="n"/>
      <c r="L135" s="255" t="n"/>
      <c r="M135" s="255" t="n"/>
      <c r="N135" s="255" t="n"/>
      <c r="O135" s="255" t="n"/>
      <c r="P135" s="255" t="n"/>
      <c r="Q135" s="255" t="n"/>
      <c r="R135" s="255" t="n"/>
      <c r="S135" s="255" t="n"/>
      <c r="T135" s="255" t="n"/>
      <c r="U135" s="255" t="n"/>
      <c r="V135" s="255" t="n"/>
      <c r="W135" s="255" t="n"/>
      <c r="X135" s="255" t="n"/>
      <c r="Y135" s="255" t="n"/>
      <c r="Z135" s="255" t="n"/>
    </row>
    <row r="136" ht="12.75" customHeight="1">
      <c r="A136" s="333" t="n"/>
      <c r="B136" s="255" t="n"/>
      <c r="C136" s="255" t="n"/>
      <c r="D136" s="255" t="n"/>
      <c r="E136" s="255" t="n"/>
      <c r="F136" s="255" t="n"/>
      <c r="G136" s="255" t="n"/>
      <c r="H136" s="255" t="n"/>
      <c r="I136" s="255" t="n"/>
      <c r="J136" s="255" t="n"/>
      <c r="K136" s="255" t="n"/>
      <c r="L136" s="255" t="n"/>
      <c r="M136" s="255" t="n"/>
      <c r="N136" s="255" t="n"/>
      <c r="O136" s="255" t="n"/>
      <c r="P136" s="255" t="n"/>
      <c r="Q136" s="255" t="n"/>
      <c r="R136" s="255" t="n"/>
      <c r="S136" s="255" t="n"/>
      <c r="T136" s="255" t="n"/>
      <c r="U136" s="255" t="n"/>
      <c r="V136" s="255" t="n"/>
      <c r="W136" s="255" t="n"/>
      <c r="X136" s="255" t="n"/>
      <c r="Y136" s="255" t="n"/>
      <c r="Z136" s="255" t="n"/>
    </row>
    <row r="137" ht="12.75" customHeight="1">
      <c r="A137" s="333" t="n"/>
      <c r="B137" s="255" t="n"/>
      <c r="C137" s="255" t="n"/>
      <c r="D137" s="255" t="n"/>
      <c r="E137" s="255" t="n"/>
      <c r="F137" s="255" t="n"/>
      <c r="G137" s="255" t="n"/>
      <c r="H137" s="255" t="n"/>
      <c r="I137" s="255" t="n"/>
      <c r="J137" s="255" t="n"/>
      <c r="K137" s="255" t="n"/>
      <c r="L137" s="255" t="n"/>
      <c r="M137" s="255" t="n"/>
      <c r="N137" s="255" t="n"/>
      <c r="O137" s="255" t="n"/>
      <c r="P137" s="255" t="n"/>
      <c r="Q137" s="255" t="n"/>
      <c r="R137" s="255" t="n"/>
      <c r="S137" s="255" t="n"/>
      <c r="T137" s="255" t="n"/>
      <c r="U137" s="255" t="n"/>
      <c r="V137" s="255" t="n"/>
      <c r="W137" s="255" t="n"/>
      <c r="X137" s="255" t="n"/>
      <c r="Y137" s="255" t="n"/>
      <c r="Z137" s="255" t="n"/>
    </row>
    <row r="138" ht="12.75" customHeight="1">
      <c r="A138" s="333" t="n"/>
      <c r="B138" s="255" t="n"/>
      <c r="C138" s="255" t="n"/>
      <c r="D138" s="255" t="n"/>
      <c r="E138" s="255" t="n"/>
      <c r="F138" s="255" t="n"/>
      <c r="G138" s="255" t="n"/>
      <c r="H138" s="255" t="n"/>
      <c r="I138" s="255" t="n"/>
      <c r="J138" s="255" t="n"/>
      <c r="K138" s="255" t="n"/>
      <c r="L138" s="255" t="n"/>
      <c r="M138" s="255" t="n"/>
      <c r="N138" s="255" t="n"/>
      <c r="O138" s="255" t="n"/>
      <c r="P138" s="255" t="n"/>
      <c r="Q138" s="255" t="n"/>
      <c r="R138" s="255" t="n"/>
      <c r="S138" s="255" t="n"/>
      <c r="T138" s="255" t="n"/>
      <c r="U138" s="255" t="n"/>
      <c r="V138" s="255" t="n"/>
      <c r="W138" s="255" t="n"/>
      <c r="X138" s="255" t="n"/>
      <c r="Y138" s="255" t="n"/>
      <c r="Z138" s="255" t="n"/>
    </row>
    <row r="139" ht="12.75" customHeight="1">
      <c r="A139" s="333" t="n"/>
      <c r="B139" s="255" t="n"/>
      <c r="C139" s="255" t="n"/>
      <c r="D139" s="255" t="n"/>
      <c r="E139" s="255" t="n"/>
      <c r="F139" s="255" t="n"/>
      <c r="G139" s="255" t="n"/>
      <c r="H139" s="255" t="n"/>
      <c r="I139" s="255" t="n"/>
      <c r="J139" s="255" t="n"/>
      <c r="K139" s="255" t="n"/>
      <c r="L139" s="255" t="n"/>
      <c r="M139" s="255" t="n"/>
      <c r="N139" s="255" t="n"/>
      <c r="O139" s="255" t="n"/>
      <c r="P139" s="255" t="n"/>
      <c r="Q139" s="255" t="n"/>
      <c r="R139" s="255" t="n"/>
      <c r="S139" s="255" t="n"/>
      <c r="T139" s="255" t="n"/>
      <c r="U139" s="255" t="n"/>
      <c r="V139" s="255" t="n"/>
      <c r="W139" s="255" t="n"/>
      <c r="X139" s="255" t="n"/>
      <c r="Y139" s="255" t="n"/>
      <c r="Z139" s="255" t="n"/>
    </row>
    <row r="140" ht="12.75" customHeight="1">
      <c r="A140" s="333" t="n"/>
      <c r="B140" s="255" t="n"/>
      <c r="C140" s="255" t="n"/>
      <c r="D140" s="255" t="n"/>
      <c r="E140" s="255" t="n"/>
      <c r="F140" s="255" t="n"/>
      <c r="G140" s="255" t="n"/>
      <c r="H140" s="255" t="n"/>
      <c r="I140" s="255" t="n"/>
      <c r="J140" s="255" t="n"/>
      <c r="K140" s="255" t="n"/>
      <c r="L140" s="255" t="n"/>
      <c r="M140" s="255" t="n"/>
      <c r="N140" s="255" t="n"/>
      <c r="O140" s="255" t="n"/>
      <c r="P140" s="255" t="n"/>
      <c r="Q140" s="255" t="n"/>
      <c r="R140" s="255" t="n"/>
      <c r="S140" s="255" t="n"/>
      <c r="T140" s="255" t="n"/>
      <c r="U140" s="255" t="n"/>
      <c r="V140" s="255" t="n"/>
      <c r="W140" s="255" t="n"/>
      <c r="X140" s="255" t="n"/>
      <c r="Y140" s="255" t="n"/>
      <c r="Z140" s="255" t="n"/>
    </row>
    <row r="141" ht="12.75" customHeight="1">
      <c r="A141" s="333" t="n"/>
      <c r="B141" s="255" t="n"/>
      <c r="C141" s="255" t="n"/>
      <c r="D141" s="255" t="n"/>
      <c r="E141" s="255" t="n"/>
      <c r="F141" s="255" t="n"/>
      <c r="G141" s="255" t="n"/>
      <c r="H141" s="255" t="n"/>
      <c r="I141" s="255" t="n"/>
      <c r="J141" s="255" t="n"/>
      <c r="K141" s="255" t="n"/>
      <c r="L141" s="255" t="n"/>
      <c r="M141" s="255" t="n"/>
      <c r="N141" s="255" t="n"/>
      <c r="O141" s="255" t="n"/>
      <c r="P141" s="255" t="n"/>
      <c r="Q141" s="255" t="n"/>
      <c r="R141" s="255" t="n"/>
      <c r="S141" s="255" t="n"/>
      <c r="T141" s="255" t="n"/>
      <c r="U141" s="255" t="n"/>
      <c r="V141" s="255" t="n"/>
      <c r="W141" s="255" t="n"/>
      <c r="X141" s="255" t="n"/>
      <c r="Y141" s="255" t="n"/>
      <c r="Z141" s="255" t="n"/>
    </row>
    <row r="142" ht="12.75" customHeight="1">
      <c r="A142" s="333" t="n"/>
      <c r="B142" s="255" t="n"/>
      <c r="C142" s="255" t="n"/>
      <c r="D142" s="255" t="n"/>
      <c r="E142" s="255" t="n"/>
      <c r="F142" s="255" t="n"/>
      <c r="G142" s="255" t="n"/>
      <c r="H142" s="255" t="n"/>
      <c r="I142" s="255" t="n"/>
      <c r="J142" s="255" t="n"/>
      <c r="K142" s="255" t="n"/>
      <c r="L142" s="255" t="n"/>
      <c r="M142" s="255" t="n"/>
      <c r="N142" s="255" t="n"/>
      <c r="O142" s="255" t="n"/>
      <c r="P142" s="255" t="n"/>
      <c r="Q142" s="255" t="n"/>
      <c r="R142" s="255" t="n"/>
      <c r="S142" s="255" t="n"/>
      <c r="T142" s="255" t="n"/>
      <c r="U142" s="255" t="n"/>
      <c r="V142" s="255" t="n"/>
      <c r="W142" s="255" t="n"/>
      <c r="X142" s="255" t="n"/>
      <c r="Y142" s="255" t="n"/>
      <c r="Z142" s="255" t="n"/>
    </row>
    <row r="143" ht="12.75" customHeight="1">
      <c r="A143" s="333" t="n"/>
      <c r="B143" s="255" t="n"/>
      <c r="C143" s="255" t="n"/>
      <c r="D143" s="255" t="n"/>
      <c r="E143" s="255" t="n"/>
      <c r="F143" s="255" t="n"/>
      <c r="G143" s="255" t="n"/>
      <c r="H143" s="255" t="n"/>
      <c r="I143" s="255" t="n"/>
      <c r="J143" s="255" t="n"/>
      <c r="K143" s="255" t="n"/>
      <c r="L143" s="255" t="n"/>
      <c r="M143" s="255" t="n"/>
      <c r="N143" s="255" t="n"/>
      <c r="O143" s="255" t="n"/>
      <c r="P143" s="255" t="n"/>
      <c r="Q143" s="255" t="n"/>
      <c r="R143" s="255" t="n"/>
      <c r="S143" s="255" t="n"/>
      <c r="T143" s="255" t="n"/>
      <c r="U143" s="255" t="n"/>
      <c r="V143" s="255" t="n"/>
      <c r="W143" s="255" t="n"/>
      <c r="X143" s="255" t="n"/>
      <c r="Y143" s="255" t="n"/>
      <c r="Z143" s="255" t="n"/>
    </row>
    <row r="144" ht="12.75" customHeight="1">
      <c r="A144" s="333" t="n"/>
      <c r="B144" s="255" t="n"/>
      <c r="C144" s="255" t="n"/>
      <c r="D144" s="255" t="n"/>
      <c r="E144" s="255" t="n"/>
      <c r="F144" s="255" t="n"/>
      <c r="G144" s="255" t="n"/>
      <c r="H144" s="255" t="n"/>
      <c r="I144" s="255" t="n"/>
      <c r="J144" s="255" t="n"/>
      <c r="K144" s="255" t="n"/>
      <c r="L144" s="255" t="n"/>
      <c r="M144" s="255" t="n"/>
      <c r="N144" s="255" t="n"/>
      <c r="O144" s="255" t="n"/>
      <c r="P144" s="255" t="n"/>
      <c r="Q144" s="255" t="n"/>
      <c r="R144" s="255" t="n"/>
      <c r="S144" s="255" t="n"/>
      <c r="T144" s="255" t="n"/>
      <c r="U144" s="255" t="n"/>
      <c r="V144" s="255" t="n"/>
      <c r="W144" s="255" t="n"/>
      <c r="X144" s="255" t="n"/>
      <c r="Y144" s="255" t="n"/>
      <c r="Z144" s="255" t="n"/>
    </row>
    <row r="145" ht="12.75" customHeight="1">
      <c r="A145" s="333" t="n"/>
      <c r="B145" s="255" t="n"/>
      <c r="C145" s="255" t="n"/>
      <c r="D145" s="255" t="n"/>
      <c r="E145" s="255" t="n"/>
      <c r="F145" s="255" t="n"/>
      <c r="G145" s="255" t="n"/>
      <c r="H145" s="255" t="n"/>
      <c r="I145" s="255" t="n"/>
      <c r="J145" s="255" t="n"/>
      <c r="K145" s="255" t="n"/>
      <c r="L145" s="255" t="n"/>
      <c r="M145" s="255" t="n"/>
      <c r="N145" s="255" t="n"/>
      <c r="O145" s="255" t="n"/>
      <c r="P145" s="255" t="n"/>
      <c r="Q145" s="255" t="n"/>
      <c r="R145" s="255" t="n"/>
      <c r="S145" s="255" t="n"/>
      <c r="T145" s="255" t="n"/>
      <c r="U145" s="255" t="n"/>
      <c r="V145" s="255" t="n"/>
      <c r="W145" s="255" t="n"/>
      <c r="X145" s="255" t="n"/>
      <c r="Y145" s="255" t="n"/>
      <c r="Z145" s="255" t="n"/>
    </row>
    <row r="146" ht="12.75" customHeight="1">
      <c r="A146" s="333" t="n"/>
      <c r="B146" s="255" t="n"/>
      <c r="C146" s="255" t="n"/>
      <c r="D146" s="255" t="n"/>
      <c r="E146" s="255" t="n"/>
      <c r="F146" s="255" t="n"/>
      <c r="G146" s="255" t="n"/>
      <c r="H146" s="255" t="n"/>
      <c r="I146" s="255" t="n"/>
      <c r="J146" s="255" t="n"/>
      <c r="K146" s="255" t="n"/>
      <c r="L146" s="255" t="n"/>
      <c r="M146" s="255" t="n"/>
      <c r="N146" s="255" t="n"/>
      <c r="O146" s="255" t="n"/>
      <c r="P146" s="255" t="n"/>
      <c r="Q146" s="255" t="n"/>
      <c r="R146" s="255" t="n"/>
      <c r="S146" s="255" t="n"/>
      <c r="T146" s="255" t="n"/>
      <c r="U146" s="255" t="n"/>
      <c r="V146" s="255" t="n"/>
      <c r="W146" s="255" t="n"/>
      <c r="X146" s="255" t="n"/>
      <c r="Y146" s="255" t="n"/>
      <c r="Z146" s="255" t="n"/>
    </row>
    <row r="147" ht="12.75" customHeight="1">
      <c r="A147" s="333" t="n"/>
      <c r="B147" s="255" t="n"/>
      <c r="C147" s="255" t="n"/>
      <c r="D147" s="255" t="n"/>
      <c r="E147" s="255" t="n"/>
      <c r="F147" s="255" t="n"/>
      <c r="G147" s="255" t="n"/>
      <c r="H147" s="255" t="n"/>
      <c r="I147" s="255" t="n"/>
      <c r="J147" s="255" t="n"/>
      <c r="K147" s="255" t="n"/>
      <c r="L147" s="255" t="n"/>
      <c r="M147" s="255" t="n"/>
      <c r="N147" s="255" t="n"/>
      <c r="O147" s="255" t="n"/>
      <c r="P147" s="255" t="n"/>
      <c r="Q147" s="255" t="n"/>
      <c r="R147" s="255" t="n"/>
      <c r="S147" s="255" t="n"/>
      <c r="T147" s="255" t="n"/>
      <c r="U147" s="255" t="n"/>
      <c r="V147" s="255" t="n"/>
      <c r="W147" s="255" t="n"/>
      <c r="X147" s="255" t="n"/>
      <c r="Y147" s="255" t="n"/>
      <c r="Z147" s="255" t="n"/>
    </row>
    <row r="148" ht="12.75" customHeight="1">
      <c r="A148" s="333" t="n"/>
      <c r="B148" s="255" t="n"/>
      <c r="C148" s="255" t="n"/>
      <c r="D148" s="255" t="n"/>
      <c r="E148" s="255" t="n"/>
      <c r="F148" s="255" t="n"/>
      <c r="G148" s="255" t="n"/>
      <c r="H148" s="255" t="n"/>
      <c r="I148" s="255" t="n"/>
      <c r="J148" s="255" t="n"/>
      <c r="K148" s="255" t="n"/>
      <c r="L148" s="255" t="n"/>
      <c r="M148" s="255" t="n"/>
      <c r="N148" s="255" t="n"/>
      <c r="O148" s="255" t="n"/>
      <c r="P148" s="255" t="n"/>
      <c r="Q148" s="255" t="n"/>
      <c r="R148" s="255" t="n"/>
      <c r="S148" s="255" t="n"/>
      <c r="T148" s="255" t="n"/>
      <c r="U148" s="255" t="n"/>
      <c r="V148" s="255" t="n"/>
      <c r="W148" s="255" t="n"/>
      <c r="X148" s="255" t="n"/>
      <c r="Y148" s="255" t="n"/>
      <c r="Z148" s="255" t="n"/>
    </row>
    <row r="149" ht="12.75" customHeight="1">
      <c r="A149" s="333" t="n"/>
      <c r="B149" s="255" t="n"/>
      <c r="C149" s="255" t="n"/>
      <c r="D149" s="255" t="n"/>
      <c r="E149" s="255" t="n"/>
      <c r="F149" s="255" t="n"/>
      <c r="G149" s="255" t="n"/>
      <c r="H149" s="255" t="n"/>
      <c r="I149" s="255" t="n"/>
      <c r="J149" s="255" t="n"/>
      <c r="K149" s="255" t="n"/>
      <c r="L149" s="255" t="n"/>
      <c r="M149" s="255" t="n"/>
      <c r="N149" s="255" t="n"/>
      <c r="O149" s="255" t="n"/>
      <c r="P149" s="255" t="n"/>
      <c r="Q149" s="255" t="n"/>
      <c r="R149" s="255" t="n"/>
      <c r="S149" s="255" t="n"/>
      <c r="T149" s="255" t="n"/>
      <c r="U149" s="255" t="n"/>
      <c r="V149" s="255" t="n"/>
      <c r="W149" s="255" t="n"/>
      <c r="X149" s="255" t="n"/>
      <c r="Y149" s="255" t="n"/>
      <c r="Z149" s="255" t="n"/>
    </row>
    <row r="150" ht="12.75" customHeight="1">
      <c r="A150" s="333" t="n"/>
      <c r="B150" s="255" t="n"/>
      <c r="C150" s="255" t="n"/>
      <c r="D150" s="255" t="n"/>
      <c r="E150" s="255" t="n"/>
      <c r="F150" s="255" t="n"/>
      <c r="G150" s="255" t="n"/>
      <c r="H150" s="255" t="n"/>
      <c r="I150" s="255" t="n"/>
      <c r="J150" s="255" t="n"/>
      <c r="K150" s="255" t="n"/>
      <c r="L150" s="255" t="n"/>
      <c r="M150" s="255" t="n"/>
      <c r="N150" s="255" t="n"/>
      <c r="O150" s="255" t="n"/>
      <c r="P150" s="255" t="n"/>
      <c r="Q150" s="255" t="n"/>
      <c r="R150" s="255" t="n"/>
      <c r="S150" s="255" t="n"/>
      <c r="T150" s="255" t="n"/>
      <c r="U150" s="255" t="n"/>
      <c r="V150" s="255" t="n"/>
      <c r="W150" s="255" t="n"/>
      <c r="X150" s="255" t="n"/>
      <c r="Y150" s="255" t="n"/>
      <c r="Z150" s="255" t="n"/>
    </row>
    <row r="151" ht="12.75" customHeight="1">
      <c r="A151" s="333" t="n"/>
      <c r="B151" s="255" t="n"/>
      <c r="C151" s="255" t="n"/>
      <c r="D151" s="255" t="n"/>
      <c r="E151" s="255" t="n"/>
      <c r="F151" s="255" t="n"/>
      <c r="G151" s="255" t="n"/>
      <c r="H151" s="255" t="n"/>
      <c r="I151" s="255" t="n"/>
      <c r="J151" s="255" t="n"/>
      <c r="K151" s="255" t="n"/>
      <c r="L151" s="255" t="n"/>
      <c r="M151" s="255" t="n"/>
      <c r="N151" s="255" t="n"/>
      <c r="O151" s="255" t="n"/>
      <c r="P151" s="255" t="n"/>
      <c r="Q151" s="255" t="n"/>
      <c r="R151" s="255" t="n"/>
      <c r="S151" s="255" t="n"/>
      <c r="T151" s="255" t="n"/>
      <c r="U151" s="255" t="n"/>
      <c r="V151" s="255" t="n"/>
      <c r="W151" s="255" t="n"/>
      <c r="X151" s="255" t="n"/>
      <c r="Y151" s="255" t="n"/>
      <c r="Z151" s="255" t="n"/>
    </row>
    <row r="152" ht="12.75" customHeight="1">
      <c r="A152" s="333" t="n"/>
      <c r="B152" s="255" t="n"/>
      <c r="C152" s="255" t="n"/>
      <c r="D152" s="255" t="n"/>
      <c r="E152" s="255" t="n"/>
      <c r="F152" s="255" t="n"/>
      <c r="G152" s="255" t="n"/>
      <c r="H152" s="255" t="n"/>
      <c r="I152" s="255" t="n"/>
      <c r="J152" s="255" t="n"/>
      <c r="K152" s="255" t="n"/>
      <c r="L152" s="255" t="n"/>
      <c r="M152" s="255" t="n"/>
      <c r="N152" s="255" t="n"/>
      <c r="O152" s="255" t="n"/>
      <c r="P152" s="255" t="n"/>
      <c r="Q152" s="255" t="n"/>
      <c r="R152" s="255" t="n"/>
      <c r="S152" s="255" t="n"/>
      <c r="T152" s="255" t="n"/>
      <c r="U152" s="255" t="n"/>
      <c r="V152" s="255" t="n"/>
      <c r="W152" s="255" t="n"/>
      <c r="X152" s="255" t="n"/>
      <c r="Y152" s="255" t="n"/>
      <c r="Z152" s="255" t="n"/>
    </row>
    <row r="153" ht="12.75" customHeight="1">
      <c r="A153" s="333" t="n"/>
      <c r="B153" s="255" t="n"/>
      <c r="C153" s="255" t="n"/>
      <c r="D153" s="255" t="n"/>
      <c r="E153" s="255" t="n"/>
      <c r="F153" s="255" t="n"/>
      <c r="G153" s="255" t="n"/>
      <c r="H153" s="255" t="n"/>
      <c r="I153" s="255" t="n"/>
      <c r="J153" s="255" t="n"/>
      <c r="K153" s="255" t="n"/>
      <c r="L153" s="255" t="n"/>
      <c r="M153" s="255" t="n"/>
      <c r="N153" s="255" t="n"/>
      <c r="O153" s="255" t="n"/>
      <c r="P153" s="255" t="n"/>
      <c r="Q153" s="255" t="n"/>
      <c r="R153" s="255" t="n"/>
      <c r="S153" s="255" t="n"/>
      <c r="T153" s="255" t="n"/>
      <c r="U153" s="255" t="n"/>
      <c r="V153" s="255" t="n"/>
      <c r="W153" s="255" t="n"/>
      <c r="X153" s="255" t="n"/>
      <c r="Y153" s="255" t="n"/>
      <c r="Z153" s="255" t="n"/>
    </row>
    <row r="154" ht="12.75" customHeight="1">
      <c r="A154" s="333" t="n"/>
      <c r="B154" s="255" t="n"/>
      <c r="C154" s="255" t="n"/>
      <c r="D154" s="255" t="n"/>
      <c r="E154" s="255" t="n"/>
      <c r="F154" s="255" t="n"/>
      <c r="G154" s="255" t="n"/>
      <c r="H154" s="255" t="n"/>
      <c r="I154" s="255" t="n"/>
      <c r="J154" s="255" t="n"/>
      <c r="K154" s="255" t="n"/>
      <c r="L154" s="255" t="n"/>
      <c r="M154" s="255" t="n"/>
      <c r="N154" s="255" t="n"/>
      <c r="O154" s="255" t="n"/>
      <c r="P154" s="255" t="n"/>
      <c r="Q154" s="255" t="n"/>
      <c r="R154" s="255" t="n"/>
      <c r="S154" s="255" t="n"/>
      <c r="T154" s="255" t="n"/>
      <c r="U154" s="255" t="n"/>
      <c r="V154" s="255" t="n"/>
      <c r="W154" s="255" t="n"/>
      <c r="X154" s="255" t="n"/>
      <c r="Y154" s="255" t="n"/>
      <c r="Z154" s="255" t="n"/>
    </row>
    <row r="155" ht="12.75" customHeight="1">
      <c r="A155" s="333" t="n"/>
      <c r="B155" s="255" t="n"/>
      <c r="C155" s="255" t="n"/>
      <c r="D155" s="255" t="n"/>
      <c r="E155" s="255" t="n"/>
      <c r="F155" s="255" t="n"/>
      <c r="G155" s="255" t="n"/>
      <c r="H155" s="255" t="n"/>
      <c r="I155" s="255" t="n"/>
      <c r="J155" s="255" t="n"/>
      <c r="K155" s="255" t="n"/>
      <c r="L155" s="255" t="n"/>
      <c r="M155" s="255" t="n"/>
      <c r="N155" s="255" t="n"/>
      <c r="O155" s="255" t="n"/>
      <c r="P155" s="255" t="n"/>
      <c r="Q155" s="255" t="n"/>
      <c r="R155" s="255" t="n"/>
      <c r="S155" s="255" t="n"/>
      <c r="T155" s="255" t="n"/>
      <c r="U155" s="255" t="n"/>
      <c r="V155" s="255" t="n"/>
      <c r="W155" s="255" t="n"/>
      <c r="X155" s="255" t="n"/>
      <c r="Y155" s="255" t="n"/>
      <c r="Z155" s="255" t="n"/>
    </row>
    <row r="156" ht="12.75" customHeight="1">
      <c r="A156" s="333" t="n"/>
      <c r="B156" s="255" t="n"/>
      <c r="C156" s="255" t="n"/>
      <c r="D156" s="255" t="n"/>
      <c r="E156" s="255" t="n"/>
      <c r="F156" s="255" t="n"/>
      <c r="G156" s="255" t="n"/>
      <c r="H156" s="255" t="n"/>
      <c r="I156" s="255" t="n"/>
      <c r="J156" s="255" t="n"/>
      <c r="K156" s="255" t="n"/>
      <c r="L156" s="255" t="n"/>
      <c r="M156" s="255" t="n"/>
      <c r="N156" s="255" t="n"/>
      <c r="O156" s="255" t="n"/>
      <c r="P156" s="255" t="n"/>
      <c r="Q156" s="255" t="n"/>
      <c r="R156" s="255" t="n"/>
      <c r="S156" s="255" t="n"/>
      <c r="T156" s="255" t="n"/>
      <c r="U156" s="255" t="n"/>
      <c r="V156" s="255" t="n"/>
      <c r="W156" s="255" t="n"/>
      <c r="X156" s="255" t="n"/>
      <c r="Y156" s="255" t="n"/>
      <c r="Z156" s="255" t="n"/>
    </row>
    <row r="157" ht="12.75" customHeight="1">
      <c r="A157" s="333" t="n"/>
      <c r="B157" s="255" t="n"/>
      <c r="C157" s="255" t="n"/>
      <c r="D157" s="255" t="n"/>
      <c r="E157" s="255" t="n"/>
      <c r="F157" s="255" t="n"/>
      <c r="G157" s="255" t="n"/>
      <c r="H157" s="255" t="n"/>
      <c r="I157" s="255" t="n"/>
      <c r="J157" s="255" t="n"/>
      <c r="K157" s="255" t="n"/>
      <c r="L157" s="255" t="n"/>
      <c r="M157" s="255" t="n"/>
      <c r="N157" s="255" t="n"/>
      <c r="O157" s="255" t="n"/>
      <c r="P157" s="255" t="n"/>
      <c r="Q157" s="255" t="n"/>
      <c r="R157" s="255" t="n"/>
      <c r="S157" s="255" t="n"/>
      <c r="T157" s="255" t="n"/>
      <c r="U157" s="255" t="n"/>
      <c r="V157" s="255" t="n"/>
      <c r="W157" s="255" t="n"/>
      <c r="X157" s="255" t="n"/>
      <c r="Y157" s="255" t="n"/>
      <c r="Z157" s="255" t="n"/>
    </row>
    <row r="158" ht="12.75" customHeight="1">
      <c r="A158" s="333" t="n"/>
      <c r="B158" s="255" t="n"/>
      <c r="C158" s="255" t="n"/>
      <c r="D158" s="255" t="n"/>
      <c r="E158" s="255" t="n"/>
      <c r="F158" s="255" t="n"/>
      <c r="G158" s="255" t="n"/>
      <c r="H158" s="255" t="n"/>
      <c r="I158" s="255" t="n"/>
      <c r="J158" s="255" t="n"/>
      <c r="K158" s="255" t="n"/>
      <c r="L158" s="255" t="n"/>
      <c r="M158" s="255" t="n"/>
      <c r="N158" s="255" t="n"/>
      <c r="O158" s="255" t="n"/>
      <c r="P158" s="255" t="n"/>
      <c r="Q158" s="255" t="n"/>
      <c r="R158" s="255" t="n"/>
      <c r="S158" s="255" t="n"/>
      <c r="T158" s="255" t="n"/>
      <c r="U158" s="255" t="n"/>
      <c r="V158" s="255" t="n"/>
      <c r="W158" s="255" t="n"/>
      <c r="X158" s="255" t="n"/>
      <c r="Y158" s="255" t="n"/>
      <c r="Z158" s="255" t="n"/>
    </row>
    <row r="159" ht="12.75" customHeight="1">
      <c r="A159" s="333" t="n"/>
      <c r="B159" s="255" t="n"/>
      <c r="C159" s="255" t="n"/>
      <c r="D159" s="255" t="n"/>
      <c r="E159" s="255" t="n"/>
      <c r="F159" s="255" t="n"/>
      <c r="G159" s="255" t="n"/>
      <c r="H159" s="255" t="n"/>
      <c r="I159" s="255" t="n"/>
      <c r="J159" s="255" t="n"/>
      <c r="K159" s="255" t="n"/>
      <c r="L159" s="255" t="n"/>
      <c r="M159" s="255" t="n"/>
      <c r="N159" s="255" t="n"/>
      <c r="O159" s="255" t="n"/>
      <c r="P159" s="255" t="n"/>
      <c r="Q159" s="255" t="n"/>
      <c r="R159" s="255" t="n"/>
      <c r="S159" s="255" t="n"/>
      <c r="T159" s="255" t="n"/>
      <c r="U159" s="255" t="n"/>
      <c r="V159" s="255" t="n"/>
      <c r="W159" s="255" t="n"/>
      <c r="X159" s="255" t="n"/>
      <c r="Y159" s="255" t="n"/>
      <c r="Z159" s="255" t="n"/>
    </row>
    <row r="160" ht="12.75" customHeight="1">
      <c r="A160" s="333" t="n"/>
      <c r="B160" s="255" t="n"/>
      <c r="C160" s="255" t="n"/>
      <c r="D160" s="255" t="n"/>
      <c r="E160" s="255" t="n"/>
      <c r="F160" s="255" t="n"/>
      <c r="G160" s="255" t="n"/>
      <c r="H160" s="255" t="n"/>
      <c r="I160" s="255" t="n"/>
      <c r="J160" s="255" t="n"/>
      <c r="K160" s="255" t="n"/>
      <c r="L160" s="255" t="n"/>
      <c r="M160" s="255" t="n"/>
      <c r="N160" s="255" t="n"/>
      <c r="O160" s="255" t="n"/>
      <c r="P160" s="255" t="n"/>
      <c r="Q160" s="255" t="n"/>
      <c r="R160" s="255" t="n"/>
      <c r="S160" s="255" t="n"/>
      <c r="T160" s="255" t="n"/>
      <c r="U160" s="255" t="n"/>
      <c r="V160" s="255" t="n"/>
      <c r="W160" s="255" t="n"/>
      <c r="X160" s="255" t="n"/>
      <c r="Y160" s="255" t="n"/>
      <c r="Z160" s="255" t="n"/>
    </row>
    <row r="161" ht="12.75" customHeight="1">
      <c r="A161" s="333" t="n"/>
      <c r="B161" s="255" t="n"/>
      <c r="C161" s="255" t="n"/>
      <c r="D161" s="255" t="n"/>
      <c r="E161" s="255" t="n"/>
      <c r="F161" s="255" t="n"/>
      <c r="G161" s="255" t="n"/>
      <c r="H161" s="255" t="n"/>
      <c r="I161" s="255" t="n"/>
      <c r="J161" s="255" t="n"/>
      <c r="K161" s="255" t="n"/>
      <c r="L161" s="255" t="n"/>
      <c r="M161" s="255" t="n"/>
      <c r="N161" s="255" t="n"/>
      <c r="O161" s="255" t="n"/>
      <c r="P161" s="255" t="n"/>
      <c r="Q161" s="255" t="n"/>
      <c r="R161" s="255" t="n"/>
      <c r="S161" s="255" t="n"/>
      <c r="T161" s="255" t="n"/>
      <c r="U161" s="255" t="n"/>
      <c r="V161" s="255" t="n"/>
      <c r="W161" s="255" t="n"/>
      <c r="X161" s="255" t="n"/>
      <c r="Y161" s="255" t="n"/>
      <c r="Z161" s="255" t="n"/>
    </row>
    <row r="162" ht="12.75" customHeight="1">
      <c r="A162" s="333" t="n"/>
      <c r="B162" s="255" t="n"/>
      <c r="C162" s="255" t="n"/>
      <c r="D162" s="255" t="n"/>
      <c r="E162" s="255" t="n"/>
      <c r="F162" s="255" t="n"/>
      <c r="G162" s="255" t="n"/>
      <c r="H162" s="255" t="n"/>
      <c r="I162" s="255" t="n"/>
      <c r="J162" s="255" t="n"/>
      <c r="K162" s="255" t="n"/>
      <c r="L162" s="255" t="n"/>
      <c r="M162" s="255" t="n"/>
      <c r="N162" s="255" t="n"/>
      <c r="O162" s="255" t="n"/>
      <c r="P162" s="255" t="n"/>
      <c r="Q162" s="255" t="n"/>
      <c r="R162" s="255" t="n"/>
      <c r="S162" s="255" t="n"/>
      <c r="T162" s="255" t="n"/>
      <c r="U162" s="255" t="n"/>
      <c r="V162" s="255" t="n"/>
      <c r="W162" s="255" t="n"/>
      <c r="X162" s="255" t="n"/>
      <c r="Y162" s="255" t="n"/>
      <c r="Z162" s="255" t="n"/>
    </row>
    <row r="163" ht="12.75" customHeight="1">
      <c r="A163" s="333" t="n"/>
      <c r="B163" s="255" t="n"/>
      <c r="C163" s="255" t="n"/>
      <c r="D163" s="255" t="n"/>
      <c r="E163" s="255" t="n"/>
      <c r="F163" s="255" t="n"/>
      <c r="G163" s="255" t="n"/>
      <c r="H163" s="255" t="n"/>
      <c r="I163" s="255" t="n"/>
      <c r="J163" s="255" t="n"/>
      <c r="K163" s="255" t="n"/>
      <c r="L163" s="255" t="n"/>
      <c r="M163" s="255" t="n"/>
      <c r="N163" s="255" t="n"/>
      <c r="O163" s="255" t="n"/>
      <c r="P163" s="255" t="n"/>
      <c r="Q163" s="255" t="n"/>
      <c r="R163" s="255" t="n"/>
      <c r="S163" s="255" t="n"/>
      <c r="T163" s="255" t="n"/>
      <c r="U163" s="255" t="n"/>
      <c r="V163" s="255" t="n"/>
      <c r="W163" s="255" t="n"/>
      <c r="X163" s="255" t="n"/>
      <c r="Y163" s="255" t="n"/>
      <c r="Z163" s="255" t="n"/>
    </row>
    <row r="164" ht="12.75" customHeight="1">
      <c r="A164" s="333" t="n"/>
      <c r="B164" s="255" t="n"/>
      <c r="C164" s="255" t="n"/>
      <c r="D164" s="255" t="n"/>
      <c r="E164" s="255" t="n"/>
      <c r="F164" s="255" t="n"/>
      <c r="G164" s="255" t="n"/>
      <c r="H164" s="255" t="n"/>
      <c r="I164" s="255" t="n"/>
      <c r="J164" s="255" t="n"/>
      <c r="K164" s="255" t="n"/>
      <c r="L164" s="255" t="n"/>
      <c r="M164" s="255" t="n"/>
      <c r="N164" s="255" t="n"/>
      <c r="O164" s="255" t="n"/>
      <c r="P164" s="255" t="n"/>
      <c r="Q164" s="255" t="n"/>
      <c r="R164" s="255" t="n"/>
      <c r="S164" s="255" t="n"/>
      <c r="T164" s="255" t="n"/>
      <c r="U164" s="255" t="n"/>
      <c r="V164" s="255" t="n"/>
      <c r="W164" s="255" t="n"/>
      <c r="X164" s="255" t="n"/>
      <c r="Y164" s="255" t="n"/>
      <c r="Z164" s="255" t="n"/>
    </row>
    <row r="165" ht="12.75" customHeight="1">
      <c r="A165" s="333" t="n"/>
      <c r="B165" s="255" t="n"/>
      <c r="C165" s="255" t="n"/>
      <c r="D165" s="255" t="n"/>
      <c r="E165" s="255" t="n"/>
      <c r="F165" s="255" t="n"/>
      <c r="G165" s="255" t="n"/>
      <c r="H165" s="255" t="n"/>
      <c r="I165" s="255" t="n"/>
      <c r="J165" s="255" t="n"/>
      <c r="K165" s="255" t="n"/>
      <c r="L165" s="255" t="n"/>
      <c r="M165" s="255" t="n"/>
      <c r="N165" s="255" t="n"/>
      <c r="O165" s="255" t="n"/>
      <c r="P165" s="255" t="n"/>
      <c r="Q165" s="255" t="n"/>
      <c r="R165" s="255" t="n"/>
      <c r="S165" s="255" t="n"/>
      <c r="T165" s="255" t="n"/>
      <c r="U165" s="255" t="n"/>
      <c r="V165" s="255" t="n"/>
      <c r="W165" s="255" t="n"/>
      <c r="X165" s="255" t="n"/>
      <c r="Y165" s="255" t="n"/>
      <c r="Z165" s="255" t="n"/>
    </row>
    <row r="166" ht="12.75" customHeight="1">
      <c r="A166" s="333" t="n"/>
      <c r="B166" s="255" t="n"/>
      <c r="C166" s="255" t="n"/>
      <c r="D166" s="255" t="n"/>
      <c r="E166" s="255" t="n"/>
      <c r="F166" s="255" t="n"/>
      <c r="G166" s="255" t="n"/>
      <c r="H166" s="255" t="n"/>
      <c r="I166" s="255" t="n"/>
      <c r="J166" s="255" t="n"/>
      <c r="K166" s="255" t="n"/>
      <c r="L166" s="255" t="n"/>
      <c r="M166" s="255" t="n"/>
      <c r="N166" s="255" t="n"/>
      <c r="O166" s="255" t="n"/>
      <c r="P166" s="255" t="n"/>
      <c r="Q166" s="255" t="n"/>
      <c r="R166" s="255" t="n"/>
      <c r="S166" s="255" t="n"/>
      <c r="T166" s="255" t="n"/>
      <c r="U166" s="255" t="n"/>
      <c r="V166" s="255" t="n"/>
      <c r="W166" s="255" t="n"/>
      <c r="X166" s="255" t="n"/>
      <c r="Y166" s="255" t="n"/>
      <c r="Z166" s="255" t="n"/>
    </row>
    <row r="167" ht="12.75" customHeight="1">
      <c r="A167" s="333" t="n"/>
      <c r="B167" s="255" t="n"/>
      <c r="C167" s="255" t="n"/>
      <c r="D167" s="255" t="n"/>
      <c r="E167" s="255" t="n"/>
      <c r="F167" s="255" t="n"/>
      <c r="G167" s="255" t="n"/>
      <c r="H167" s="255" t="n"/>
      <c r="I167" s="255" t="n"/>
      <c r="J167" s="255" t="n"/>
      <c r="K167" s="255" t="n"/>
      <c r="L167" s="255" t="n"/>
      <c r="M167" s="255" t="n"/>
      <c r="N167" s="255" t="n"/>
      <c r="O167" s="255" t="n"/>
      <c r="P167" s="255" t="n"/>
      <c r="Q167" s="255" t="n"/>
      <c r="R167" s="255" t="n"/>
      <c r="S167" s="255" t="n"/>
      <c r="T167" s="255" t="n"/>
      <c r="U167" s="255" t="n"/>
      <c r="V167" s="255" t="n"/>
      <c r="W167" s="255" t="n"/>
      <c r="X167" s="255" t="n"/>
      <c r="Y167" s="255" t="n"/>
      <c r="Z167" s="255" t="n"/>
    </row>
    <row r="168" ht="12.75" customHeight="1">
      <c r="A168" s="333" t="n"/>
      <c r="B168" s="255" t="n"/>
      <c r="C168" s="255" t="n"/>
      <c r="D168" s="255" t="n"/>
      <c r="E168" s="255" t="n"/>
      <c r="F168" s="255" t="n"/>
      <c r="G168" s="255" t="n"/>
      <c r="H168" s="255" t="n"/>
      <c r="I168" s="255" t="n"/>
      <c r="J168" s="255" t="n"/>
      <c r="K168" s="255" t="n"/>
      <c r="L168" s="255" t="n"/>
      <c r="M168" s="255" t="n"/>
      <c r="N168" s="255" t="n"/>
      <c r="O168" s="255" t="n"/>
      <c r="P168" s="255" t="n"/>
      <c r="Q168" s="255" t="n"/>
      <c r="R168" s="255" t="n"/>
      <c r="S168" s="255" t="n"/>
      <c r="T168" s="255" t="n"/>
      <c r="U168" s="255" t="n"/>
      <c r="V168" s="255" t="n"/>
      <c r="W168" s="255" t="n"/>
      <c r="X168" s="255" t="n"/>
      <c r="Y168" s="255" t="n"/>
      <c r="Z168" s="255" t="n"/>
    </row>
    <row r="169" ht="12.75" customHeight="1">
      <c r="A169" s="333" t="n"/>
      <c r="B169" s="255" t="n"/>
      <c r="C169" s="255" t="n"/>
      <c r="D169" s="255" t="n"/>
      <c r="E169" s="255" t="n"/>
      <c r="F169" s="255" t="n"/>
      <c r="G169" s="255" t="n"/>
      <c r="H169" s="255" t="n"/>
      <c r="I169" s="255" t="n"/>
      <c r="J169" s="255" t="n"/>
      <c r="K169" s="255" t="n"/>
      <c r="L169" s="255" t="n"/>
      <c r="M169" s="255" t="n"/>
      <c r="N169" s="255" t="n"/>
      <c r="O169" s="255" t="n"/>
      <c r="P169" s="255" t="n"/>
      <c r="Q169" s="255" t="n"/>
      <c r="R169" s="255" t="n"/>
      <c r="S169" s="255" t="n"/>
      <c r="T169" s="255" t="n"/>
      <c r="U169" s="255" t="n"/>
      <c r="V169" s="255" t="n"/>
      <c r="W169" s="255" t="n"/>
      <c r="X169" s="255" t="n"/>
      <c r="Y169" s="255" t="n"/>
      <c r="Z169" s="255" t="n"/>
    </row>
    <row r="170" ht="12.75" customHeight="1">
      <c r="A170" s="333" t="n"/>
      <c r="B170" s="255" t="n"/>
      <c r="C170" s="255" t="n"/>
      <c r="D170" s="255" t="n"/>
      <c r="E170" s="255" t="n"/>
      <c r="F170" s="255" t="n"/>
      <c r="G170" s="255" t="n"/>
      <c r="H170" s="255" t="n"/>
      <c r="I170" s="255" t="n"/>
      <c r="J170" s="255" t="n"/>
      <c r="K170" s="255" t="n"/>
      <c r="L170" s="255" t="n"/>
      <c r="M170" s="255" t="n"/>
      <c r="N170" s="255" t="n"/>
      <c r="O170" s="255" t="n"/>
      <c r="P170" s="255" t="n"/>
      <c r="Q170" s="255" t="n"/>
      <c r="R170" s="255" t="n"/>
      <c r="S170" s="255" t="n"/>
      <c r="T170" s="255" t="n"/>
      <c r="U170" s="255" t="n"/>
      <c r="V170" s="255" t="n"/>
      <c r="W170" s="255" t="n"/>
      <c r="X170" s="255" t="n"/>
      <c r="Y170" s="255" t="n"/>
      <c r="Z170" s="255" t="n"/>
    </row>
    <row r="171" ht="12.75" customHeight="1">
      <c r="A171" s="333" t="n"/>
      <c r="B171" s="255" t="n"/>
      <c r="C171" s="255" t="n"/>
      <c r="D171" s="255" t="n"/>
      <c r="E171" s="255" t="n"/>
      <c r="F171" s="255" t="n"/>
      <c r="G171" s="255" t="n"/>
      <c r="H171" s="255" t="n"/>
      <c r="I171" s="255" t="n"/>
      <c r="J171" s="255" t="n"/>
      <c r="K171" s="255" t="n"/>
      <c r="L171" s="255" t="n"/>
      <c r="M171" s="255" t="n"/>
      <c r="N171" s="255" t="n"/>
      <c r="O171" s="255" t="n"/>
      <c r="P171" s="255" t="n"/>
      <c r="Q171" s="255" t="n"/>
      <c r="R171" s="255" t="n"/>
      <c r="S171" s="255" t="n"/>
      <c r="T171" s="255" t="n"/>
      <c r="U171" s="255" t="n"/>
      <c r="V171" s="255" t="n"/>
      <c r="W171" s="255" t="n"/>
      <c r="X171" s="255" t="n"/>
      <c r="Y171" s="255" t="n"/>
      <c r="Z171" s="255" t="n"/>
    </row>
    <row r="172" ht="12.75" customHeight="1">
      <c r="A172" s="333" t="n"/>
      <c r="B172" s="255" t="n"/>
      <c r="C172" s="255" t="n"/>
      <c r="D172" s="255" t="n"/>
      <c r="E172" s="255" t="n"/>
      <c r="F172" s="255" t="n"/>
      <c r="G172" s="255" t="n"/>
      <c r="H172" s="255" t="n"/>
      <c r="I172" s="255" t="n"/>
      <c r="J172" s="255" t="n"/>
      <c r="K172" s="255" t="n"/>
      <c r="L172" s="255" t="n"/>
      <c r="M172" s="255" t="n"/>
      <c r="N172" s="255" t="n"/>
      <c r="O172" s="255" t="n"/>
      <c r="P172" s="255" t="n"/>
      <c r="Q172" s="255" t="n"/>
      <c r="R172" s="255" t="n"/>
      <c r="S172" s="255" t="n"/>
      <c r="T172" s="255" t="n"/>
      <c r="U172" s="255" t="n"/>
      <c r="V172" s="255" t="n"/>
      <c r="W172" s="255" t="n"/>
      <c r="X172" s="255" t="n"/>
      <c r="Y172" s="255" t="n"/>
      <c r="Z172" s="255" t="n"/>
    </row>
    <row r="173" ht="12.75" customHeight="1">
      <c r="A173" s="333" t="n"/>
      <c r="B173" s="255" t="n"/>
      <c r="C173" s="255" t="n"/>
      <c r="D173" s="255" t="n"/>
      <c r="E173" s="255" t="n"/>
      <c r="F173" s="255" t="n"/>
      <c r="G173" s="255" t="n"/>
      <c r="H173" s="255" t="n"/>
      <c r="I173" s="255" t="n"/>
      <c r="J173" s="255" t="n"/>
      <c r="K173" s="255" t="n"/>
      <c r="L173" s="255" t="n"/>
      <c r="M173" s="255" t="n"/>
      <c r="N173" s="255" t="n"/>
      <c r="O173" s="255" t="n"/>
      <c r="P173" s="255" t="n"/>
      <c r="Q173" s="255" t="n"/>
      <c r="R173" s="255" t="n"/>
      <c r="S173" s="255" t="n"/>
      <c r="T173" s="255" t="n"/>
      <c r="U173" s="255" t="n"/>
      <c r="V173" s="255" t="n"/>
      <c r="W173" s="255" t="n"/>
      <c r="X173" s="255" t="n"/>
      <c r="Y173" s="255" t="n"/>
      <c r="Z173" s="255" t="n"/>
    </row>
    <row r="174" ht="12.75" customHeight="1">
      <c r="A174" s="333" t="n"/>
      <c r="B174" s="255" t="n"/>
      <c r="C174" s="255" t="n"/>
      <c r="D174" s="255" t="n"/>
      <c r="E174" s="255" t="n"/>
      <c r="F174" s="255" t="n"/>
      <c r="G174" s="255" t="n"/>
      <c r="H174" s="255" t="n"/>
      <c r="I174" s="255" t="n"/>
      <c r="J174" s="255" t="n"/>
      <c r="K174" s="255" t="n"/>
      <c r="L174" s="255" t="n"/>
      <c r="M174" s="255" t="n"/>
      <c r="N174" s="255" t="n"/>
      <c r="O174" s="255" t="n"/>
      <c r="P174" s="255" t="n"/>
      <c r="Q174" s="255" t="n"/>
      <c r="R174" s="255" t="n"/>
      <c r="S174" s="255" t="n"/>
      <c r="T174" s="255" t="n"/>
      <c r="U174" s="255" t="n"/>
      <c r="V174" s="255" t="n"/>
      <c r="W174" s="255" t="n"/>
      <c r="X174" s="255" t="n"/>
      <c r="Y174" s="255" t="n"/>
      <c r="Z174" s="255" t="n"/>
    </row>
    <row r="175" ht="12.75" customHeight="1">
      <c r="A175" s="333" t="n"/>
      <c r="B175" s="255" t="n"/>
      <c r="C175" s="255" t="n"/>
      <c r="D175" s="255" t="n"/>
      <c r="E175" s="255" t="n"/>
      <c r="F175" s="255" t="n"/>
      <c r="G175" s="255" t="n"/>
      <c r="H175" s="255" t="n"/>
      <c r="I175" s="255" t="n"/>
      <c r="J175" s="255" t="n"/>
      <c r="K175" s="255" t="n"/>
      <c r="L175" s="255" t="n"/>
      <c r="M175" s="255" t="n"/>
      <c r="N175" s="255" t="n"/>
      <c r="O175" s="255" t="n"/>
      <c r="P175" s="255" t="n"/>
      <c r="Q175" s="255" t="n"/>
      <c r="R175" s="255" t="n"/>
      <c r="S175" s="255" t="n"/>
      <c r="T175" s="255" t="n"/>
      <c r="U175" s="255" t="n"/>
      <c r="V175" s="255" t="n"/>
      <c r="W175" s="255" t="n"/>
      <c r="X175" s="255" t="n"/>
      <c r="Y175" s="255" t="n"/>
      <c r="Z175" s="255" t="n"/>
    </row>
    <row r="176" ht="12.75" customHeight="1">
      <c r="A176" s="333" t="n"/>
      <c r="B176" s="255" t="n"/>
      <c r="C176" s="255" t="n"/>
      <c r="D176" s="255" t="n"/>
      <c r="E176" s="255" t="n"/>
      <c r="F176" s="255" t="n"/>
      <c r="G176" s="255" t="n"/>
      <c r="H176" s="255" t="n"/>
      <c r="I176" s="255" t="n"/>
      <c r="J176" s="255" t="n"/>
      <c r="K176" s="255" t="n"/>
      <c r="L176" s="255" t="n"/>
      <c r="M176" s="255" t="n"/>
      <c r="N176" s="255" t="n"/>
      <c r="O176" s="255" t="n"/>
      <c r="P176" s="255" t="n"/>
      <c r="Q176" s="255" t="n"/>
      <c r="R176" s="255" t="n"/>
      <c r="S176" s="255" t="n"/>
      <c r="T176" s="255" t="n"/>
      <c r="U176" s="255" t="n"/>
      <c r="V176" s="255" t="n"/>
      <c r="W176" s="255" t="n"/>
      <c r="X176" s="255" t="n"/>
      <c r="Y176" s="255" t="n"/>
      <c r="Z176" s="255" t="n"/>
    </row>
    <row r="177" ht="12.75" customHeight="1">
      <c r="A177" s="333" t="n"/>
      <c r="B177" s="255" t="n"/>
      <c r="C177" s="255" t="n"/>
      <c r="D177" s="255" t="n"/>
      <c r="E177" s="255" t="n"/>
      <c r="F177" s="255" t="n"/>
      <c r="G177" s="255" t="n"/>
      <c r="H177" s="255" t="n"/>
      <c r="I177" s="255" t="n"/>
      <c r="J177" s="255" t="n"/>
      <c r="K177" s="255" t="n"/>
      <c r="L177" s="255" t="n"/>
      <c r="M177" s="255" t="n"/>
      <c r="N177" s="255" t="n"/>
      <c r="O177" s="255" t="n"/>
      <c r="P177" s="255" t="n"/>
      <c r="Q177" s="255" t="n"/>
      <c r="R177" s="255" t="n"/>
      <c r="S177" s="255" t="n"/>
      <c r="T177" s="255" t="n"/>
      <c r="U177" s="255" t="n"/>
      <c r="V177" s="255" t="n"/>
      <c r="W177" s="255" t="n"/>
      <c r="X177" s="255" t="n"/>
      <c r="Y177" s="255" t="n"/>
      <c r="Z177" s="255" t="n"/>
    </row>
    <row r="178" ht="12.75" customHeight="1">
      <c r="A178" s="333" t="n"/>
      <c r="B178" s="255" t="n"/>
      <c r="C178" s="255" t="n"/>
      <c r="D178" s="255" t="n"/>
      <c r="E178" s="255" t="n"/>
      <c r="F178" s="255" t="n"/>
      <c r="G178" s="255" t="n"/>
      <c r="H178" s="255" t="n"/>
      <c r="I178" s="255" t="n"/>
      <c r="J178" s="255" t="n"/>
      <c r="K178" s="255" t="n"/>
      <c r="L178" s="255" t="n"/>
      <c r="M178" s="255" t="n"/>
      <c r="N178" s="255" t="n"/>
      <c r="O178" s="255" t="n"/>
      <c r="P178" s="255" t="n"/>
      <c r="Q178" s="255" t="n"/>
      <c r="R178" s="255" t="n"/>
      <c r="S178" s="255" t="n"/>
      <c r="T178" s="255" t="n"/>
      <c r="U178" s="255" t="n"/>
      <c r="V178" s="255" t="n"/>
      <c r="W178" s="255" t="n"/>
      <c r="X178" s="255" t="n"/>
      <c r="Y178" s="255" t="n"/>
      <c r="Z178" s="255" t="n"/>
    </row>
    <row r="179" ht="12.75" customHeight="1">
      <c r="A179" s="333" t="n"/>
      <c r="B179" s="255" t="n"/>
      <c r="C179" s="255" t="n"/>
      <c r="D179" s="255" t="n"/>
      <c r="E179" s="255" t="n"/>
      <c r="F179" s="255" t="n"/>
      <c r="G179" s="255" t="n"/>
      <c r="H179" s="255" t="n"/>
      <c r="I179" s="255" t="n"/>
      <c r="J179" s="255" t="n"/>
      <c r="K179" s="255" t="n"/>
      <c r="L179" s="255" t="n"/>
      <c r="M179" s="255" t="n"/>
      <c r="N179" s="255" t="n"/>
      <c r="O179" s="255" t="n"/>
      <c r="P179" s="255" t="n"/>
      <c r="Q179" s="255" t="n"/>
      <c r="R179" s="255" t="n"/>
      <c r="S179" s="255" t="n"/>
      <c r="T179" s="255" t="n"/>
      <c r="U179" s="255" t="n"/>
      <c r="V179" s="255" t="n"/>
      <c r="W179" s="255" t="n"/>
      <c r="X179" s="255" t="n"/>
      <c r="Y179" s="255" t="n"/>
      <c r="Z179" s="255" t="n"/>
    </row>
    <row r="180" ht="12.75" customHeight="1">
      <c r="A180" s="333" t="n"/>
      <c r="B180" s="255" t="n"/>
      <c r="C180" s="255" t="n"/>
      <c r="D180" s="255" t="n"/>
      <c r="E180" s="255" t="n"/>
      <c r="F180" s="255" t="n"/>
      <c r="G180" s="255" t="n"/>
      <c r="H180" s="255" t="n"/>
      <c r="I180" s="255" t="n"/>
      <c r="J180" s="255" t="n"/>
      <c r="K180" s="255" t="n"/>
      <c r="L180" s="255" t="n"/>
      <c r="M180" s="255" t="n"/>
      <c r="N180" s="255" t="n"/>
      <c r="O180" s="255" t="n"/>
      <c r="P180" s="255" t="n"/>
      <c r="Q180" s="255" t="n"/>
      <c r="R180" s="255" t="n"/>
      <c r="S180" s="255" t="n"/>
      <c r="T180" s="255" t="n"/>
      <c r="U180" s="255" t="n"/>
      <c r="V180" s="255" t="n"/>
      <c r="W180" s="255" t="n"/>
      <c r="X180" s="255" t="n"/>
      <c r="Y180" s="255" t="n"/>
      <c r="Z180" s="255" t="n"/>
    </row>
    <row r="181" ht="12.75" customHeight="1">
      <c r="A181" s="333" t="n"/>
      <c r="B181" s="255" t="n"/>
      <c r="C181" s="255" t="n"/>
      <c r="D181" s="255" t="n"/>
      <c r="E181" s="255" t="n"/>
      <c r="F181" s="255" t="n"/>
      <c r="G181" s="255" t="n"/>
      <c r="H181" s="255" t="n"/>
      <c r="I181" s="255" t="n"/>
      <c r="J181" s="255" t="n"/>
      <c r="K181" s="255" t="n"/>
      <c r="L181" s="255" t="n"/>
      <c r="M181" s="255" t="n"/>
      <c r="N181" s="255" t="n"/>
      <c r="O181" s="255" t="n"/>
      <c r="P181" s="255" t="n"/>
      <c r="Q181" s="255" t="n"/>
      <c r="R181" s="255" t="n"/>
      <c r="S181" s="255" t="n"/>
      <c r="T181" s="255" t="n"/>
      <c r="U181" s="255" t="n"/>
      <c r="V181" s="255" t="n"/>
      <c r="W181" s="255" t="n"/>
      <c r="X181" s="255" t="n"/>
      <c r="Y181" s="255" t="n"/>
      <c r="Z181" s="255" t="n"/>
    </row>
    <row r="182" ht="12.75" customHeight="1">
      <c r="A182" s="333" t="n"/>
      <c r="B182" s="255" t="n"/>
      <c r="C182" s="255" t="n"/>
      <c r="D182" s="255" t="n"/>
      <c r="E182" s="255" t="n"/>
      <c r="F182" s="255" t="n"/>
      <c r="G182" s="255" t="n"/>
      <c r="H182" s="255" t="n"/>
      <c r="I182" s="255" t="n"/>
      <c r="J182" s="255" t="n"/>
      <c r="K182" s="255" t="n"/>
      <c r="L182" s="255" t="n"/>
      <c r="M182" s="255" t="n"/>
      <c r="N182" s="255" t="n"/>
      <c r="O182" s="255" t="n"/>
      <c r="P182" s="255" t="n"/>
      <c r="Q182" s="255" t="n"/>
      <c r="R182" s="255" t="n"/>
      <c r="S182" s="255" t="n"/>
      <c r="T182" s="255" t="n"/>
      <c r="U182" s="255" t="n"/>
      <c r="V182" s="255" t="n"/>
      <c r="W182" s="255" t="n"/>
      <c r="X182" s="255" t="n"/>
      <c r="Y182" s="255" t="n"/>
      <c r="Z182" s="255" t="n"/>
    </row>
    <row r="183" ht="12.75" customHeight="1">
      <c r="A183" s="333" t="n"/>
      <c r="B183" s="255" t="n"/>
      <c r="C183" s="255" t="n"/>
      <c r="D183" s="255" t="n"/>
      <c r="E183" s="255" t="n"/>
      <c r="F183" s="255" t="n"/>
      <c r="G183" s="255" t="n"/>
      <c r="H183" s="255" t="n"/>
      <c r="I183" s="255" t="n"/>
      <c r="J183" s="255" t="n"/>
      <c r="K183" s="255" t="n"/>
      <c r="L183" s="255" t="n"/>
      <c r="M183" s="255" t="n"/>
      <c r="N183" s="255" t="n"/>
      <c r="O183" s="255" t="n"/>
      <c r="P183" s="255" t="n"/>
      <c r="Q183" s="255" t="n"/>
      <c r="R183" s="255" t="n"/>
      <c r="S183" s="255" t="n"/>
      <c r="T183" s="255" t="n"/>
      <c r="U183" s="255" t="n"/>
      <c r="V183" s="255" t="n"/>
      <c r="W183" s="255" t="n"/>
      <c r="X183" s="255" t="n"/>
      <c r="Y183" s="255" t="n"/>
      <c r="Z183" s="255" t="n"/>
    </row>
    <row r="184" ht="12.75" customHeight="1">
      <c r="A184" s="333" t="n"/>
      <c r="B184" s="255" t="n"/>
      <c r="C184" s="255" t="n"/>
      <c r="D184" s="255" t="n"/>
      <c r="E184" s="255" t="n"/>
      <c r="F184" s="255" t="n"/>
      <c r="G184" s="255" t="n"/>
      <c r="H184" s="255" t="n"/>
      <c r="I184" s="255" t="n"/>
      <c r="J184" s="255" t="n"/>
      <c r="K184" s="255" t="n"/>
      <c r="L184" s="255" t="n"/>
      <c r="M184" s="255" t="n"/>
      <c r="N184" s="255" t="n"/>
      <c r="O184" s="255" t="n"/>
      <c r="P184" s="255" t="n"/>
      <c r="Q184" s="255" t="n"/>
      <c r="R184" s="255" t="n"/>
      <c r="S184" s="255" t="n"/>
      <c r="T184" s="255" t="n"/>
      <c r="U184" s="255" t="n"/>
      <c r="V184" s="255" t="n"/>
      <c r="W184" s="255" t="n"/>
      <c r="X184" s="255" t="n"/>
      <c r="Y184" s="255" t="n"/>
      <c r="Z184" s="255" t="n"/>
    </row>
    <row r="185" ht="12.75" customHeight="1">
      <c r="A185" s="333" t="n"/>
      <c r="B185" s="255" t="n"/>
      <c r="C185" s="255" t="n"/>
      <c r="D185" s="255" t="n"/>
      <c r="E185" s="255" t="n"/>
      <c r="F185" s="255" t="n"/>
      <c r="G185" s="255" t="n"/>
      <c r="H185" s="255" t="n"/>
      <c r="I185" s="255" t="n"/>
      <c r="J185" s="255" t="n"/>
      <c r="K185" s="255" t="n"/>
      <c r="L185" s="255" t="n"/>
      <c r="M185" s="255" t="n"/>
      <c r="N185" s="255" t="n"/>
      <c r="O185" s="255" t="n"/>
      <c r="P185" s="255" t="n"/>
      <c r="Q185" s="255" t="n"/>
      <c r="R185" s="255" t="n"/>
      <c r="S185" s="255" t="n"/>
      <c r="T185" s="255" t="n"/>
      <c r="U185" s="255" t="n"/>
      <c r="V185" s="255" t="n"/>
      <c r="W185" s="255" t="n"/>
      <c r="X185" s="255" t="n"/>
      <c r="Y185" s="255" t="n"/>
      <c r="Z185" s="255" t="n"/>
    </row>
    <row r="186" ht="12.75" customHeight="1">
      <c r="A186" s="333" t="n"/>
      <c r="B186" s="255" t="n"/>
      <c r="C186" s="255" t="n"/>
      <c r="D186" s="255" t="n"/>
      <c r="E186" s="255" t="n"/>
      <c r="F186" s="255" t="n"/>
      <c r="G186" s="255" t="n"/>
      <c r="H186" s="255" t="n"/>
      <c r="I186" s="255" t="n"/>
      <c r="J186" s="255" t="n"/>
      <c r="K186" s="255" t="n"/>
      <c r="L186" s="255" t="n"/>
      <c r="M186" s="255" t="n"/>
      <c r="N186" s="255" t="n"/>
      <c r="O186" s="255" t="n"/>
      <c r="P186" s="255" t="n"/>
      <c r="Q186" s="255" t="n"/>
      <c r="R186" s="255" t="n"/>
      <c r="S186" s="255" t="n"/>
      <c r="T186" s="255" t="n"/>
      <c r="U186" s="255" t="n"/>
      <c r="V186" s="255" t="n"/>
      <c r="W186" s="255" t="n"/>
      <c r="X186" s="255" t="n"/>
      <c r="Y186" s="255" t="n"/>
      <c r="Z186" s="255" t="n"/>
    </row>
    <row r="187" ht="12.75" customHeight="1">
      <c r="A187" s="333" t="n"/>
      <c r="B187" s="255" t="n"/>
      <c r="C187" s="255" t="n"/>
      <c r="D187" s="255" t="n"/>
      <c r="E187" s="255" t="n"/>
      <c r="F187" s="255" t="n"/>
      <c r="G187" s="255" t="n"/>
      <c r="H187" s="255" t="n"/>
      <c r="I187" s="255" t="n"/>
      <c r="J187" s="255" t="n"/>
      <c r="K187" s="255" t="n"/>
      <c r="L187" s="255" t="n"/>
      <c r="M187" s="255" t="n"/>
      <c r="N187" s="255" t="n"/>
      <c r="O187" s="255" t="n"/>
      <c r="P187" s="255" t="n"/>
      <c r="Q187" s="255" t="n"/>
      <c r="R187" s="255" t="n"/>
      <c r="S187" s="255" t="n"/>
      <c r="T187" s="255" t="n"/>
      <c r="U187" s="255" t="n"/>
      <c r="V187" s="255" t="n"/>
      <c r="W187" s="255" t="n"/>
      <c r="X187" s="255" t="n"/>
      <c r="Y187" s="255" t="n"/>
      <c r="Z187" s="255" t="n"/>
    </row>
    <row r="188" ht="12.75" customHeight="1">
      <c r="A188" s="333" t="n"/>
      <c r="B188" s="255" t="n"/>
      <c r="C188" s="255" t="n"/>
      <c r="D188" s="255" t="n"/>
      <c r="E188" s="255" t="n"/>
      <c r="F188" s="255" t="n"/>
      <c r="G188" s="255" t="n"/>
      <c r="H188" s="255" t="n"/>
      <c r="I188" s="255" t="n"/>
      <c r="J188" s="255" t="n"/>
      <c r="K188" s="255" t="n"/>
      <c r="L188" s="255" t="n"/>
      <c r="M188" s="255" t="n"/>
      <c r="N188" s="255" t="n"/>
      <c r="O188" s="255" t="n"/>
      <c r="P188" s="255" t="n"/>
      <c r="Q188" s="255" t="n"/>
      <c r="R188" s="255" t="n"/>
      <c r="S188" s="255" t="n"/>
      <c r="T188" s="255" t="n"/>
      <c r="U188" s="255" t="n"/>
      <c r="V188" s="255" t="n"/>
      <c r="W188" s="255" t="n"/>
      <c r="X188" s="255" t="n"/>
      <c r="Y188" s="255" t="n"/>
      <c r="Z188" s="255" t="n"/>
    </row>
    <row r="189" ht="12.75" customHeight="1">
      <c r="A189" s="333" t="n"/>
      <c r="B189" s="255" t="n"/>
      <c r="C189" s="255" t="n"/>
      <c r="D189" s="255" t="n"/>
      <c r="E189" s="255" t="n"/>
      <c r="F189" s="255" t="n"/>
      <c r="G189" s="255" t="n"/>
      <c r="H189" s="255" t="n"/>
      <c r="I189" s="255" t="n"/>
      <c r="J189" s="255" t="n"/>
      <c r="K189" s="255" t="n"/>
      <c r="L189" s="255" t="n"/>
      <c r="M189" s="255" t="n"/>
      <c r="N189" s="255" t="n"/>
      <c r="O189" s="255" t="n"/>
      <c r="P189" s="255" t="n"/>
      <c r="Q189" s="255" t="n"/>
      <c r="R189" s="255" t="n"/>
      <c r="S189" s="255" t="n"/>
      <c r="T189" s="255" t="n"/>
      <c r="U189" s="255" t="n"/>
      <c r="V189" s="255" t="n"/>
      <c r="W189" s="255" t="n"/>
      <c r="X189" s="255" t="n"/>
      <c r="Y189" s="255" t="n"/>
      <c r="Z189" s="255" t="n"/>
    </row>
    <row r="190" ht="12.75" customHeight="1">
      <c r="A190" s="333" t="n"/>
      <c r="B190" s="255" t="n"/>
      <c r="C190" s="255" t="n"/>
      <c r="D190" s="255" t="n"/>
      <c r="E190" s="255" t="n"/>
      <c r="F190" s="255" t="n"/>
      <c r="G190" s="255" t="n"/>
      <c r="H190" s="255" t="n"/>
      <c r="I190" s="255" t="n"/>
      <c r="J190" s="255" t="n"/>
      <c r="K190" s="255" t="n"/>
      <c r="L190" s="255" t="n"/>
      <c r="M190" s="255" t="n"/>
      <c r="N190" s="255" t="n"/>
      <c r="O190" s="255" t="n"/>
      <c r="P190" s="255" t="n"/>
      <c r="Q190" s="255" t="n"/>
      <c r="R190" s="255" t="n"/>
      <c r="S190" s="255" t="n"/>
      <c r="T190" s="255" t="n"/>
      <c r="U190" s="255" t="n"/>
      <c r="V190" s="255" t="n"/>
      <c r="W190" s="255" t="n"/>
      <c r="X190" s="255" t="n"/>
      <c r="Y190" s="255" t="n"/>
      <c r="Z190" s="255" t="n"/>
    </row>
    <row r="191" ht="12.75" customHeight="1">
      <c r="A191" s="333" t="n"/>
      <c r="B191" s="255" t="n"/>
      <c r="C191" s="255" t="n"/>
      <c r="D191" s="255" t="n"/>
      <c r="E191" s="255" t="n"/>
      <c r="F191" s="255" t="n"/>
      <c r="G191" s="255" t="n"/>
      <c r="H191" s="255" t="n"/>
      <c r="I191" s="255" t="n"/>
      <c r="J191" s="255" t="n"/>
      <c r="K191" s="255" t="n"/>
      <c r="L191" s="255" t="n"/>
      <c r="M191" s="255" t="n"/>
      <c r="N191" s="255" t="n"/>
      <c r="O191" s="255" t="n"/>
      <c r="P191" s="255" t="n"/>
      <c r="Q191" s="255" t="n"/>
      <c r="R191" s="255" t="n"/>
      <c r="S191" s="255" t="n"/>
      <c r="T191" s="255" t="n"/>
      <c r="U191" s="255" t="n"/>
      <c r="V191" s="255" t="n"/>
      <c r="W191" s="255" t="n"/>
      <c r="X191" s="255" t="n"/>
      <c r="Y191" s="255" t="n"/>
      <c r="Z191" s="255" t="n"/>
    </row>
    <row r="192" ht="12.75" customHeight="1">
      <c r="A192" s="333" t="n"/>
      <c r="B192" s="255" t="n"/>
      <c r="C192" s="255" t="n"/>
      <c r="D192" s="255" t="n"/>
      <c r="E192" s="255" t="n"/>
      <c r="F192" s="255" t="n"/>
      <c r="G192" s="255" t="n"/>
      <c r="H192" s="255" t="n"/>
      <c r="I192" s="255" t="n"/>
      <c r="J192" s="255" t="n"/>
      <c r="K192" s="255" t="n"/>
      <c r="L192" s="255" t="n"/>
      <c r="M192" s="255" t="n"/>
      <c r="N192" s="255" t="n"/>
      <c r="O192" s="255" t="n"/>
      <c r="P192" s="255" t="n"/>
      <c r="Q192" s="255" t="n"/>
      <c r="R192" s="255" t="n"/>
      <c r="S192" s="255" t="n"/>
      <c r="T192" s="255" t="n"/>
      <c r="U192" s="255" t="n"/>
      <c r="V192" s="255" t="n"/>
      <c r="W192" s="255" t="n"/>
      <c r="X192" s="255" t="n"/>
      <c r="Y192" s="255" t="n"/>
      <c r="Z192" s="255" t="n"/>
    </row>
    <row r="193" ht="12.75" customHeight="1">
      <c r="A193" s="333" t="n"/>
      <c r="B193" s="255" t="n"/>
      <c r="C193" s="255" t="n"/>
      <c r="D193" s="255" t="n"/>
      <c r="E193" s="255" t="n"/>
      <c r="F193" s="255" t="n"/>
      <c r="G193" s="255" t="n"/>
      <c r="H193" s="255" t="n"/>
      <c r="I193" s="255" t="n"/>
      <c r="J193" s="255" t="n"/>
      <c r="K193" s="255" t="n"/>
      <c r="L193" s="255" t="n"/>
      <c r="M193" s="255" t="n"/>
      <c r="N193" s="255" t="n"/>
      <c r="O193" s="255" t="n"/>
      <c r="P193" s="255" t="n"/>
      <c r="Q193" s="255" t="n"/>
      <c r="R193" s="255" t="n"/>
      <c r="S193" s="255" t="n"/>
      <c r="T193" s="255" t="n"/>
      <c r="U193" s="255" t="n"/>
      <c r="V193" s="255" t="n"/>
      <c r="W193" s="255" t="n"/>
      <c r="X193" s="255" t="n"/>
      <c r="Y193" s="255" t="n"/>
      <c r="Z193" s="255" t="n"/>
    </row>
    <row r="194" ht="12.75" customHeight="1">
      <c r="A194" s="333" t="n"/>
      <c r="B194" s="255" t="n"/>
      <c r="C194" s="255" t="n"/>
      <c r="D194" s="255" t="n"/>
      <c r="E194" s="255" t="n"/>
      <c r="F194" s="255" t="n"/>
      <c r="G194" s="255" t="n"/>
      <c r="H194" s="255" t="n"/>
      <c r="I194" s="255" t="n"/>
      <c r="J194" s="255" t="n"/>
      <c r="K194" s="255" t="n"/>
      <c r="L194" s="255" t="n"/>
      <c r="M194" s="255" t="n"/>
      <c r="N194" s="255" t="n"/>
      <c r="O194" s="255" t="n"/>
      <c r="P194" s="255" t="n"/>
      <c r="Q194" s="255" t="n"/>
      <c r="R194" s="255" t="n"/>
      <c r="S194" s="255" t="n"/>
      <c r="T194" s="255" t="n"/>
      <c r="U194" s="255" t="n"/>
      <c r="V194" s="255" t="n"/>
      <c r="W194" s="255" t="n"/>
      <c r="X194" s="255" t="n"/>
      <c r="Y194" s="255" t="n"/>
      <c r="Z194" s="255" t="n"/>
    </row>
    <row r="195" ht="12.75" customHeight="1">
      <c r="A195" s="333" t="n"/>
      <c r="B195" s="255" t="n"/>
      <c r="C195" s="255" t="n"/>
      <c r="D195" s="255" t="n"/>
      <c r="E195" s="255" t="n"/>
      <c r="F195" s="255" t="n"/>
      <c r="G195" s="255" t="n"/>
      <c r="H195" s="255" t="n"/>
      <c r="I195" s="255" t="n"/>
      <c r="J195" s="255" t="n"/>
      <c r="K195" s="255" t="n"/>
      <c r="L195" s="255" t="n"/>
      <c r="M195" s="255" t="n"/>
      <c r="N195" s="255" t="n"/>
      <c r="O195" s="255" t="n"/>
      <c r="P195" s="255" t="n"/>
      <c r="Q195" s="255" t="n"/>
      <c r="R195" s="255" t="n"/>
      <c r="S195" s="255" t="n"/>
      <c r="T195" s="255" t="n"/>
      <c r="U195" s="255" t="n"/>
      <c r="V195" s="255" t="n"/>
      <c r="W195" s="255" t="n"/>
      <c r="X195" s="255" t="n"/>
      <c r="Y195" s="255" t="n"/>
      <c r="Z195" s="255" t="n"/>
    </row>
    <row r="196" ht="12.75" customHeight="1">
      <c r="A196" s="333" t="n"/>
      <c r="B196" s="255" t="n"/>
      <c r="C196" s="255" t="n"/>
      <c r="D196" s="255" t="n"/>
      <c r="E196" s="255" t="n"/>
      <c r="F196" s="255" t="n"/>
      <c r="G196" s="255" t="n"/>
      <c r="H196" s="255" t="n"/>
      <c r="I196" s="255" t="n"/>
      <c r="J196" s="255" t="n"/>
      <c r="K196" s="255" t="n"/>
      <c r="L196" s="255" t="n"/>
      <c r="M196" s="255" t="n"/>
      <c r="N196" s="255" t="n"/>
      <c r="O196" s="255" t="n"/>
      <c r="P196" s="255" t="n"/>
      <c r="Q196" s="255" t="n"/>
      <c r="R196" s="255" t="n"/>
      <c r="S196" s="255" t="n"/>
      <c r="T196" s="255" t="n"/>
      <c r="U196" s="255" t="n"/>
      <c r="V196" s="255" t="n"/>
      <c r="W196" s="255" t="n"/>
      <c r="X196" s="255" t="n"/>
      <c r="Y196" s="255" t="n"/>
      <c r="Z196" s="255" t="n"/>
    </row>
    <row r="197" ht="12.75" customHeight="1">
      <c r="A197" s="333" t="n"/>
      <c r="B197" s="255" t="n"/>
      <c r="C197" s="255" t="n"/>
      <c r="D197" s="255" t="n"/>
      <c r="E197" s="255" t="n"/>
      <c r="F197" s="255" t="n"/>
      <c r="G197" s="255" t="n"/>
      <c r="H197" s="255" t="n"/>
      <c r="I197" s="255" t="n"/>
      <c r="J197" s="255" t="n"/>
      <c r="K197" s="255" t="n"/>
      <c r="L197" s="255" t="n"/>
      <c r="M197" s="255" t="n"/>
      <c r="N197" s="255" t="n"/>
      <c r="O197" s="255" t="n"/>
      <c r="P197" s="255" t="n"/>
      <c r="Q197" s="255" t="n"/>
      <c r="R197" s="255" t="n"/>
      <c r="S197" s="255" t="n"/>
      <c r="T197" s="255" t="n"/>
      <c r="U197" s="255" t="n"/>
      <c r="V197" s="255" t="n"/>
      <c r="W197" s="255" t="n"/>
      <c r="X197" s="255" t="n"/>
      <c r="Y197" s="255" t="n"/>
      <c r="Z197" s="255" t="n"/>
    </row>
    <row r="198" ht="12.75" customHeight="1">
      <c r="A198" s="333" t="n"/>
      <c r="B198" s="255" t="n"/>
      <c r="C198" s="255" t="n"/>
      <c r="D198" s="255" t="n"/>
      <c r="E198" s="255" t="n"/>
      <c r="F198" s="255" t="n"/>
      <c r="G198" s="255" t="n"/>
      <c r="H198" s="255" t="n"/>
      <c r="I198" s="255" t="n"/>
      <c r="J198" s="255" t="n"/>
      <c r="K198" s="255" t="n"/>
      <c r="L198" s="255" t="n"/>
      <c r="M198" s="255" t="n"/>
      <c r="N198" s="255" t="n"/>
      <c r="O198" s="255" t="n"/>
      <c r="P198" s="255" t="n"/>
      <c r="Q198" s="255" t="n"/>
      <c r="R198" s="255" t="n"/>
      <c r="S198" s="255" t="n"/>
      <c r="T198" s="255" t="n"/>
      <c r="U198" s="255" t="n"/>
      <c r="V198" s="255" t="n"/>
      <c r="W198" s="255" t="n"/>
      <c r="X198" s="255" t="n"/>
      <c r="Y198" s="255" t="n"/>
      <c r="Z198" s="255" t="n"/>
    </row>
    <row r="199" ht="12.75" customHeight="1">
      <c r="A199" s="333" t="n"/>
      <c r="B199" s="255" t="n"/>
      <c r="C199" s="255" t="n"/>
      <c r="D199" s="255" t="n"/>
      <c r="E199" s="255" t="n"/>
      <c r="F199" s="255" t="n"/>
      <c r="G199" s="255" t="n"/>
      <c r="H199" s="255" t="n"/>
      <c r="I199" s="255" t="n"/>
      <c r="J199" s="255" t="n"/>
      <c r="K199" s="255" t="n"/>
      <c r="L199" s="255" t="n"/>
      <c r="M199" s="255" t="n"/>
      <c r="N199" s="255" t="n"/>
      <c r="O199" s="255" t="n"/>
      <c r="P199" s="255" t="n"/>
      <c r="Q199" s="255" t="n"/>
      <c r="R199" s="255" t="n"/>
      <c r="S199" s="255" t="n"/>
      <c r="T199" s="255" t="n"/>
      <c r="U199" s="255" t="n"/>
      <c r="V199" s="255" t="n"/>
      <c r="W199" s="255" t="n"/>
      <c r="X199" s="255" t="n"/>
      <c r="Y199" s="255" t="n"/>
      <c r="Z199" s="255" t="n"/>
    </row>
    <row r="200" ht="12.75" customHeight="1">
      <c r="A200" s="333" t="n"/>
      <c r="B200" s="255" t="n"/>
      <c r="C200" s="255" t="n"/>
      <c r="D200" s="255" t="n"/>
      <c r="E200" s="255" t="n"/>
      <c r="F200" s="255" t="n"/>
      <c r="G200" s="255" t="n"/>
      <c r="H200" s="255" t="n"/>
      <c r="I200" s="255" t="n"/>
      <c r="J200" s="255" t="n"/>
      <c r="K200" s="255" t="n"/>
      <c r="L200" s="255" t="n"/>
      <c r="M200" s="255" t="n"/>
      <c r="N200" s="255" t="n"/>
      <c r="O200" s="255" t="n"/>
      <c r="P200" s="255" t="n"/>
      <c r="Q200" s="255" t="n"/>
      <c r="R200" s="255" t="n"/>
      <c r="S200" s="255" t="n"/>
      <c r="T200" s="255" t="n"/>
      <c r="U200" s="255" t="n"/>
      <c r="V200" s="255" t="n"/>
      <c r="W200" s="255" t="n"/>
      <c r="X200" s="255" t="n"/>
      <c r="Y200" s="255" t="n"/>
      <c r="Z200" s="255" t="n"/>
    </row>
    <row r="201" ht="12.75" customHeight="1">
      <c r="A201" s="333" t="n"/>
      <c r="B201" s="255" t="n"/>
      <c r="C201" s="255" t="n"/>
      <c r="D201" s="255" t="n"/>
      <c r="E201" s="255" t="n"/>
      <c r="F201" s="255" t="n"/>
      <c r="G201" s="255" t="n"/>
      <c r="H201" s="255" t="n"/>
      <c r="I201" s="255" t="n"/>
      <c r="J201" s="255" t="n"/>
      <c r="K201" s="255" t="n"/>
      <c r="L201" s="255" t="n"/>
      <c r="M201" s="255" t="n"/>
      <c r="N201" s="255" t="n"/>
      <c r="O201" s="255" t="n"/>
      <c r="P201" s="255" t="n"/>
      <c r="Q201" s="255" t="n"/>
      <c r="R201" s="255" t="n"/>
      <c r="S201" s="255" t="n"/>
      <c r="T201" s="255" t="n"/>
      <c r="U201" s="255" t="n"/>
      <c r="V201" s="255" t="n"/>
      <c r="W201" s="255" t="n"/>
      <c r="X201" s="255" t="n"/>
      <c r="Y201" s="255" t="n"/>
      <c r="Z201" s="255" t="n"/>
    </row>
    <row r="202" ht="12.75" customHeight="1">
      <c r="A202" s="333" t="n"/>
      <c r="B202" s="255" t="n"/>
      <c r="C202" s="255" t="n"/>
      <c r="D202" s="255" t="n"/>
      <c r="E202" s="255" t="n"/>
      <c r="F202" s="255" t="n"/>
      <c r="G202" s="255" t="n"/>
      <c r="H202" s="255" t="n"/>
      <c r="I202" s="255" t="n"/>
      <c r="J202" s="255" t="n"/>
      <c r="K202" s="255" t="n"/>
      <c r="L202" s="255" t="n"/>
      <c r="M202" s="255" t="n"/>
      <c r="N202" s="255" t="n"/>
      <c r="O202" s="255" t="n"/>
      <c r="P202" s="255" t="n"/>
      <c r="Q202" s="255" t="n"/>
      <c r="R202" s="255" t="n"/>
      <c r="S202" s="255" t="n"/>
      <c r="T202" s="255" t="n"/>
      <c r="U202" s="255" t="n"/>
      <c r="V202" s="255" t="n"/>
      <c r="W202" s="255" t="n"/>
      <c r="X202" s="255" t="n"/>
      <c r="Y202" s="255" t="n"/>
      <c r="Z202" s="255" t="n"/>
    </row>
    <row r="203" ht="12.75" customHeight="1">
      <c r="A203" s="333" t="n"/>
      <c r="B203" s="255" t="n"/>
      <c r="C203" s="255" t="n"/>
      <c r="D203" s="255" t="n"/>
      <c r="E203" s="255" t="n"/>
      <c r="F203" s="255" t="n"/>
      <c r="G203" s="255" t="n"/>
      <c r="H203" s="255" t="n"/>
      <c r="I203" s="255" t="n"/>
      <c r="J203" s="255" t="n"/>
      <c r="K203" s="255" t="n"/>
      <c r="L203" s="255" t="n"/>
      <c r="M203" s="255" t="n"/>
      <c r="N203" s="255" t="n"/>
      <c r="O203" s="255" t="n"/>
      <c r="P203" s="255" t="n"/>
      <c r="Q203" s="255" t="n"/>
      <c r="R203" s="255" t="n"/>
      <c r="S203" s="255" t="n"/>
      <c r="T203" s="255" t="n"/>
      <c r="U203" s="255" t="n"/>
      <c r="V203" s="255" t="n"/>
      <c r="W203" s="255" t="n"/>
      <c r="X203" s="255" t="n"/>
      <c r="Y203" s="255" t="n"/>
      <c r="Z203" s="255" t="n"/>
    </row>
    <row r="204" ht="12.75" customHeight="1">
      <c r="A204" s="333" t="n"/>
      <c r="B204" s="255" t="n"/>
      <c r="C204" s="255" t="n"/>
      <c r="D204" s="255" t="n"/>
      <c r="E204" s="255" t="n"/>
      <c r="F204" s="255" t="n"/>
      <c r="G204" s="255" t="n"/>
      <c r="H204" s="255" t="n"/>
      <c r="I204" s="255" t="n"/>
      <c r="J204" s="255" t="n"/>
      <c r="K204" s="255" t="n"/>
      <c r="L204" s="255" t="n"/>
      <c r="M204" s="255" t="n"/>
      <c r="N204" s="255" t="n"/>
      <c r="O204" s="255" t="n"/>
      <c r="P204" s="255" t="n"/>
      <c r="Q204" s="255" t="n"/>
      <c r="R204" s="255" t="n"/>
      <c r="S204" s="255" t="n"/>
      <c r="T204" s="255" t="n"/>
      <c r="U204" s="255" t="n"/>
      <c r="V204" s="255" t="n"/>
      <c r="W204" s="255" t="n"/>
      <c r="X204" s="255" t="n"/>
      <c r="Y204" s="255" t="n"/>
      <c r="Z204" s="255" t="n"/>
    </row>
    <row r="205" ht="12.75" customHeight="1">
      <c r="A205" s="333" t="n"/>
      <c r="B205" s="255" t="n"/>
      <c r="C205" s="255" t="n"/>
      <c r="D205" s="255" t="n"/>
      <c r="E205" s="255" t="n"/>
      <c r="F205" s="255" t="n"/>
      <c r="G205" s="255" t="n"/>
      <c r="H205" s="255" t="n"/>
      <c r="I205" s="255" t="n"/>
      <c r="J205" s="255" t="n"/>
      <c r="K205" s="255" t="n"/>
      <c r="L205" s="255" t="n"/>
      <c r="M205" s="255" t="n"/>
      <c r="N205" s="255" t="n"/>
      <c r="O205" s="255" t="n"/>
      <c r="P205" s="255" t="n"/>
      <c r="Q205" s="255" t="n"/>
      <c r="R205" s="255" t="n"/>
      <c r="S205" s="255" t="n"/>
      <c r="T205" s="255" t="n"/>
      <c r="U205" s="255" t="n"/>
      <c r="V205" s="255" t="n"/>
      <c r="W205" s="255" t="n"/>
      <c r="X205" s="255" t="n"/>
      <c r="Y205" s="255" t="n"/>
      <c r="Z205" s="255" t="n"/>
    </row>
    <row r="206" ht="12.75" customHeight="1">
      <c r="A206" s="333" t="n"/>
      <c r="B206" s="255" t="n"/>
      <c r="C206" s="255" t="n"/>
      <c r="D206" s="255" t="n"/>
      <c r="E206" s="255" t="n"/>
      <c r="F206" s="255" t="n"/>
      <c r="G206" s="255" t="n"/>
      <c r="H206" s="255" t="n"/>
      <c r="I206" s="255" t="n"/>
      <c r="J206" s="255" t="n"/>
      <c r="K206" s="255" t="n"/>
      <c r="L206" s="255" t="n"/>
      <c r="M206" s="255" t="n"/>
      <c r="N206" s="255" t="n"/>
      <c r="O206" s="255" t="n"/>
      <c r="P206" s="255" t="n"/>
      <c r="Q206" s="255" t="n"/>
      <c r="R206" s="255" t="n"/>
      <c r="S206" s="255" t="n"/>
      <c r="T206" s="255" t="n"/>
      <c r="U206" s="255" t="n"/>
      <c r="V206" s="255" t="n"/>
      <c r="W206" s="255" t="n"/>
      <c r="X206" s="255" t="n"/>
      <c r="Y206" s="255" t="n"/>
      <c r="Z206" s="255" t="n"/>
    </row>
    <row r="207" ht="12.75" customHeight="1">
      <c r="A207" s="333" t="n"/>
      <c r="B207" s="255" t="n"/>
      <c r="C207" s="255" t="n"/>
      <c r="D207" s="255" t="n"/>
      <c r="E207" s="255" t="n"/>
      <c r="F207" s="255" t="n"/>
      <c r="G207" s="255" t="n"/>
      <c r="H207" s="255" t="n"/>
      <c r="I207" s="255" t="n"/>
      <c r="J207" s="255" t="n"/>
      <c r="K207" s="255" t="n"/>
      <c r="L207" s="255" t="n"/>
      <c r="M207" s="255" t="n"/>
      <c r="N207" s="255" t="n"/>
      <c r="O207" s="255" t="n"/>
      <c r="P207" s="255" t="n"/>
      <c r="Q207" s="255" t="n"/>
      <c r="R207" s="255" t="n"/>
      <c r="S207" s="255" t="n"/>
      <c r="T207" s="255" t="n"/>
      <c r="U207" s="255" t="n"/>
      <c r="V207" s="255" t="n"/>
      <c r="W207" s="255" t="n"/>
      <c r="X207" s="255" t="n"/>
      <c r="Y207" s="255" t="n"/>
      <c r="Z207" s="255" t="n"/>
    </row>
    <row r="208" ht="12.75" customHeight="1">
      <c r="A208" s="333" t="n"/>
      <c r="B208" s="255" t="n"/>
      <c r="C208" s="255" t="n"/>
      <c r="D208" s="255" t="n"/>
      <c r="E208" s="255" t="n"/>
      <c r="F208" s="255" t="n"/>
      <c r="G208" s="255" t="n"/>
      <c r="H208" s="255" t="n"/>
      <c r="I208" s="255" t="n"/>
      <c r="J208" s="255" t="n"/>
      <c r="K208" s="255" t="n"/>
      <c r="L208" s="255" t="n"/>
      <c r="M208" s="255" t="n"/>
      <c r="N208" s="255" t="n"/>
      <c r="O208" s="255" t="n"/>
      <c r="P208" s="255" t="n"/>
      <c r="Q208" s="255" t="n"/>
      <c r="R208" s="255" t="n"/>
      <c r="S208" s="255" t="n"/>
      <c r="T208" s="255" t="n"/>
      <c r="U208" s="255" t="n"/>
      <c r="V208" s="255" t="n"/>
      <c r="W208" s="255" t="n"/>
      <c r="X208" s="255" t="n"/>
      <c r="Y208" s="255" t="n"/>
      <c r="Z208" s="255" t="n"/>
    </row>
    <row r="209" ht="12.75" customHeight="1">
      <c r="A209" s="333" t="n"/>
      <c r="B209" s="255" t="n"/>
      <c r="C209" s="255" t="n"/>
      <c r="D209" s="255" t="n"/>
      <c r="E209" s="255" t="n"/>
      <c r="F209" s="255" t="n"/>
      <c r="G209" s="255" t="n"/>
      <c r="H209" s="255" t="n"/>
      <c r="I209" s="255" t="n"/>
      <c r="J209" s="255" t="n"/>
      <c r="K209" s="255" t="n"/>
      <c r="L209" s="255" t="n"/>
      <c r="M209" s="255" t="n"/>
      <c r="N209" s="255" t="n"/>
      <c r="O209" s="255" t="n"/>
      <c r="P209" s="255" t="n"/>
      <c r="Q209" s="255" t="n"/>
      <c r="R209" s="255" t="n"/>
      <c r="S209" s="255" t="n"/>
      <c r="T209" s="255" t="n"/>
      <c r="U209" s="255" t="n"/>
      <c r="V209" s="255" t="n"/>
      <c r="W209" s="255" t="n"/>
      <c r="X209" s="255" t="n"/>
      <c r="Y209" s="255" t="n"/>
      <c r="Z209" s="255" t="n"/>
    </row>
    <row r="210" ht="12.75" customHeight="1">
      <c r="A210" s="333" t="n"/>
      <c r="B210" s="255" t="n"/>
      <c r="C210" s="255" t="n"/>
      <c r="D210" s="255" t="n"/>
      <c r="E210" s="255" t="n"/>
      <c r="F210" s="255" t="n"/>
      <c r="G210" s="255" t="n"/>
      <c r="H210" s="255" t="n"/>
      <c r="I210" s="255" t="n"/>
      <c r="J210" s="255" t="n"/>
      <c r="K210" s="255" t="n"/>
      <c r="L210" s="255" t="n"/>
      <c r="M210" s="255" t="n"/>
      <c r="N210" s="255" t="n"/>
      <c r="O210" s="255" t="n"/>
      <c r="P210" s="255" t="n"/>
      <c r="Q210" s="255" t="n"/>
      <c r="R210" s="255" t="n"/>
      <c r="S210" s="255" t="n"/>
      <c r="T210" s="255" t="n"/>
      <c r="U210" s="255" t="n"/>
      <c r="V210" s="255" t="n"/>
      <c r="W210" s="255" t="n"/>
      <c r="X210" s="255" t="n"/>
      <c r="Y210" s="255" t="n"/>
      <c r="Z210" s="255" t="n"/>
    </row>
    <row r="211" ht="12.75" customHeight="1">
      <c r="A211" s="333" t="n"/>
      <c r="B211" s="255" t="n"/>
      <c r="C211" s="255" t="n"/>
      <c r="D211" s="255" t="n"/>
      <c r="E211" s="255" t="n"/>
      <c r="F211" s="255" t="n"/>
      <c r="G211" s="255" t="n"/>
      <c r="H211" s="255" t="n"/>
      <c r="I211" s="255" t="n"/>
      <c r="J211" s="255" t="n"/>
      <c r="K211" s="255" t="n"/>
      <c r="L211" s="255" t="n"/>
      <c r="M211" s="255" t="n"/>
      <c r="N211" s="255" t="n"/>
      <c r="O211" s="255" t="n"/>
      <c r="P211" s="255" t="n"/>
      <c r="Q211" s="255" t="n"/>
      <c r="R211" s="255" t="n"/>
      <c r="S211" s="255" t="n"/>
      <c r="T211" s="255" t="n"/>
      <c r="U211" s="255" t="n"/>
      <c r="V211" s="255" t="n"/>
      <c r="W211" s="255" t="n"/>
      <c r="X211" s="255" t="n"/>
      <c r="Y211" s="255" t="n"/>
      <c r="Z211" s="255" t="n"/>
    </row>
    <row r="212" ht="12.75" customHeight="1">
      <c r="A212" s="333" t="n"/>
      <c r="B212" s="255" t="n"/>
      <c r="C212" s="255" t="n"/>
      <c r="D212" s="255" t="n"/>
      <c r="E212" s="255" t="n"/>
      <c r="F212" s="255" t="n"/>
      <c r="G212" s="255" t="n"/>
      <c r="H212" s="255" t="n"/>
      <c r="I212" s="255" t="n"/>
      <c r="J212" s="255" t="n"/>
      <c r="K212" s="255" t="n"/>
      <c r="L212" s="255" t="n"/>
      <c r="M212" s="255" t="n"/>
      <c r="N212" s="255" t="n"/>
      <c r="O212" s="255" t="n"/>
      <c r="P212" s="255" t="n"/>
      <c r="Q212" s="255" t="n"/>
      <c r="R212" s="255" t="n"/>
      <c r="S212" s="255" t="n"/>
      <c r="T212" s="255" t="n"/>
      <c r="U212" s="255" t="n"/>
      <c r="V212" s="255" t="n"/>
      <c r="W212" s="255" t="n"/>
      <c r="X212" s="255" t="n"/>
      <c r="Y212" s="255" t="n"/>
      <c r="Z212" s="255" t="n"/>
    </row>
    <row r="213" ht="12.75" customHeight="1">
      <c r="A213" s="333" t="n"/>
      <c r="B213" s="255" t="n"/>
      <c r="C213" s="255" t="n"/>
      <c r="D213" s="255" t="n"/>
      <c r="E213" s="255" t="n"/>
      <c r="F213" s="255" t="n"/>
      <c r="G213" s="255" t="n"/>
      <c r="H213" s="255" t="n"/>
      <c r="I213" s="255" t="n"/>
      <c r="J213" s="255" t="n"/>
      <c r="K213" s="255" t="n"/>
      <c r="L213" s="255" t="n"/>
      <c r="M213" s="255" t="n"/>
      <c r="N213" s="255" t="n"/>
      <c r="O213" s="255" t="n"/>
      <c r="P213" s="255" t="n"/>
      <c r="Q213" s="255" t="n"/>
      <c r="R213" s="255" t="n"/>
      <c r="S213" s="255" t="n"/>
      <c r="T213" s="255" t="n"/>
      <c r="U213" s="255" t="n"/>
      <c r="V213" s="255" t="n"/>
      <c r="W213" s="255" t="n"/>
      <c r="X213" s="255" t="n"/>
      <c r="Y213" s="255" t="n"/>
      <c r="Z213" s="255" t="n"/>
    </row>
    <row r="214" ht="12.75" customHeight="1">
      <c r="A214" s="333" t="n"/>
      <c r="B214" s="255" t="n"/>
      <c r="C214" s="255" t="n"/>
      <c r="D214" s="255" t="n"/>
      <c r="E214" s="255" t="n"/>
      <c r="F214" s="255" t="n"/>
      <c r="G214" s="255" t="n"/>
      <c r="H214" s="255" t="n"/>
      <c r="I214" s="255" t="n"/>
      <c r="J214" s="255" t="n"/>
      <c r="K214" s="255" t="n"/>
      <c r="L214" s="255" t="n"/>
      <c r="M214" s="255" t="n"/>
      <c r="N214" s="255" t="n"/>
      <c r="O214" s="255" t="n"/>
      <c r="P214" s="255" t="n"/>
      <c r="Q214" s="255" t="n"/>
      <c r="R214" s="255" t="n"/>
      <c r="S214" s="255" t="n"/>
      <c r="T214" s="255" t="n"/>
      <c r="U214" s="255" t="n"/>
      <c r="V214" s="255" t="n"/>
      <c r="W214" s="255" t="n"/>
      <c r="X214" s="255" t="n"/>
      <c r="Y214" s="255" t="n"/>
      <c r="Z214" s="255" t="n"/>
    </row>
    <row r="215" ht="12.75" customHeight="1">
      <c r="A215" s="333" t="n"/>
      <c r="B215" s="255" t="n"/>
      <c r="C215" s="255" t="n"/>
      <c r="D215" s="255" t="n"/>
      <c r="E215" s="255" t="n"/>
      <c r="F215" s="255" t="n"/>
      <c r="G215" s="255" t="n"/>
      <c r="H215" s="255" t="n"/>
      <c r="I215" s="255" t="n"/>
      <c r="J215" s="255" t="n"/>
      <c r="K215" s="255" t="n"/>
      <c r="L215" s="255" t="n"/>
      <c r="M215" s="255" t="n"/>
      <c r="N215" s="255" t="n"/>
      <c r="O215" s="255" t="n"/>
      <c r="P215" s="255" t="n"/>
      <c r="Q215" s="255" t="n"/>
      <c r="R215" s="255" t="n"/>
      <c r="S215" s="255" t="n"/>
      <c r="T215" s="255" t="n"/>
      <c r="U215" s="255" t="n"/>
      <c r="V215" s="255" t="n"/>
      <c r="W215" s="255" t="n"/>
      <c r="X215" s="255" t="n"/>
      <c r="Y215" s="255" t="n"/>
      <c r="Z215" s="255" t="n"/>
    </row>
    <row r="216" ht="12.75" customHeight="1">
      <c r="A216" s="333" t="n"/>
      <c r="B216" s="255" t="n"/>
      <c r="C216" s="255" t="n"/>
      <c r="D216" s="255" t="n"/>
      <c r="E216" s="255" t="n"/>
      <c r="F216" s="255" t="n"/>
      <c r="G216" s="255" t="n"/>
      <c r="H216" s="255" t="n"/>
      <c r="I216" s="255" t="n"/>
      <c r="J216" s="255" t="n"/>
      <c r="K216" s="255" t="n"/>
      <c r="L216" s="255" t="n"/>
      <c r="M216" s="255" t="n"/>
      <c r="N216" s="255" t="n"/>
      <c r="O216" s="255" t="n"/>
      <c r="P216" s="255" t="n"/>
      <c r="Q216" s="255" t="n"/>
      <c r="R216" s="255" t="n"/>
      <c r="S216" s="255" t="n"/>
      <c r="T216" s="255" t="n"/>
      <c r="U216" s="255" t="n"/>
      <c r="V216" s="255" t="n"/>
      <c r="W216" s="255" t="n"/>
      <c r="X216" s="255" t="n"/>
      <c r="Y216" s="255" t="n"/>
      <c r="Z216" s="255" t="n"/>
    </row>
    <row r="217" ht="12.75" customHeight="1">
      <c r="A217" s="333" t="n"/>
      <c r="B217" s="255" t="n"/>
      <c r="C217" s="255" t="n"/>
      <c r="D217" s="255" t="n"/>
      <c r="E217" s="255" t="n"/>
      <c r="F217" s="255" t="n"/>
      <c r="G217" s="255" t="n"/>
      <c r="H217" s="255" t="n"/>
      <c r="I217" s="255" t="n"/>
      <c r="J217" s="255" t="n"/>
      <c r="K217" s="255" t="n"/>
      <c r="L217" s="255" t="n"/>
      <c r="M217" s="255" t="n"/>
      <c r="N217" s="255" t="n"/>
      <c r="O217" s="255" t="n"/>
      <c r="P217" s="255" t="n"/>
      <c r="Q217" s="255" t="n"/>
      <c r="R217" s="255" t="n"/>
      <c r="S217" s="255" t="n"/>
      <c r="T217" s="255" t="n"/>
      <c r="U217" s="255" t="n"/>
      <c r="V217" s="255" t="n"/>
      <c r="W217" s="255" t="n"/>
      <c r="X217" s="255" t="n"/>
      <c r="Y217" s="255" t="n"/>
      <c r="Z217" s="255" t="n"/>
    </row>
    <row r="218" ht="12.75" customHeight="1">
      <c r="A218" s="333" t="n"/>
      <c r="B218" s="255" t="n"/>
      <c r="C218" s="255" t="n"/>
      <c r="D218" s="255" t="n"/>
      <c r="E218" s="255" t="n"/>
      <c r="F218" s="255" t="n"/>
      <c r="G218" s="255" t="n"/>
      <c r="H218" s="255" t="n"/>
      <c r="I218" s="255" t="n"/>
      <c r="J218" s="255" t="n"/>
      <c r="K218" s="255" t="n"/>
      <c r="L218" s="255" t="n"/>
      <c r="M218" s="255" t="n"/>
      <c r="N218" s="255" t="n"/>
      <c r="O218" s="255" t="n"/>
      <c r="P218" s="255" t="n"/>
      <c r="Q218" s="255" t="n"/>
      <c r="R218" s="255" t="n"/>
      <c r="S218" s="255" t="n"/>
      <c r="T218" s="255" t="n"/>
      <c r="U218" s="255" t="n"/>
      <c r="V218" s="255" t="n"/>
      <c r="W218" s="255" t="n"/>
      <c r="X218" s="255" t="n"/>
      <c r="Y218" s="255" t="n"/>
      <c r="Z218" s="255" t="n"/>
    </row>
    <row r="219" ht="12.75" customHeight="1">
      <c r="A219" s="333" t="n"/>
      <c r="B219" s="255" t="n"/>
      <c r="C219" s="255" t="n"/>
      <c r="D219" s="255" t="n"/>
      <c r="E219" s="255" t="n"/>
      <c r="F219" s="255" t="n"/>
      <c r="G219" s="255" t="n"/>
      <c r="H219" s="255" t="n"/>
      <c r="I219" s="255" t="n"/>
      <c r="J219" s="255" t="n"/>
      <c r="K219" s="255" t="n"/>
      <c r="L219" s="255" t="n"/>
      <c r="M219" s="255" t="n"/>
      <c r="N219" s="255" t="n"/>
      <c r="O219" s="255" t="n"/>
      <c r="P219" s="255" t="n"/>
      <c r="Q219" s="255" t="n"/>
      <c r="R219" s="255" t="n"/>
      <c r="S219" s="255" t="n"/>
      <c r="T219" s="255" t="n"/>
      <c r="U219" s="255" t="n"/>
      <c r="V219" s="255" t="n"/>
      <c r="W219" s="255" t="n"/>
      <c r="X219" s="255" t="n"/>
      <c r="Y219" s="255" t="n"/>
      <c r="Z219" s="255" t="n"/>
    </row>
    <row r="220" ht="12.75" customHeight="1">
      <c r="A220" s="333" t="n"/>
      <c r="B220" s="255" t="n"/>
      <c r="C220" s="255" t="n"/>
      <c r="D220" s="255" t="n"/>
      <c r="E220" s="255" t="n"/>
      <c r="F220" s="255" t="n"/>
      <c r="G220" s="255" t="n"/>
      <c r="H220" s="255" t="n"/>
      <c r="I220" s="255" t="n"/>
      <c r="J220" s="255" t="n"/>
      <c r="K220" s="255" t="n"/>
      <c r="L220" s="255" t="n"/>
      <c r="M220" s="255" t="n"/>
      <c r="N220" s="255" t="n"/>
      <c r="O220" s="255" t="n"/>
      <c r="P220" s="255" t="n"/>
      <c r="Q220" s="255" t="n"/>
      <c r="R220" s="255" t="n"/>
      <c r="S220" s="255" t="n"/>
      <c r="T220" s="255" t="n"/>
      <c r="U220" s="255" t="n"/>
      <c r="V220" s="255" t="n"/>
      <c r="W220" s="255" t="n"/>
      <c r="X220" s="255" t="n"/>
      <c r="Y220" s="255" t="n"/>
      <c r="Z220" s="255" t="n"/>
    </row>
    <row r="221" ht="12.75" customHeight="1">
      <c r="A221" s="333" t="n"/>
      <c r="B221" s="255" t="n"/>
      <c r="C221" s="255" t="n"/>
      <c r="D221" s="255" t="n"/>
      <c r="E221" s="255" t="n"/>
      <c r="F221" s="255" t="n"/>
      <c r="G221" s="255" t="n"/>
      <c r="H221" s="255" t="n"/>
      <c r="I221" s="255" t="n"/>
      <c r="J221" s="255" t="n"/>
      <c r="K221" s="255" t="n"/>
      <c r="L221" s="255" t="n"/>
      <c r="M221" s="255" t="n"/>
      <c r="N221" s="255" t="n"/>
      <c r="O221" s="255" t="n"/>
      <c r="P221" s="255" t="n"/>
      <c r="Q221" s="255" t="n"/>
      <c r="R221" s="255" t="n"/>
      <c r="S221" s="255" t="n"/>
      <c r="T221" s="255" t="n"/>
      <c r="U221" s="255" t="n"/>
      <c r="V221" s="255" t="n"/>
      <c r="W221" s="255" t="n"/>
      <c r="X221" s="255" t="n"/>
      <c r="Y221" s="255" t="n"/>
      <c r="Z221" s="255" t="n"/>
    </row>
    <row r="222" ht="12.75" customHeight="1">
      <c r="A222" s="333" t="n"/>
      <c r="B222" s="255" t="n"/>
      <c r="C222" s="255" t="n"/>
      <c r="D222" s="255" t="n"/>
      <c r="E222" s="255" t="n"/>
      <c r="F222" s="255" t="n"/>
      <c r="G222" s="255" t="n"/>
      <c r="H222" s="255" t="n"/>
      <c r="I222" s="255" t="n"/>
      <c r="J222" s="255" t="n"/>
      <c r="K222" s="255" t="n"/>
      <c r="L222" s="255" t="n"/>
      <c r="M222" s="255" t="n"/>
      <c r="N222" s="255" t="n"/>
      <c r="O222" s="255" t="n"/>
      <c r="P222" s="255" t="n"/>
      <c r="Q222" s="255" t="n"/>
      <c r="R222" s="255" t="n"/>
      <c r="S222" s="255" t="n"/>
      <c r="T222" s="255" t="n"/>
      <c r="U222" s="255" t="n"/>
      <c r="V222" s="255" t="n"/>
      <c r="W222" s="255" t="n"/>
      <c r="X222" s="255" t="n"/>
      <c r="Y222" s="255" t="n"/>
      <c r="Z222" s="255" t="n"/>
    </row>
    <row r="223" ht="12.75" customHeight="1">
      <c r="A223" s="333" t="n"/>
      <c r="B223" s="255" t="n"/>
      <c r="C223" s="255" t="n"/>
      <c r="D223" s="255" t="n"/>
      <c r="E223" s="255" t="n"/>
      <c r="F223" s="255" t="n"/>
      <c r="G223" s="255" t="n"/>
      <c r="H223" s="255" t="n"/>
      <c r="I223" s="255" t="n"/>
      <c r="J223" s="255" t="n"/>
      <c r="K223" s="255" t="n"/>
      <c r="L223" s="255" t="n"/>
      <c r="M223" s="255" t="n"/>
      <c r="N223" s="255" t="n"/>
      <c r="O223" s="255" t="n"/>
      <c r="P223" s="255" t="n"/>
      <c r="Q223" s="255" t="n"/>
      <c r="R223" s="255" t="n"/>
      <c r="S223" s="255" t="n"/>
      <c r="T223" s="255" t="n"/>
      <c r="U223" s="255" t="n"/>
      <c r="V223" s="255" t="n"/>
      <c r="W223" s="255" t="n"/>
      <c r="X223" s="255" t="n"/>
      <c r="Y223" s="255" t="n"/>
      <c r="Z223" s="255" t="n"/>
    </row>
    <row r="224" ht="12.75" customHeight="1">
      <c r="A224" s="333" t="n"/>
      <c r="B224" s="255" t="n"/>
      <c r="C224" s="255" t="n"/>
      <c r="D224" s="255" t="n"/>
      <c r="E224" s="255" t="n"/>
      <c r="F224" s="255" t="n"/>
      <c r="G224" s="255" t="n"/>
      <c r="H224" s="255" t="n"/>
      <c r="I224" s="255" t="n"/>
      <c r="J224" s="255" t="n"/>
      <c r="K224" s="255" t="n"/>
      <c r="L224" s="255" t="n"/>
      <c r="M224" s="255" t="n"/>
      <c r="N224" s="255" t="n"/>
      <c r="O224" s="255" t="n"/>
      <c r="P224" s="255" t="n"/>
      <c r="Q224" s="255" t="n"/>
      <c r="R224" s="255" t="n"/>
      <c r="S224" s="255" t="n"/>
      <c r="T224" s="255" t="n"/>
      <c r="U224" s="255" t="n"/>
      <c r="V224" s="255" t="n"/>
      <c r="W224" s="255" t="n"/>
      <c r="X224" s="255" t="n"/>
      <c r="Y224" s="255" t="n"/>
      <c r="Z224" s="255" t="n"/>
    </row>
    <row r="225" ht="12.75" customHeight="1">
      <c r="A225" s="333" t="n"/>
      <c r="B225" s="255" t="n"/>
      <c r="C225" s="255" t="n"/>
      <c r="D225" s="255" t="n"/>
      <c r="E225" s="255" t="n"/>
      <c r="F225" s="255" t="n"/>
      <c r="G225" s="255" t="n"/>
      <c r="H225" s="255" t="n"/>
      <c r="I225" s="255" t="n"/>
      <c r="J225" s="255" t="n"/>
      <c r="K225" s="255" t="n"/>
      <c r="L225" s="255" t="n"/>
      <c r="M225" s="255" t="n"/>
      <c r="N225" s="255" t="n"/>
      <c r="O225" s="255" t="n"/>
      <c r="P225" s="255" t="n"/>
      <c r="Q225" s="255" t="n"/>
      <c r="R225" s="255" t="n"/>
      <c r="S225" s="255" t="n"/>
      <c r="T225" s="255" t="n"/>
      <c r="U225" s="255" t="n"/>
      <c r="V225" s="255" t="n"/>
      <c r="W225" s="255" t="n"/>
      <c r="X225" s="255" t="n"/>
      <c r="Y225" s="255" t="n"/>
      <c r="Z225" s="255" t="n"/>
    </row>
    <row r="226" ht="12.75" customHeight="1">
      <c r="A226" s="333" t="n"/>
      <c r="B226" s="255" t="n"/>
      <c r="C226" s="255" t="n"/>
      <c r="D226" s="255" t="n"/>
      <c r="E226" s="255" t="n"/>
      <c r="F226" s="255" t="n"/>
      <c r="G226" s="255" t="n"/>
      <c r="H226" s="255" t="n"/>
      <c r="I226" s="255" t="n"/>
      <c r="J226" s="255" t="n"/>
      <c r="K226" s="255" t="n"/>
      <c r="L226" s="255" t="n"/>
      <c r="M226" s="255" t="n"/>
      <c r="N226" s="255" t="n"/>
      <c r="O226" s="255" t="n"/>
      <c r="P226" s="255" t="n"/>
      <c r="Q226" s="255" t="n"/>
      <c r="R226" s="255" t="n"/>
      <c r="S226" s="255" t="n"/>
      <c r="T226" s="255" t="n"/>
      <c r="U226" s="255" t="n"/>
      <c r="V226" s="255" t="n"/>
      <c r="W226" s="255" t="n"/>
      <c r="X226" s="255" t="n"/>
      <c r="Y226" s="255" t="n"/>
      <c r="Z226" s="255" t="n"/>
    </row>
    <row r="227" ht="12.75" customHeight="1">
      <c r="A227" s="333" t="n"/>
      <c r="B227" s="255" t="n"/>
      <c r="C227" s="255" t="n"/>
      <c r="D227" s="255" t="n"/>
      <c r="E227" s="255" t="n"/>
      <c r="F227" s="255" t="n"/>
      <c r="G227" s="255" t="n"/>
      <c r="H227" s="255" t="n"/>
      <c r="I227" s="255" t="n"/>
      <c r="J227" s="255" t="n"/>
      <c r="K227" s="255" t="n"/>
      <c r="L227" s="255" t="n"/>
      <c r="M227" s="255" t="n"/>
      <c r="N227" s="255" t="n"/>
      <c r="O227" s="255" t="n"/>
      <c r="P227" s="255" t="n"/>
      <c r="Q227" s="255" t="n"/>
      <c r="R227" s="255" t="n"/>
      <c r="S227" s="255" t="n"/>
      <c r="T227" s="255" t="n"/>
      <c r="U227" s="255" t="n"/>
      <c r="V227" s="255" t="n"/>
      <c r="W227" s="255" t="n"/>
      <c r="X227" s="255" t="n"/>
      <c r="Y227" s="255" t="n"/>
      <c r="Z227" s="255" t="n"/>
    </row>
    <row r="228" ht="12.75" customHeight="1">
      <c r="A228" s="333" t="n"/>
      <c r="B228" s="255" t="n"/>
      <c r="C228" s="255" t="n"/>
      <c r="D228" s="255" t="n"/>
      <c r="E228" s="255" t="n"/>
      <c r="F228" s="255" t="n"/>
      <c r="G228" s="255" t="n"/>
      <c r="H228" s="255" t="n"/>
      <c r="I228" s="255" t="n"/>
      <c r="J228" s="255" t="n"/>
      <c r="K228" s="255" t="n"/>
      <c r="L228" s="255" t="n"/>
      <c r="M228" s="255" t="n"/>
      <c r="N228" s="255" t="n"/>
      <c r="O228" s="255" t="n"/>
      <c r="P228" s="255" t="n"/>
      <c r="Q228" s="255" t="n"/>
      <c r="R228" s="255" t="n"/>
      <c r="S228" s="255" t="n"/>
      <c r="T228" s="255" t="n"/>
      <c r="U228" s="255" t="n"/>
      <c r="V228" s="255" t="n"/>
      <c r="W228" s="255" t="n"/>
      <c r="X228" s="255" t="n"/>
      <c r="Y228" s="255" t="n"/>
      <c r="Z228" s="255" t="n"/>
    </row>
    <row r="229" ht="12.75" customHeight="1">
      <c r="A229" s="333" t="n"/>
      <c r="B229" s="255" t="n"/>
      <c r="C229" s="255" t="n"/>
      <c r="D229" s="255" t="n"/>
      <c r="E229" s="255" t="n"/>
      <c r="F229" s="255" t="n"/>
      <c r="G229" s="255" t="n"/>
      <c r="H229" s="255" t="n"/>
      <c r="I229" s="255" t="n"/>
      <c r="J229" s="255" t="n"/>
      <c r="K229" s="255" t="n"/>
      <c r="L229" s="255" t="n"/>
      <c r="M229" s="255" t="n"/>
      <c r="N229" s="255" t="n"/>
      <c r="O229" s="255" t="n"/>
      <c r="P229" s="255" t="n"/>
      <c r="Q229" s="255" t="n"/>
      <c r="R229" s="255" t="n"/>
      <c r="S229" s="255" t="n"/>
      <c r="T229" s="255" t="n"/>
      <c r="U229" s="255" t="n"/>
      <c r="V229" s="255" t="n"/>
      <c r="W229" s="255" t="n"/>
      <c r="X229" s="255" t="n"/>
      <c r="Y229" s="255" t="n"/>
      <c r="Z229" s="255" t="n"/>
    </row>
    <row r="230" ht="12.75" customHeight="1">
      <c r="A230" s="333" t="n"/>
      <c r="B230" s="255" t="n"/>
      <c r="C230" s="255" t="n"/>
      <c r="D230" s="255" t="n"/>
      <c r="E230" s="255" t="n"/>
      <c r="F230" s="255" t="n"/>
      <c r="G230" s="255" t="n"/>
      <c r="H230" s="255" t="n"/>
      <c r="I230" s="255" t="n"/>
      <c r="J230" s="255" t="n"/>
      <c r="K230" s="255" t="n"/>
      <c r="L230" s="255" t="n"/>
      <c r="M230" s="255" t="n"/>
      <c r="N230" s="255" t="n"/>
      <c r="O230" s="255" t="n"/>
      <c r="P230" s="255" t="n"/>
      <c r="Q230" s="255" t="n"/>
      <c r="R230" s="255" t="n"/>
      <c r="S230" s="255" t="n"/>
      <c r="T230" s="255" t="n"/>
      <c r="U230" s="255" t="n"/>
      <c r="V230" s="255" t="n"/>
      <c r="W230" s="255" t="n"/>
      <c r="X230" s="255" t="n"/>
      <c r="Y230" s="255" t="n"/>
      <c r="Z230" s="255" t="n"/>
    </row>
    <row r="231" ht="12.75" customHeight="1">
      <c r="A231" s="333" t="n"/>
      <c r="B231" s="255" t="n"/>
      <c r="C231" s="255" t="n"/>
      <c r="D231" s="255" t="n"/>
      <c r="E231" s="255" t="n"/>
      <c r="F231" s="255" t="n"/>
      <c r="G231" s="255" t="n"/>
      <c r="H231" s="255" t="n"/>
      <c r="I231" s="255" t="n"/>
      <c r="J231" s="255" t="n"/>
      <c r="K231" s="255" t="n"/>
      <c r="L231" s="255" t="n"/>
      <c r="M231" s="255" t="n"/>
      <c r="N231" s="255" t="n"/>
      <c r="O231" s="255" t="n"/>
      <c r="P231" s="255" t="n"/>
      <c r="Q231" s="255" t="n"/>
      <c r="R231" s="255" t="n"/>
      <c r="S231" s="255" t="n"/>
      <c r="T231" s="255" t="n"/>
      <c r="U231" s="255" t="n"/>
      <c r="V231" s="255" t="n"/>
      <c r="W231" s="255" t="n"/>
      <c r="X231" s="255" t="n"/>
      <c r="Y231" s="255" t="n"/>
      <c r="Z231" s="255" t="n"/>
    </row>
    <row r="232" ht="12.75" customHeight="1">
      <c r="A232" s="333" t="n"/>
      <c r="B232" s="255" t="n"/>
      <c r="C232" s="255" t="n"/>
      <c r="D232" s="255" t="n"/>
      <c r="E232" s="255" t="n"/>
      <c r="F232" s="255" t="n"/>
      <c r="G232" s="255" t="n"/>
      <c r="H232" s="255" t="n"/>
      <c r="I232" s="255" t="n"/>
      <c r="J232" s="255" t="n"/>
      <c r="K232" s="255" t="n"/>
      <c r="L232" s="255" t="n"/>
      <c r="M232" s="255" t="n"/>
      <c r="N232" s="255" t="n"/>
      <c r="O232" s="255" t="n"/>
      <c r="P232" s="255" t="n"/>
      <c r="Q232" s="255" t="n"/>
      <c r="R232" s="255" t="n"/>
      <c r="S232" s="255" t="n"/>
      <c r="T232" s="255" t="n"/>
      <c r="U232" s="255" t="n"/>
      <c r="V232" s="255" t="n"/>
      <c r="W232" s="255" t="n"/>
      <c r="X232" s="255" t="n"/>
      <c r="Y232" s="255" t="n"/>
      <c r="Z232" s="255" t="n"/>
    </row>
    <row r="233" ht="12.75" customHeight="1">
      <c r="A233" s="333" t="n"/>
      <c r="B233" s="255" t="n"/>
      <c r="C233" s="255" t="n"/>
      <c r="D233" s="255" t="n"/>
      <c r="E233" s="255" t="n"/>
      <c r="F233" s="255" t="n"/>
      <c r="G233" s="255" t="n"/>
      <c r="H233" s="255" t="n"/>
      <c r="I233" s="255" t="n"/>
      <c r="J233" s="255" t="n"/>
      <c r="K233" s="255" t="n"/>
      <c r="L233" s="255" t="n"/>
      <c r="M233" s="255" t="n"/>
      <c r="N233" s="255" t="n"/>
      <c r="O233" s="255" t="n"/>
      <c r="P233" s="255" t="n"/>
      <c r="Q233" s="255" t="n"/>
      <c r="R233" s="255" t="n"/>
      <c r="S233" s="255" t="n"/>
      <c r="T233" s="255" t="n"/>
      <c r="U233" s="255" t="n"/>
      <c r="V233" s="255" t="n"/>
      <c r="W233" s="255" t="n"/>
      <c r="X233" s="255" t="n"/>
      <c r="Y233" s="255" t="n"/>
      <c r="Z233" s="255" t="n"/>
    </row>
    <row r="234" ht="12.75" customHeight="1">
      <c r="A234" s="333" t="n"/>
      <c r="B234" s="255" t="n"/>
      <c r="C234" s="255" t="n"/>
      <c r="D234" s="255" t="n"/>
      <c r="E234" s="255" t="n"/>
      <c r="F234" s="255" t="n"/>
      <c r="G234" s="255" t="n"/>
      <c r="H234" s="255" t="n"/>
      <c r="I234" s="255" t="n"/>
      <c r="J234" s="255" t="n"/>
      <c r="K234" s="255" t="n"/>
      <c r="L234" s="255" t="n"/>
      <c r="M234" s="255" t="n"/>
      <c r="N234" s="255" t="n"/>
      <c r="O234" s="255" t="n"/>
      <c r="P234" s="255" t="n"/>
      <c r="Q234" s="255" t="n"/>
      <c r="R234" s="255" t="n"/>
      <c r="S234" s="255" t="n"/>
      <c r="T234" s="255" t="n"/>
      <c r="U234" s="255" t="n"/>
      <c r="V234" s="255" t="n"/>
      <c r="W234" s="255" t="n"/>
      <c r="X234" s="255" t="n"/>
      <c r="Y234" s="255" t="n"/>
      <c r="Z234" s="255" t="n"/>
    </row>
    <row r="235" ht="12.75" customHeight="1">
      <c r="A235" s="333" t="n"/>
      <c r="B235" s="255" t="n"/>
      <c r="C235" s="255" t="n"/>
      <c r="D235" s="255" t="n"/>
      <c r="E235" s="255" t="n"/>
      <c r="F235" s="255" t="n"/>
      <c r="G235" s="255" t="n"/>
      <c r="H235" s="255" t="n"/>
      <c r="I235" s="255" t="n"/>
      <c r="J235" s="255" t="n"/>
      <c r="K235" s="255" t="n"/>
      <c r="L235" s="255" t="n"/>
      <c r="M235" s="255" t="n"/>
      <c r="N235" s="255" t="n"/>
      <c r="O235" s="255" t="n"/>
      <c r="P235" s="255" t="n"/>
      <c r="Q235" s="255" t="n"/>
      <c r="R235" s="255" t="n"/>
      <c r="S235" s="255" t="n"/>
      <c r="T235" s="255" t="n"/>
      <c r="U235" s="255" t="n"/>
      <c r="V235" s="255" t="n"/>
      <c r="W235" s="255" t="n"/>
      <c r="X235" s="255" t="n"/>
      <c r="Y235" s="255" t="n"/>
      <c r="Z235" s="255" t="n"/>
    </row>
    <row r="236" ht="12.75" customHeight="1">
      <c r="A236" s="333" t="n"/>
      <c r="B236" s="255" t="n"/>
      <c r="C236" s="255" t="n"/>
      <c r="D236" s="255" t="n"/>
      <c r="E236" s="255" t="n"/>
      <c r="F236" s="255" t="n"/>
      <c r="G236" s="255" t="n"/>
      <c r="H236" s="255" t="n"/>
      <c r="I236" s="255" t="n"/>
      <c r="J236" s="255" t="n"/>
      <c r="K236" s="255" t="n"/>
      <c r="L236" s="255" t="n"/>
      <c r="M236" s="255" t="n"/>
      <c r="N236" s="255" t="n"/>
      <c r="O236" s="255" t="n"/>
      <c r="P236" s="255" t="n"/>
      <c r="Q236" s="255" t="n"/>
      <c r="R236" s="255" t="n"/>
      <c r="S236" s="255" t="n"/>
      <c r="T236" s="255" t="n"/>
      <c r="U236" s="255" t="n"/>
      <c r="V236" s="255" t="n"/>
      <c r="W236" s="255" t="n"/>
      <c r="X236" s="255" t="n"/>
      <c r="Y236" s="255" t="n"/>
      <c r="Z236" s="255" t="n"/>
    </row>
    <row r="237" ht="12.75" customHeight="1">
      <c r="A237" s="333" t="n"/>
      <c r="B237" s="255" t="n"/>
      <c r="C237" s="255" t="n"/>
      <c r="D237" s="255" t="n"/>
      <c r="E237" s="255" t="n"/>
      <c r="F237" s="255" t="n"/>
      <c r="G237" s="255" t="n"/>
      <c r="H237" s="255" t="n"/>
      <c r="I237" s="255" t="n"/>
      <c r="J237" s="255" t="n"/>
      <c r="K237" s="255" t="n"/>
      <c r="L237" s="255" t="n"/>
      <c r="M237" s="255" t="n"/>
      <c r="N237" s="255" t="n"/>
      <c r="O237" s="255" t="n"/>
      <c r="P237" s="255" t="n"/>
      <c r="Q237" s="255" t="n"/>
      <c r="R237" s="255" t="n"/>
      <c r="S237" s="255" t="n"/>
      <c r="T237" s="255" t="n"/>
      <c r="U237" s="255" t="n"/>
      <c r="V237" s="255" t="n"/>
      <c r="W237" s="255" t="n"/>
      <c r="X237" s="255" t="n"/>
      <c r="Y237" s="255" t="n"/>
      <c r="Z237" s="255" t="n"/>
    </row>
    <row r="238" ht="12.75" customHeight="1">
      <c r="A238" s="333" t="n"/>
      <c r="B238" s="255" t="n"/>
      <c r="C238" s="255" t="n"/>
      <c r="D238" s="255" t="n"/>
      <c r="E238" s="255" t="n"/>
      <c r="F238" s="255" t="n"/>
      <c r="G238" s="255" t="n"/>
      <c r="H238" s="255" t="n"/>
      <c r="I238" s="255" t="n"/>
      <c r="J238" s="255" t="n"/>
      <c r="K238" s="255" t="n"/>
      <c r="L238" s="255" t="n"/>
      <c r="M238" s="255" t="n"/>
      <c r="N238" s="255" t="n"/>
      <c r="O238" s="255" t="n"/>
      <c r="P238" s="255" t="n"/>
      <c r="Q238" s="255" t="n"/>
      <c r="R238" s="255" t="n"/>
      <c r="S238" s="255" t="n"/>
      <c r="T238" s="255" t="n"/>
      <c r="U238" s="255" t="n"/>
      <c r="V238" s="255" t="n"/>
      <c r="W238" s="255" t="n"/>
      <c r="X238" s="255" t="n"/>
      <c r="Y238" s="255" t="n"/>
      <c r="Z238" s="255" t="n"/>
    </row>
    <row r="239" ht="12.75" customHeight="1">
      <c r="A239" s="333" t="n"/>
      <c r="B239" s="255" t="n"/>
      <c r="C239" s="255" t="n"/>
      <c r="D239" s="255" t="n"/>
      <c r="E239" s="255" t="n"/>
      <c r="F239" s="255" t="n"/>
      <c r="G239" s="255" t="n"/>
      <c r="H239" s="255" t="n"/>
      <c r="I239" s="255" t="n"/>
      <c r="J239" s="255" t="n"/>
      <c r="K239" s="255" t="n"/>
      <c r="L239" s="255" t="n"/>
      <c r="M239" s="255" t="n"/>
      <c r="N239" s="255" t="n"/>
      <c r="O239" s="255" t="n"/>
      <c r="P239" s="255" t="n"/>
      <c r="Q239" s="255" t="n"/>
      <c r="R239" s="255" t="n"/>
      <c r="S239" s="255" t="n"/>
      <c r="T239" s="255" t="n"/>
      <c r="U239" s="255" t="n"/>
      <c r="V239" s="255" t="n"/>
      <c r="W239" s="255" t="n"/>
      <c r="X239" s="255" t="n"/>
      <c r="Y239" s="255" t="n"/>
      <c r="Z239" s="255" t="n"/>
    </row>
    <row r="240" ht="12.75" customHeight="1">
      <c r="A240" s="333" t="n"/>
      <c r="B240" s="255" t="n"/>
      <c r="C240" s="255" t="n"/>
      <c r="D240" s="255" t="n"/>
      <c r="E240" s="255" t="n"/>
      <c r="F240" s="255" t="n"/>
      <c r="G240" s="255" t="n"/>
      <c r="H240" s="255" t="n"/>
      <c r="I240" s="255" t="n"/>
      <c r="J240" s="255" t="n"/>
      <c r="K240" s="255" t="n"/>
      <c r="L240" s="255" t="n"/>
      <c r="M240" s="255" t="n"/>
      <c r="N240" s="255" t="n"/>
      <c r="O240" s="255" t="n"/>
      <c r="P240" s="255" t="n"/>
      <c r="Q240" s="255" t="n"/>
      <c r="R240" s="255" t="n"/>
      <c r="S240" s="255" t="n"/>
      <c r="T240" s="255" t="n"/>
      <c r="U240" s="255" t="n"/>
      <c r="V240" s="255" t="n"/>
      <c r="W240" s="255" t="n"/>
      <c r="X240" s="255" t="n"/>
      <c r="Y240" s="255" t="n"/>
      <c r="Z240" s="255" t="n"/>
    </row>
    <row r="241" ht="12.75" customHeight="1">
      <c r="A241" s="333" t="n"/>
      <c r="B241" s="255" t="n"/>
      <c r="C241" s="255" t="n"/>
      <c r="D241" s="255" t="n"/>
      <c r="E241" s="255" t="n"/>
      <c r="F241" s="255" t="n"/>
      <c r="G241" s="255" t="n"/>
      <c r="H241" s="255" t="n"/>
      <c r="I241" s="255" t="n"/>
      <c r="J241" s="255" t="n"/>
      <c r="K241" s="255" t="n"/>
      <c r="L241" s="255" t="n"/>
      <c r="M241" s="255" t="n"/>
      <c r="N241" s="255" t="n"/>
      <c r="O241" s="255" t="n"/>
      <c r="P241" s="255" t="n"/>
      <c r="Q241" s="255" t="n"/>
      <c r="R241" s="255" t="n"/>
      <c r="S241" s="255" t="n"/>
      <c r="T241" s="255" t="n"/>
      <c r="U241" s="255" t="n"/>
      <c r="V241" s="255" t="n"/>
      <c r="W241" s="255" t="n"/>
      <c r="X241" s="255" t="n"/>
      <c r="Y241" s="255" t="n"/>
      <c r="Z241" s="255" t="n"/>
    </row>
    <row r="242" ht="12.75" customHeight="1">
      <c r="A242" s="333" t="n"/>
      <c r="B242" s="255" t="n"/>
      <c r="C242" s="255" t="n"/>
      <c r="D242" s="255" t="n"/>
      <c r="E242" s="255" t="n"/>
      <c r="F242" s="255" t="n"/>
      <c r="G242" s="255" t="n"/>
      <c r="H242" s="255" t="n"/>
      <c r="I242" s="255" t="n"/>
      <c r="J242" s="255" t="n"/>
      <c r="K242" s="255" t="n"/>
      <c r="L242" s="255" t="n"/>
      <c r="M242" s="255" t="n"/>
      <c r="N242" s="255" t="n"/>
      <c r="O242" s="255" t="n"/>
      <c r="P242" s="255" t="n"/>
      <c r="Q242" s="255" t="n"/>
      <c r="R242" s="255" t="n"/>
      <c r="S242" s="255" t="n"/>
      <c r="T242" s="255" t="n"/>
      <c r="U242" s="255" t="n"/>
      <c r="V242" s="255" t="n"/>
      <c r="W242" s="255" t="n"/>
      <c r="X242" s="255" t="n"/>
      <c r="Y242" s="255" t="n"/>
      <c r="Z242" s="255" t="n"/>
    </row>
    <row r="243" ht="12.75" customHeight="1">
      <c r="A243" s="333" t="n"/>
      <c r="B243" s="255" t="n"/>
      <c r="C243" s="255" t="n"/>
      <c r="D243" s="255" t="n"/>
      <c r="E243" s="255" t="n"/>
      <c r="F243" s="255" t="n"/>
      <c r="G243" s="255" t="n"/>
      <c r="H243" s="255" t="n"/>
      <c r="I243" s="255" t="n"/>
      <c r="J243" s="255" t="n"/>
      <c r="K243" s="255" t="n"/>
      <c r="L243" s="255" t="n"/>
      <c r="M243" s="255" t="n"/>
      <c r="N243" s="255" t="n"/>
      <c r="O243" s="255" t="n"/>
      <c r="P243" s="255" t="n"/>
      <c r="Q243" s="255" t="n"/>
      <c r="R243" s="255" t="n"/>
      <c r="S243" s="255" t="n"/>
      <c r="T243" s="255" t="n"/>
      <c r="U243" s="255" t="n"/>
      <c r="V243" s="255" t="n"/>
      <c r="W243" s="255" t="n"/>
      <c r="X243" s="255" t="n"/>
      <c r="Y243" s="255" t="n"/>
      <c r="Z243" s="255" t="n"/>
    </row>
    <row r="244" ht="12.75" customHeight="1">
      <c r="A244" s="333" t="n"/>
      <c r="B244" s="255" t="n"/>
      <c r="C244" s="255" t="n"/>
      <c r="D244" s="255" t="n"/>
      <c r="E244" s="255" t="n"/>
      <c r="F244" s="255" t="n"/>
      <c r="G244" s="255" t="n"/>
      <c r="H244" s="255" t="n"/>
      <c r="I244" s="255" t="n"/>
      <c r="J244" s="255" t="n"/>
      <c r="K244" s="255" t="n"/>
      <c r="L244" s="255" t="n"/>
      <c r="M244" s="255" t="n"/>
      <c r="N244" s="255" t="n"/>
      <c r="O244" s="255" t="n"/>
      <c r="P244" s="255" t="n"/>
      <c r="Q244" s="255" t="n"/>
      <c r="R244" s="255" t="n"/>
      <c r="S244" s="255" t="n"/>
      <c r="T244" s="255" t="n"/>
      <c r="U244" s="255" t="n"/>
      <c r="V244" s="255" t="n"/>
      <c r="W244" s="255" t="n"/>
      <c r="X244" s="255" t="n"/>
      <c r="Y244" s="255" t="n"/>
      <c r="Z244" s="255" t="n"/>
    </row>
    <row r="245" ht="12.75" customHeight="1">
      <c r="A245" s="333" t="n"/>
      <c r="B245" s="255" t="n"/>
      <c r="C245" s="255" t="n"/>
      <c r="D245" s="255" t="n"/>
      <c r="E245" s="255" t="n"/>
      <c r="F245" s="255" t="n"/>
      <c r="G245" s="255" t="n"/>
      <c r="H245" s="255" t="n"/>
      <c r="I245" s="255" t="n"/>
      <c r="J245" s="255" t="n"/>
      <c r="K245" s="255" t="n"/>
      <c r="L245" s="255" t="n"/>
      <c r="M245" s="255" t="n"/>
      <c r="N245" s="255" t="n"/>
      <c r="O245" s="255" t="n"/>
      <c r="P245" s="255" t="n"/>
      <c r="Q245" s="255" t="n"/>
      <c r="R245" s="255" t="n"/>
      <c r="S245" s="255" t="n"/>
      <c r="T245" s="255" t="n"/>
      <c r="U245" s="255" t="n"/>
      <c r="V245" s="255" t="n"/>
      <c r="W245" s="255" t="n"/>
      <c r="X245" s="255" t="n"/>
      <c r="Y245" s="255" t="n"/>
      <c r="Z245" s="255" t="n"/>
    </row>
    <row r="246" ht="12.75" customHeight="1">
      <c r="A246" s="333" t="n"/>
      <c r="B246" s="255" t="n"/>
      <c r="C246" s="255" t="n"/>
      <c r="D246" s="255" t="n"/>
      <c r="E246" s="255" t="n"/>
      <c r="F246" s="255" t="n"/>
      <c r="G246" s="255" t="n"/>
      <c r="H246" s="255" t="n"/>
      <c r="I246" s="255" t="n"/>
      <c r="J246" s="255" t="n"/>
      <c r="K246" s="255" t="n"/>
      <c r="L246" s="255" t="n"/>
      <c r="M246" s="255" t="n"/>
      <c r="N246" s="255" t="n"/>
      <c r="O246" s="255" t="n"/>
      <c r="P246" s="255" t="n"/>
      <c r="Q246" s="255" t="n"/>
      <c r="R246" s="255" t="n"/>
      <c r="S246" s="255" t="n"/>
      <c r="T246" s="255" t="n"/>
      <c r="U246" s="255" t="n"/>
      <c r="V246" s="255" t="n"/>
      <c r="W246" s="255" t="n"/>
      <c r="X246" s="255" t="n"/>
      <c r="Y246" s="255" t="n"/>
      <c r="Z246" s="255" t="n"/>
    </row>
    <row r="247" ht="12.75" customHeight="1">
      <c r="A247" s="333" t="n"/>
      <c r="B247" s="255" t="n"/>
      <c r="C247" s="255" t="n"/>
      <c r="D247" s="255" t="n"/>
      <c r="E247" s="255" t="n"/>
      <c r="F247" s="255" t="n"/>
      <c r="G247" s="255" t="n"/>
      <c r="H247" s="255" t="n"/>
      <c r="I247" s="255" t="n"/>
      <c r="J247" s="255" t="n"/>
      <c r="K247" s="255" t="n"/>
      <c r="L247" s="255" t="n"/>
      <c r="M247" s="255" t="n"/>
      <c r="N247" s="255" t="n"/>
      <c r="O247" s="255" t="n"/>
      <c r="P247" s="255" t="n"/>
      <c r="Q247" s="255" t="n"/>
      <c r="R247" s="255" t="n"/>
      <c r="S247" s="255" t="n"/>
      <c r="T247" s="255" t="n"/>
      <c r="U247" s="255" t="n"/>
      <c r="V247" s="255" t="n"/>
      <c r="W247" s="255" t="n"/>
      <c r="X247" s="255" t="n"/>
      <c r="Y247" s="255" t="n"/>
      <c r="Z247" s="255" t="n"/>
    </row>
    <row r="248" ht="12.75" customHeight="1">
      <c r="A248" s="333" t="n"/>
      <c r="B248" s="255" t="n"/>
      <c r="C248" s="255" t="n"/>
      <c r="D248" s="255" t="n"/>
      <c r="E248" s="255" t="n"/>
      <c r="F248" s="255" t="n"/>
      <c r="G248" s="255" t="n"/>
      <c r="H248" s="255" t="n"/>
      <c r="I248" s="255" t="n"/>
      <c r="J248" s="255" t="n"/>
      <c r="K248" s="255" t="n"/>
      <c r="L248" s="255" t="n"/>
      <c r="M248" s="255" t="n"/>
      <c r="N248" s="255" t="n"/>
      <c r="O248" s="255" t="n"/>
      <c r="P248" s="255" t="n"/>
      <c r="Q248" s="255" t="n"/>
      <c r="R248" s="255" t="n"/>
      <c r="S248" s="255" t="n"/>
      <c r="T248" s="255" t="n"/>
      <c r="U248" s="255" t="n"/>
      <c r="V248" s="255" t="n"/>
      <c r="W248" s="255" t="n"/>
      <c r="X248" s="255" t="n"/>
      <c r="Y248" s="255" t="n"/>
      <c r="Z248" s="255" t="n"/>
    </row>
    <row r="249" ht="12.75" customHeight="1">
      <c r="A249" s="333" t="n"/>
      <c r="B249" s="255" t="n"/>
      <c r="C249" s="255" t="n"/>
      <c r="D249" s="255" t="n"/>
      <c r="E249" s="255" t="n"/>
      <c r="F249" s="255" t="n"/>
      <c r="G249" s="255" t="n"/>
      <c r="H249" s="255" t="n"/>
      <c r="I249" s="255" t="n"/>
      <c r="J249" s="255" t="n"/>
      <c r="K249" s="255" t="n"/>
      <c r="L249" s="255" t="n"/>
      <c r="M249" s="255" t="n"/>
      <c r="N249" s="255" t="n"/>
      <c r="O249" s="255" t="n"/>
      <c r="P249" s="255" t="n"/>
      <c r="Q249" s="255" t="n"/>
      <c r="R249" s="255" t="n"/>
      <c r="S249" s="255" t="n"/>
      <c r="T249" s="255" t="n"/>
      <c r="U249" s="255" t="n"/>
      <c r="V249" s="255" t="n"/>
      <c r="W249" s="255" t="n"/>
      <c r="X249" s="255" t="n"/>
      <c r="Y249" s="255" t="n"/>
      <c r="Z249" s="255" t="n"/>
    </row>
    <row r="250" ht="12.75" customHeight="1">
      <c r="A250" s="333" t="n"/>
      <c r="B250" s="255" t="n"/>
      <c r="C250" s="255" t="n"/>
      <c r="D250" s="255" t="n"/>
      <c r="E250" s="255" t="n"/>
      <c r="F250" s="255" t="n"/>
      <c r="G250" s="255" t="n"/>
      <c r="H250" s="255" t="n"/>
      <c r="I250" s="255" t="n"/>
      <c r="J250" s="255" t="n"/>
      <c r="K250" s="255" t="n"/>
      <c r="L250" s="255" t="n"/>
      <c r="M250" s="255" t="n"/>
      <c r="N250" s="255" t="n"/>
      <c r="O250" s="255" t="n"/>
      <c r="P250" s="255" t="n"/>
      <c r="Q250" s="255" t="n"/>
      <c r="R250" s="255" t="n"/>
      <c r="S250" s="255" t="n"/>
      <c r="T250" s="255" t="n"/>
      <c r="U250" s="255" t="n"/>
      <c r="V250" s="255" t="n"/>
      <c r="W250" s="255" t="n"/>
      <c r="X250" s="255" t="n"/>
      <c r="Y250" s="255" t="n"/>
      <c r="Z250" s="255" t="n"/>
    </row>
    <row r="251" ht="12.75" customHeight="1">
      <c r="A251" s="333" t="n"/>
      <c r="B251" s="255" t="n"/>
      <c r="C251" s="255" t="n"/>
      <c r="D251" s="255" t="n"/>
      <c r="E251" s="255" t="n"/>
      <c r="F251" s="255" t="n"/>
      <c r="G251" s="255" t="n"/>
      <c r="H251" s="255" t="n"/>
      <c r="I251" s="255" t="n"/>
      <c r="J251" s="255" t="n"/>
      <c r="K251" s="255" t="n"/>
      <c r="L251" s="255" t="n"/>
      <c r="M251" s="255" t="n"/>
      <c r="N251" s="255" t="n"/>
      <c r="O251" s="255" t="n"/>
      <c r="P251" s="255" t="n"/>
      <c r="Q251" s="255" t="n"/>
      <c r="R251" s="255" t="n"/>
      <c r="S251" s="255" t="n"/>
      <c r="T251" s="255" t="n"/>
      <c r="U251" s="255" t="n"/>
      <c r="V251" s="255" t="n"/>
      <c r="W251" s="255" t="n"/>
      <c r="X251" s="255" t="n"/>
      <c r="Y251" s="255" t="n"/>
      <c r="Z251" s="255" t="n"/>
    </row>
    <row r="252" ht="12.75" customHeight="1">
      <c r="A252" s="333" t="n"/>
      <c r="B252" s="255" t="n"/>
      <c r="C252" s="255" t="n"/>
      <c r="D252" s="255" t="n"/>
      <c r="E252" s="255" t="n"/>
      <c r="F252" s="255" t="n"/>
      <c r="G252" s="255" t="n"/>
      <c r="H252" s="255" t="n"/>
      <c r="I252" s="255" t="n"/>
      <c r="J252" s="255" t="n"/>
      <c r="K252" s="255" t="n"/>
      <c r="L252" s="255" t="n"/>
      <c r="M252" s="255" t="n"/>
      <c r="N252" s="255" t="n"/>
      <c r="O252" s="255" t="n"/>
      <c r="P252" s="255" t="n"/>
      <c r="Q252" s="255" t="n"/>
      <c r="R252" s="255" t="n"/>
      <c r="S252" s="255" t="n"/>
      <c r="T252" s="255" t="n"/>
      <c r="U252" s="255" t="n"/>
      <c r="V252" s="255" t="n"/>
      <c r="W252" s="255" t="n"/>
      <c r="X252" s="255" t="n"/>
      <c r="Y252" s="255" t="n"/>
      <c r="Z252" s="255" t="n"/>
    </row>
    <row r="253" ht="12.75" customHeight="1">
      <c r="A253" s="333" t="n"/>
      <c r="B253" s="255" t="n"/>
      <c r="C253" s="255" t="n"/>
      <c r="D253" s="255" t="n"/>
      <c r="E253" s="255" t="n"/>
      <c r="F253" s="255" t="n"/>
      <c r="G253" s="255" t="n"/>
      <c r="H253" s="255" t="n"/>
      <c r="I253" s="255" t="n"/>
      <c r="J253" s="255" t="n"/>
      <c r="K253" s="255" t="n"/>
      <c r="L253" s="255" t="n"/>
      <c r="M253" s="255" t="n"/>
      <c r="N253" s="255" t="n"/>
      <c r="O253" s="255" t="n"/>
      <c r="P253" s="255" t="n"/>
      <c r="Q253" s="255" t="n"/>
      <c r="R253" s="255" t="n"/>
      <c r="S253" s="255" t="n"/>
      <c r="T253" s="255" t="n"/>
      <c r="U253" s="255" t="n"/>
      <c r="V253" s="255" t="n"/>
      <c r="W253" s="255" t="n"/>
      <c r="X253" s="255" t="n"/>
      <c r="Y253" s="255" t="n"/>
      <c r="Z253" s="255" t="n"/>
    </row>
    <row r="254" ht="12.75" customHeight="1">
      <c r="A254" s="333" t="n"/>
      <c r="B254" s="255" t="n"/>
      <c r="C254" s="255" t="n"/>
      <c r="D254" s="255" t="n"/>
      <c r="E254" s="255" t="n"/>
      <c r="F254" s="255" t="n"/>
      <c r="G254" s="255" t="n"/>
      <c r="H254" s="255" t="n"/>
      <c r="I254" s="255" t="n"/>
      <c r="J254" s="255" t="n"/>
      <c r="K254" s="255" t="n"/>
      <c r="L254" s="255" t="n"/>
      <c r="M254" s="255" t="n"/>
      <c r="N254" s="255" t="n"/>
      <c r="O254" s="255" t="n"/>
      <c r="P254" s="255" t="n"/>
      <c r="Q254" s="255" t="n"/>
      <c r="R254" s="255" t="n"/>
      <c r="S254" s="255" t="n"/>
      <c r="T254" s="255" t="n"/>
      <c r="U254" s="255" t="n"/>
      <c r="V254" s="255" t="n"/>
      <c r="W254" s="255" t="n"/>
      <c r="X254" s="255" t="n"/>
      <c r="Y254" s="255" t="n"/>
      <c r="Z254" s="255" t="n"/>
    </row>
    <row r="255" ht="12.75" customHeight="1">
      <c r="A255" s="333" t="n"/>
      <c r="B255" s="255" t="n"/>
      <c r="C255" s="255" t="n"/>
      <c r="D255" s="255" t="n"/>
      <c r="E255" s="255" t="n"/>
      <c r="F255" s="255" t="n"/>
      <c r="G255" s="255" t="n"/>
      <c r="H255" s="255" t="n"/>
      <c r="I255" s="255" t="n"/>
      <c r="J255" s="255" t="n"/>
      <c r="K255" s="255" t="n"/>
      <c r="L255" s="255" t="n"/>
      <c r="M255" s="255" t="n"/>
      <c r="N255" s="255" t="n"/>
      <c r="O255" s="255" t="n"/>
      <c r="P255" s="255" t="n"/>
      <c r="Q255" s="255" t="n"/>
      <c r="R255" s="255" t="n"/>
      <c r="S255" s="255" t="n"/>
      <c r="T255" s="255" t="n"/>
      <c r="U255" s="255" t="n"/>
      <c r="V255" s="255" t="n"/>
      <c r="W255" s="255" t="n"/>
      <c r="X255" s="255" t="n"/>
      <c r="Y255" s="255" t="n"/>
      <c r="Z255" s="255" t="n"/>
    </row>
    <row r="256" ht="12.75" customHeight="1">
      <c r="A256" s="333" t="n"/>
      <c r="B256" s="255" t="n"/>
      <c r="C256" s="255" t="n"/>
      <c r="D256" s="255" t="n"/>
      <c r="E256" s="255" t="n"/>
      <c r="F256" s="255" t="n"/>
      <c r="G256" s="255" t="n"/>
      <c r="H256" s="255" t="n"/>
      <c r="I256" s="255" t="n"/>
      <c r="J256" s="255" t="n"/>
      <c r="K256" s="255" t="n"/>
      <c r="L256" s="255" t="n"/>
      <c r="M256" s="255" t="n"/>
      <c r="N256" s="255" t="n"/>
      <c r="O256" s="255" t="n"/>
      <c r="P256" s="255" t="n"/>
      <c r="Q256" s="255" t="n"/>
      <c r="R256" s="255" t="n"/>
      <c r="S256" s="255" t="n"/>
      <c r="T256" s="255" t="n"/>
      <c r="U256" s="255" t="n"/>
      <c r="V256" s="255" t="n"/>
      <c r="W256" s="255" t="n"/>
      <c r="X256" s="255" t="n"/>
      <c r="Y256" s="255" t="n"/>
      <c r="Z256" s="255" t="n"/>
    </row>
    <row r="257" ht="12.75" customHeight="1">
      <c r="A257" s="333" t="n"/>
      <c r="B257" s="255" t="n"/>
      <c r="C257" s="255" t="n"/>
      <c r="D257" s="255" t="n"/>
      <c r="E257" s="255" t="n"/>
      <c r="F257" s="255" t="n"/>
      <c r="G257" s="255" t="n"/>
      <c r="H257" s="255" t="n"/>
      <c r="I257" s="255" t="n"/>
      <c r="J257" s="255" t="n"/>
      <c r="K257" s="255" t="n"/>
      <c r="L257" s="255" t="n"/>
      <c r="M257" s="255" t="n"/>
      <c r="N257" s="255" t="n"/>
      <c r="O257" s="255" t="n"/>
      <c r="P257" s="255" t="n"/>
      <c r="Q257" s="255" t="n"/>
      <c r="R257" s="255" t="n"/>
      <c r="S257" s="255" t="n"/>
      <c r="T257" s="255" t="n"/>
      <c r="U257" s="255" t="n"/>
      <c r="V257" s="255" t="n"/>
      <c r="W257" s="255" t="n"/>
      <c r="X257" s="255" t="n"/>
      <c r="Y257" s="255" t="n"/>
      <c r="Z257" s="255" t="n"/>
    </row>
    <row r="258" ht="12.75" customHeight="1">
      <c r="A258" s="333" t="n"/>
      <c r="B258" s="255" t="n"/>
      <c r="C258" s="255" t="n"/>
      <c r="D258" s="255" t="n"/>
      <c r="E258" s="255" t="n"/>
      <c r="F258" s="255" t="n"/>
      <c r="G258" s="255" t="n"/>
      <c r="H258" s="255" t="n"/>
      <c r="I258" s="255" t="n"/>
      <c r="J258" s="255" t="n"/>
      <c r="K258" s="255" t="n"/>
      <c r="L258" s="255" t="n"/>
      <c r="M258" s="255" t="n"/>
      <c r="N258" s="255" t="n"/>
      <c r="O258" s="255" t="n"/>
      <c r="P258" s="255" t="n"/>
      <c r="Q258" s="255" t="n"/>
      <c r="R258" s="255" t="n"/>
      <c r="S258" s="255" t="n"/>
      <c r="T258" s="255" t="n"/>
      <c r="U258" s="255" t="n"/>
      <c r="V258" s="255" t="n"/>
      <c r="W258" s="255" t="n"/>
      <c r="X258" s="255" t="n"/>
      <c r="Y258" s="255" t="n"/>
      <c r="Z258" s="255" t="n"/>
    </row>
    <row r="259" ht="12.75" customHeight="1">
      <c r="A259" s="333" t="n"/>
      <c r="B259" s="255" t="n"/>
      <c r="C259" s="255" t="n"/>
      <c r="D259" s="255" t="n"/>
      <c r="E259" s="255" t="n"/>
      <c r="F259" s="255" t="n"/>
      <c r="G259" s="255" t="n"/>
      <c r="H259" s="255" t="n"/>
      <c r="I259" s="255" t="n"/>
      <c r="J259" s="255" t="n"/>
      <c r="K259" s="255" t="n"/>
      <c r="L259" s="255" t="n"/>
      <c r="M259" s="255" t="n"/>
      <c r="N259" s="255" t="n"/>
      <c r="O259" s="255" t="n"/>
      <c r="P259" s="255" t="n"/>
      <c r="Q259" s="255" t="n"/>
      <c r="R259" s="255" t="n"/>
      <c r="S259" s="255" t="n"/>
      <c r="T259" s="255" t="n"/>
      <c r="U259" s="255" t="n"/>
      <c r="V259" s="255" t="n"/>
      <c r="W259" s="255" t="n"/>
      <c r="X259" s="255" t="n"/>
      <c r="Y259" s="255" t="n"/>
      <c r="Z259" s="255" t="n"/>
    </row>
    <row r="260" ht="12.75" customHeight="1">
      <c r="A260" s="333" t="n"/>
      <c r="B260" s="255" t="n"/>
      <c r="C260" s="255" t="n"/>
      <c r="D260" s="255" t="n"/>
      <c r="E260" s="255" t="n"/>
      <c r="F260" s="255" t="n"/>
      <c r="G260" s="255" t="n"/>
      <c r="H260" s="255" t="n"/>
      <c r="I260" s="255" t="n"/>
      <c r="J260" s="255" t="n"/>
      <c r="K260" s="255" t="n"/>
      <c r="L260" s="255" t="n"/>
      <c r="M260" s="255" t="n"/>
      <c r="N260" s="255" t="n"/>
      <c r="O260" s="255" t="n"/>
      <c r="P260" s="255" t="n"/>
      <c r="Q260" s="255" t="n"/>
      <c r="R260" s="255" t="n"/>
      <c r="S260" s="255" t="n"/>
      <c r="T260" s="255" t="n"/>
      <c r="U260" s="255" t="n"/>
      <c r="V260" s="255" t="n"/>
      <c r="W260" s="255" t="n"/>
      <c r="X260" s="255" t="n"/>
      <c r="Y260" s="255" t="n"/>
      <c r="Z260" s="255" t="n"/>
    </row>
    <row r="261" ht="12.75" customHeight="1">
      <c r="A261" s="333" t="n"/>
      <c r="B261" s="255" t="n"/>
      <c r="C261" s="255" t="n"/>
      <c r="D261" s="255" t="n"/>
      <c r="E261" s="255" t="n"/>
      <c r="F261" s="255" t="n"/>
      <c r="G261" s="255" t="n"/>
      <c r="H261" s="255" t="n"/>
      <c r="I261" s="255" t="n"/>
      <c r="J261" s="255" t="n"/>
      <c r="K261" s="255" t="n"/>
      <c r="L261" s="255" t="n"/>
      <c r="M261" s="255" t="n"/>
      <c r="N261" s="255" t="n"/>
      <c r="O261" s="255" t="n"/>
      <c r="P261" s="255" t="n"/>
      <c r="Q261" s="255" t="n"/>
      <c r="R261" s="255" t="n"/>
      <c r="S261" s="255" t="n"/>
      <c r="T261" s="255" t="n"/>
      <c r="U261" s="255" t="n"/>
      <c r="V261" s="255" t="n"/>
      <c r="W261" s="255" t="n"/>
      <c r="X261" s="255" t="n"/>
      <c r="Y261" s="255" t="n"/>
      <c r="Z261" s="255" t="n"/>
    </row>
    <row r="262" ht="12.75" customHeight="1">
      <c r="A262" s="333" t="n"/>
      <c r="B262" s="255" t="n"/>
      <c r="C262" s="255" t="n"/>
      <c r="D262" s="255" t="n"/>
      <c r="E262" s="255" t="n"/>
      <c r="F262" s="255" t="n"/>
      <c r="G262" s="255" t="n"/>
      <c r="H262" s="255" t="n"/>
      <c r="I262" s="255" t="n"/>
      <c r="J262" s="255" t="n"/>
      <c r="K262" s="255" t="n"/>
      <c r="L262" s="255" t="n"/>
      <c r="M262" s="255" t="n"/>
      <c r="N262" s="255" t="n"/>
      <c r="O262" s="255" t="n"/>
      <c r="P262" s="255" t="n"/>
      <c r="Q262" s="255" t="n"/>
      <c r="R262" s="255" t="n"/>
      <c r="S262" s="255" t="n"/>
      <c r="T262" s="255" t="n"/>
      <c r="U262" s="255" t="n"/>
      <c r="V262" s="255" t="n"/>
      <c r="W262" s="255" t="n"/>
      <c r="X262" s="255" t="n"/>
      <c r="Y262" s="255" t="n"/>
      <c r="Z262" s="255" t="n"/>
    </row>
    <row r="263" ht="12.75" customHeight="1">
      <c r="A263" s="333" t="n"/>
      <c r="B263" s="255" t="n"/>
      <c r="C263" s="255" t="n"/>
      <c r="D263" s="255" t="n"/>
      <c r="E263" s="255" t="n"/>
      <c r="F263" s="255" t="n"/>
      <c r="G263" s="255" t="n"/>
      <c r="H263" s="255" t="n"/>
      <c r="I263" s="255" t="n"/>
      <c r="J263" s="255" t="n"/>
      <c r="K263" s="255" t="n"/>
      <c r="L263" s="255" t="n"/>
      <c r="M263" s="255" t="n"/>
      <c r="N263" s="255" t="n"/>
      <c r="O263" s="255" t="n"/>
      <c r="P263" s="255" t="n"/>
      <c r="Q263" s="255" t="n"/>
      <c r="R263" s="255" t="n"/>
      <c r="S263" s="255" t="n"/>
      <c r="T263" s="255" t="n"/>
      <c r="U263" s="255" t="n"/>
      <c r="V263" s="255" t="n"/>
      <c r="W263" s="255" t="n"/>
      <c r="X263" s="255" t="n"/>
      <c r="Y263" s="255" t="n"/>
      <c r="Z263" s="255" t="n"/>
    </row>
    <row r="264" ht="12.75" customHeight="1">
      <c r="A264" s="333" t="n"/>
      <c r="B264" s="255" t="n"/>
      <c r="C264" s="255" t="n"/>
      <c r="D264" s="255" t="n"/>
      <c r="E264" s="255" t="n"/>
      <c r="F264" s="255" t="n"/>
      <c r="G264" s="255" t="n"/>
      <c r="H264" s="255" t="n"/>
      <c r="I264" s="255" t="n"/>
      <c r="J264" s="255" t="n"/>
      <c r="K264" s="255" t="n"/>
      <c r="L264" s="255" t="n"/>
      <c r="M264" s="255" t="n"/>
      <c r="N264" s="255" t="n"/>
      <c r="O264" s="255" t="n"/>
      <c r="P264" s="255" t="n"/>
      <c r="Q264" s="255" t="n"/>
      <c r="R264" s="255" t="n"/>
      <c r="S264" s="255" t="n"/>
      <c r="T264" s="255" t="n"/>
      <c r="U264" s="255" t="n"/>
      <c r="V264" s="255" t="n"/>
      <c r="W264" s="255" t="n"/>
      <c r="X264" s="255" t="n"/>
      <c r="Y264" s="255" t="n"/>
      <c r="Z264" s="255" t="n"/>
    </row>
    <row r="265" ht="12.75" customHeight="1">
      <c r="A265" s="333" t="n"/>
      <c r="B265" s="255" t="n"/>
      <c r="C265" s="255" t="n"/>
      <c r="D265" s="255" t="n"/>
      <c r="E265" s="255" t="n"/>
      <c r="F265" s="255" t="n"/>
      <c r="G265" s="255" t="n"/>
      <c r="H265" s="255" t="n"/>
      <c r="I265" s="255" t="n"/>
      <c r="J265" s="255" t="n"/>
      <c r="K265" s="255" t="n"/>
      <c r="L265" s="255" t="n"/>
      <c r="M265" s="255" t="n"/>
      <c r="N265" s="255" t="n"/>
      <c r="O265" s="255" t="n"/>
      <c r="P265" s="255" t="n"/>
      <c r="Q265" s="255" t="n"/>
      <c r="R265" s="255" t="n"/>
      <c r="S265" s="255" t="n"/>
      <c r="T265" s="255" t="n"/>
      <c r="U265" s="255" t="n"/>
      <c r="V265" s="255" t="n"/>
      <c r="W265" s="255" t="n"/>
      <c r="X265" s="255" t="n"/>
      <c r="Y265" s="255" t="n"/>
      <c r="Z265" s="255" t="n"/>
    </row>
    <row r="266" ht="12.75" customHeight="1">
      <c r="A266" s="333" t="n"/>
      <c r="B266" s="255" t="n"/>
      <c r="C266" s="255" t="n"/>
      <c r="D266" s="255" t="n"/>
      <c r="E266" s="255" t="n"/>
      <c r="F266" s="255" t="n"/>
      <c r="G266" s="255" t="n"/>
      <c r="H266" s="255" t="n"/>
      <c r="I266" s="255" t="n"/>
      <c r="J266" s="255" t="n"/>
      <c r="K266" s="255" t="n"/>
      <c r="L266" s="255" t="n"/>
      <c r="M266" s="255" t="n"/>
      <c r="N266" s="255" t="n"/>
      <c r="O266" s="255" t="n"/>
      <c r="P266" s="255" t="n"/>
      <c r="Q266" s="255" t="n"/>
      <c r="R266" s="255" t="n"/>
      <c r="S266" s="255" t="n"/>
      <c r="T266" s="255" t="n"/>
      <c r="U266" s="255" t="n"/>
      <c r="V266" s="255" t="n"/>
      <c r="W266" s="255" t="n"/>
      <c r="X266" s="255" t="n"/>
      <c r="Y266" s="255" t="n"/>
      <c r="Z266" s="255" t="n"/>
    </row>
    <row r="267" ht="12.75" customHeight="1">
      <c r="A267" s="333" t="n"/>
      <c r="B267" s="255" t="n"/>
      <c r="C267" s="255" t="n"/>
      <c r="D267" s="255" t="n"/>
      <c r="E267" s="255" t="n"/>
      <c r="F267" s="255" t="n"/>
      <c r="G267" s="255" t="n"/>
      <c r="H267" s="255" t="n"/>
      <c r="I267" s="255" t="n"/>
      <c r="J267" s="255" t="n"/>
      <c r="K267" s="255" t="n"/>
      <c r="L267" s="255" t="n"/>
      <c r="M267" s="255" t="n"/>
      <c r="N267" s="255" t="n"/>
      <c r="O267" s="255" t="n"/>
      <c r="P267" s="255" t="n"/>
      <c r="Q267" s="255" t="n"/>
      <c r="R267" s="255" t="n"/>
      <c r="S267" s="255" t="n"/>
      <c r="T267" s="255" t="n"/>
      <c r="U267" s="255" t="n"/>
      <c r="V267" s="255" t="n"/>
      <c r="W267" s="255" t="n"/>
      <c r="X267" s="255" t="n"/>
      <c r="Y267" s="255" t="n"/>
      <c r="Z267" s="255" t="n"/>
    </row>
    <row r="268" ht="12.75" customHeight="1">
      <c r="A268" s="333" t="n"/>
      <c r="B268" s="255" t="n"/>
      <c r="C268" s="255" t="n"/>
      <c r="D268" s="255" t="n"/>
      <c r="E268" s="255" t="n"/>
      <c r="F268" s="255" t="n"/>
      <c r="G268" s="255" t="n"/>
      <c r="H268" s="255" t="n"/>
      <c r="I268" s="255" t="n"/>
      <c r="J268" s="255" t="n"/>
      <c r="K268" s="255" t="n"/>
      <c r="L268" s="255" t="n"/>
      <c r="M268" s="255" t="n"/>
      <c r="N268" s="255" t="n"/>
      <c r="O268" s="255" t="n"/>
      <c r="P268" s="255" t="n"/>
      <c r="Q268" s="255" t="n"/>
      <c r="R268" s="255" t="n"/>
      <c r="S268" s="255" t="n"/>
      <c r="T268" s="255" t="n"/>
      <c r="U268" s="255" t="n"/>
      <c r="V268" s="255" t="n"/>
      <c r="W268" s="255" t="n"/>
      <c r="X268" s="255" t="n"/>
      <c r="Y268" s="255" t="n"/>
      <c r="Z268" s="255" t="n"/>
    </row>
    <row r="269" ht="12.75" customHeight="1">
      <c r="A269" s="333" t="n"/>
      <c r="B269" s="255" t="n"/>
      <c r="C269" s="255" t="n"/>
      <c r="D269" s="255" t="n"/>
      <c r="E269" s="255" t="n"/>
      <c r="F269" s="255" t="n"/>
      <c r="G269" s="255" t="n"/>
      <c r="H269" s="255" t="n"/>
      <c r="I269" s="255" t="n"/>
      <c r="J269" s="255" t="n"/>
      <c r="K269" s="255" t="n"/>
      <c r="L269" s="255" t="n"/>
      <c r="M269" s="255" t="n"/>
      <c r="N269" s="255" t="n"/>
      <c r="O269" s="255" t="n"/>
      <c r="P269" s="255" t="n"/>
      <c r="Q269" s="255" t="n"/>
      <c r="R269" s="255" t="n"/>
      <c r="S269" s="255" t="n"/>
      <c r="T269" s="255" t="n"/>
      <c r="U269" s="255" t="n"/>
      <c r="V269" s="255" t="n"/>
      <c r="W269" s="255" t="n"/>
      <c r="X269" s="255" t="n"/>
      <c r="Y269" s="255" t="n"/>
      <c r="Z269" s="255" t="n"/>
    </row>
    <row r="270" ht="12.75" customHeight="1">
      <c r="A270" s="333" t="n"/>
      <c r="B270" s="255" t="n"/>
      <c r="C270" s="255" t="n"/>
      <c r="D270" s="255" t="n"/>
      <c r="E270" s="255" t="n"/>
      <c r="F270" s="255" t="n"/>
      <c r="G270" s="255" t="n"/>
      <c r="H270" s="255" t="n"/>
      <c r="I270" s="255" t="n"/>
      <c r="J270" s="255" t="n"/>
      <c r="K270" s="255" t="n"/>
      <c r="L270" s="255" t="n"/>
      <c r="M270" s="255" t="n"/>
      <c r="N270" s="255" t="n"/>
      <c r="O270" s="255" t="n"/>
      <c r="P270" s="255" t="n"/>
      <c r="Q270" s="255" t="n"/>
      <c r="R270" s="255" t="n"/>
      <c r="S270" s="255" t="n"/>
      <c r="T270" s="255" t="n"/>
      <c r="U270" s="255" t="n"/>
      <c r="V270" s="255" t="n"/>
      <c r="W270" s="255" t="n"/>
      <c r="X270" s="255" t="n"/>
      <c r="Y270" s="255" t="n"/>
      <c r="Z270" s="255" t="n"/>
    </row>
    <row r="271" ht="12.75" customHeight="1">
      <c r="A271" s="333" t="n"/>
      <c r="B271" s="255" t="n"/>
      <c r="C271" s="255" t="n"/>
      <c r="D271" s="255" t="n"/>
      <c r="E271" s="255" t="n"/>
      <c r="F271" s="255" t="n"/>
      <c r="G271" s="255" t="n"/>
      <c r="H271" s="255" t="n"/>
      <c r="I271" s="255" t="n"/>
      <c r="J271" s="255" t="n"/>
      <c r="K271" s="255" t="n"/>
      <c r="L271" s="255" t="n"/>
      <c r="M271" s="255" t="n"/>
      <c r="N271" s="255" t="n"/>
      <c r="O271" s="255" t="n"/>
      <c r="P271" s="255" t="n"/>
      <c r="Q271" s="255" t="n"/>
      <c r="R271" s="255" t="n"/>
      <c r="S271" s="255" t="n"/>
      <c r="T271" s="255" t="n"/>
      <c r="U271" s="255" t="n"/>
      <c r="V271" s="255" t="n"/>
      <c r="W271" s="255" t="n"/>
      <c r="X271" s="255" t="n"/>
      <c r="Y271" s="255" t="n"/>
      <c r="Z271" s="255" t="n"/>
    </row>
    <row r="272" ht="12.75" customHeight="1">
      <c r="A272" s="333" t="n"/>
      <c r="B272" s="255" t="n"/>
      <c r="C272" s="255" t="n"/>
      <c r="D272" s="255" t="n"/>
      <c r="E272" s="255" t="n"/>
      <c r="F272" s="255" t="n"/>
      <c r="G272" s="255" t="n"/>
      <c r="H272" s="255" t="n"/>
      <c r="I272" s="255" t="n"/>
      <c r="J272" s="255" t="n"/>
      <c r="K272" s="255" t="n"/>
      <c r="L272" s="255" t="n"/>
      <c r="M272" s="255" t="n"/>
      <c r="N272" s="255" t="n"/>
      <c r="O272" s="255" t="n"/>
      <c r="P272" s="255" t="n"/>
      <c r="Q272" s="255" t="n"/>
      <c r="R272" s="255" t="n"/>
      <c r="S272" s="255" t="n"/>
      <c r="T272" s="255" t="n"/>
      <c r="U272" s="255" t="n"/>
      <c r="V272" s="255" t="n"/>
      <c r="W272" s="255" t="n"/>
      <c r="X272" s="255" t="n"/>
      <c r="Y272" s="255" t="n"/>
      <c r="Z272" s="255" t="n"/>
    </row>
    <row r="273" ht="12.75" customHeight="1">
      <c r="A273" s="333" t="n"/>
      <c r="B273" s="255" t="n"/>
      <c r="C273" s="255" t="n"/>
      <c r="D273" s="255" t="n"/>
      <c r="E273" s="255" t="n"/>
      <c r="F273" s="255" t="n"/>
      <c r="G273" s="255" t="n"/>
      <c r="H273" s="255" t="n"/>
      <c r="I273" s="255" t="n"/>
      <c r="J273" s="255" t="n"/>
      <c r="K273" s="255" t="n"/>
      <c r="L273" s="255" t="n"/>
      <c r="M273" s="255" t="n"/>
      <c r="N273" s="255" t="n"/>
      <c r="O273" s="255" t="n"/>
      <c r="P273" s="255" t="n"/>
      <c r="Q273" s="255" t="n"/>
      <c r="R273" s="255" t="n"/>
      <c r="S273" s="255" t="n"/>
      <c r="T273" s="255" t="n"/>
      <c r="U273" s="255" t="n"/>
      <c r="V273" s="255" t="n"/>
      <c r="W273" s="255" t="n"/>
      <c r="X273" s="255" t="n"/>
      <c r="Y273" s="255" t="n"/>
      <c r="Z273" s="255" t="n"/>
    </row>
    <row r="274" ht="12.75" customHeight="1">
      <c r="A274" s="333" t="n"/>
      <c r="B274" s="255" t="n"/>
      <c r="C274" s="255" t="n"/>
      <c r="D274" s="255" t="n"/>
      <c r="E274" s="255" t="n"/>
      <c r="F274" s="255" t="n"/>
      <c r="G274" s="255" t="n"/>
      <c r="H274" s="255" t="n"/>
      <c r="I274" s="255" t="n"/>
      <c r="J274" s="255" t="n"/>
      <c r="K274" s="255" t="n"/>
      <c r="L274" s="255" t="n"/>
      <c r="M274" s="255" t="n"/>
      <c r="N274" s="255" t="n"/>
      <c r="O274" s="255" t="n"/>
      <c r="P274" s="255" t="n"/>
      <c r="Q274" s="255" t="n"/>
      <c r="R274" s="255" t="n"/>
      <c r="S274" s="255" t="n"/>
      <c r="T274" s="255" t="n"/>
      <c r="U274" s="255" t="n"/>
      <c r="V274" s="255" t="n"/>
      <c r="W274" s="255" t="n"/>
      <c r="X274" s="255" t="n"/>
      <c r="Y274" s="255" t="n"/>
      <c r="Z274" s="255" t="n"/>
    </row>
    <row r="275" ht="12.75" customHeight="1">
      <c r="A275" s="333" t="n"/>
      <c r="B275" s="255" t="n"/>
      <c r="C275" s="255" t="n"/>
      <c r="D275" s="255" t="n"/>
      <c r="E275" s="255" t="n"/>
      <c r="F275" s="255" t="n"/>
      <c r="G275" s="255" t="n"/>
      <c r="H275" s="255" t="n"/>
      <c r="I275" s="255" t="n"/>
      <c r="J275" s="255" t="n"/>
      <c r="K275" s="255" t="n"/>
      <c r="L275" s="255" t="n"/>
      <c r="M275" s="255" t="n"/>
      <c r="N275" s="255" t="n"/>
      <c r="O275" s="255" t="n"/>
      <c r="P275" s="255" t="n"/>
      <c r="Q275" s="255" t="n"/>
      <c r="R275" s="255" t="n"/>
      <c r="S275" s="255" t="n"/>
      <c r="T275" s="255" t="n"/>
      <c r="U275" s="255" t="n"/>
      <c r="V275" s="255" t="n"/>
      <c r="W275" s="255" t="n"/>
      <c r="X275" s="255" t="n"/>
      <c r="Y275" s="255" t="n"/>
      <c r="Z275" s="255" t="n"/>
    </row>
    <row r="276" ht="12.75" customHeight="1">
      <c r="A276" s="333" t="n"/>
      <c r="B276" s="255" t="n"/>
      <c r="C276" s="255" t="n"/>
      <c r="D276" s="255" t="n"/>
      <c r="E276" s="255" t="n"/>
      <c r="F276" s="255" t="n"/>
      <c r="G276" s="255" t="n"/>
      <c r="H276" s="255" t="n"/>
      <c r="I276" s="255" t="n"/>
      <c r="J276" s="255" t="n"/>
      <c r="K276" s="255" t="n"/>
      <c r="L276" s="255" t="n"/>
      <c r="M276" s="255" t="n"/>
      <c r="N276" s="255" t="n"/>
      <c r="O276" s="255" t="n"/>
      <c r="P276" s="255" t="n"/>
      <c r="Q276" s="255" t="n"/>
      <c r="R276" s="255" t="n"/>
      <c r="S276" s="255" t="n"/>
      <c r="T276" s="255" t="n"/>
      <c r="U276" s="255" t="n"/>
      <c r="V276" s="255" t="n"/>
      <c r="W276" s="255" t="n"/>
      <c r="X276" s="255" t="n"/>
      <c r="Y276" s="255" t="n"/>
      <c r="Z276" s="255" t="n"/>
    </row>
    <row r="277" ht="12.75" customHeight="1">
      <c r="A277" s="333" t="n"/>
      <c r="B277" s="255" t="n"/>
      <c r="C277" s="255" t="n"/>
      <c r="D277" s="255" t="n"/>
      <c r="E277" s="255" t="n"/>
      <c r="F277" s="255" t="n"/>
      <c r="G277" s="255" t="n"/>
      <c r="H277" s="255" t="n"/>
      <c r="I277" s="255" t="n"/>
      <c r="J277" s="255" t="n"/>
      <c r="K277" s="255" t="n"/>
      <c r="L277" s="255" t="n"/>
      <c r="M277" s="255" t="n"/>
      <c r="N277" s="255" t="n"/>
      <c r="O277" s="255" t="n"/>
      <c r="P277" s="255" t="n"/>
      <c r="Q277" s="255" t="n"/>
      <c r="R277" s="255" t="n"/>
      <c r="S277" s="255" t="n"/>
      <c r="T277" s="255" t="n"/>
      <c r="U277" s="255" t="n"/>
      <c r="V277" s="255" t="n"/>
      <c r="W277" s="255" t="n"/>
      <c r="X277" s="255" t="n"/>
      <c r="Y277" s="255" t="n"/>
      <c r="Z277" s="255" t="n"/>
    </row>
    <row r="278" ht="12.75" customHeight="1">
      <c r="A278" s="333" t="n"/>
      <c r="B278" s="255" t="n"/>
      <c r="C278" s="255" t="n"/>
      <c r="D278" s="255" t="n"/>
      <c r="E278" s="255" t="n"/>
      <c r="F278" s="255" t="n"/>
      <c r="G278" s="255" t="n"/>
      <c r="H278" s="255" t="n"/>
      <c r="I278" s="255" t="n"/>
      <c r="J278" s="255" t="n"/>
      <c r="K278" s="255" t="n"/>
      <c r="L278" s="255" t="n"/>
      <c r="M278" s="255" t="n"/>
      <c r="N278" s="255" t="n"/>
      <c r="O278" s="255" t="n"/>
      <c r="P278" s="255" t="n"/>
      <c r="Q278" s="255" t="n"/>
      <c r="R278" s="255" t="n"/>
      <c r="S278" s="255" t="n"/>
      <c r="T278" s="255" t="n"/>
      <c r="U278" s="255" t="n"/>
      <c r="V278" s="255" t="n"/>
      <c r="W278" s="255" t="n"/>
      <c r="X278" s="255" t="n"/>
      <c r="Y278" s="255" t="n"/>
      <c r="Z278" s="255" t="n"/>
    </row>
    <row r="279" ht="12.75" customHeight="1">
      <c r="A279" s="333" t="n"/>
      <c r="B279" s="255" t="n"/>
      <c r="C279" s="255" t="n"/>
      <c r="D279" s="255" t="n"/>
      <c r="E279" s="255" t="n"/>
      <c r="F279" s="255" t="n"/>
      <c r="G279" s="255" t="n"/>
      <c r="H279" s="255" t="n"/>
      <c r="I279" s="255" t="n"/>
      <c r="J279" s="255" t="n"/>
      <c r="K279" s="255" t="n"/>
      <c r="L279" s="255" t="n"/>
      <c r="M279" s="255" t="n"/>
      <c r="N279" s="255" t="n"/>
      <c r="O279" s="255" t="n"/>
      <c r="P279" s="255" t="n"/>
      <c r="Q279" s="255" t="n"/>
      <c r="R279" s="255" t="n"/>
      <c r="S279" s="255" t="n"/>
      <c r="T279" s="255" t="n"/>
      <c r="U279" s="255" t="n"/>
      <c r="V279" s="255" t="n"/>
      <c r="W279" s="255" t="n"/>
      <c r="X279" s="255" t="n"/>
      <c r="Y279" s="255" t="n"/>
      <c r="Z279" s="255" t="n"/>
    </row>
    <row r="280" ht="12.75" customHeight="1">
      <c r="A280" s="333" t="n"/>
      <c r="B280" s="255" t="n"/>
      <c r="C280" s="255" t="n"/>
      <c r="D280" s="255" t="n"/>
      <c r="E280" s="255" t="n"/>
      <c r="F280" s="255" t="n"/>
      <c r="G280" s="255" t="n"/>
      <c r="H280" s="255" t="n"/>
      <c r="I280" s="255" t="n"/>
      <c r="J280" s="255" t="n"/>
      <c r="K280" s="255" t="n"/>
      <c r="L280" s="255" t="n"/>
      <c r="M280" s="255" t="n"/>
      <c r="N280" s="255" t="n"/>
      <c r="O280" s="255" t="n"/>
      <c r="P280" s="255" t="n"/>
      <c r="Q280" s="255" t="n"/>
      <c r="R280" s="255" t="n"/>
      <c r="S280" s="255" t="n"/>
      <c r="T280" s="255" t="n"/>
      <c r="U280" s="255" t="n"/>
      <c r="V280" s="255" t="n"/>
      <c r="W280" s="255" t="n"/>
      <c r="X280" s="255" t="n"/>
      <c r="Y280" s="255" t="n"/>
      <c r="Z280" s="255" t="n"/>
    </row>
    <row r="281" ht="12.75" customHeight="1">
      <c r="A281" s="333" t="n"/>
      <c r="B281" s="255" t="n"/>
      <c r="C281" s="255" t="n"/>
      <c r="D281" s="255" t="n"/>
      <c r="E281" s="255" t="n"/>
      <c r="F281" s="255" t="n"/>
      <c r="G281" s="255" t="n"/>
      <c r="H281" s="255" t="n"/>
      <c r="I281" s="255" t="n"/>
      <c r="J281" s="255" t="n"/>
      <c r="K281" s="255" t="n"/>
      <c r="L281" s="255" t="n"/>
      <c r="M281" s="255" t="n"/>
      <c r="N281" s="255" t="n"/>
      <c r="O281" s="255" t="n"/>
      <c r="P281" s="255" t="n"/>
      <c r="Q281" s="255" t="n"/>
      <c r="R281" s="255" t="n"/>
      <c r="S281" s="255" t="n"/>
      <c r="T281" s="255" t="n"/>
      <c r="U281" s="255" t="n"/>
      <c r="V281" s="255" t="n"/>
      <c r="W281" s="255" t="n"/>
      <c r="X281" s="255" t="n"/>
      <c r="Y281" s="255" t="n"/>
      <c r="Z281" s="255" t="n"/>
    </row>
    <row r="282" ht="12.75" customHeight="1">
      <c r="A282" s="333" t="n"/>
      <c r="B282" s="255" t="n"/>
      <c r="C282" s="255" t="n"/>
      <c r="D282" s="255" t="n"/>
      <c r="E282" s="255" t="n"/>
      <c r="F282" s="255" t="n"/>
      <c r="G282" s="255" t="n"/>
      <c r="H282" s="255" t="n"/>
      <c r="I282" s="255" t="n"/>
      <c r="J282" s="255" t="n"/>
      <c r="K282" s="255" t="n"/>
      <c r="L282" s="255" t="n"/>
      <c r="M282" s="255" t="n"/>
      <c r="N282" s="255" t="n"/>
      <c r="O282" s="255" t="n"/>
      <c r="P282" s="255" t="n"/>
      <c r="Q282" s="255" t="n"/>
      <c r="R282" s="255" t="n"/>
      <c r="S282" s="255" t="n"/>
      <c r="T282" s="255" t="n"/>
      <c r="U282" s="255" t="n"/>
      <c r="V282" s="255" t="n"/>
      <c r="W282" s="255" t="n"/>
      <c r="X282" s="255" t="n"/>
      <c r="Y282" s="255" t="n"/>
      <c r="Z282" s="255" t="n"/>
    </row>
    <row r="283" ht="12.75" customHeight="1">
      <c r="A283" s="333" t="n"/>
      <c r="B283" s="255" t="n"/>
      <c r="C283" s="255" t="n"/>
      <c r="D283" s="255" t="n"/>
      <c r="E283" s="255" t="n"/>
      <c r="F283" s="255" t="n"/>
      <c r="G283" s="255" t="n"/>
      <c r="H283" s="255" t="n"/>
      <c r="I283" s="255" t="n"/>
      <c r="J283" s="255" t="n"/>
      <c r="K283" s="255" t="n"/>
      <c r="L283" s="255" t="n"/>
      <c r="M283" s="255" t="n"/>
      <c r="N283" s="255" t="n"/>
      <c r="O283" s="255" t="n"/>
      <c r="P283" s="255" t="n"/>
      <c r="Q283" s="255" t="n"/>
      <c r="R283" s="255" t="n"/>
      <c r="S283" s="255" t="n"/>
      <c r="T283" s="255" t="n"/>
      <c r="U283" s="255" t="n"/>
      <c r="V283" s="255" t="n"/>
      <c r="W283" s="255" t="n"/>
      <c r="X283" s="255" t="n"/>
      <c r="Y283" s="255" t="n"/>
      <c r="Z283" s="255" t="n"/>
    </row>
    <row r="284" ht="12.75" customHeight="1">
      <c r="A284" s="333" t="n"/>
      <c r="B284" s="255" t="n"/>
      <c r="C284" s="255" t="n"/>
      <c r="D284" s="255" t="n"/>
      <c r="E284" s="255" t="n"/>
      <c r="F284" s="255" t="n"/>
      <c r="G284" s="255" t="n"/>
      <c r="H284" s="255" t="n"/>
      <c r="I284" s="255" t="n"/>
      <c r="J284" s="255" t="n"/>
      <c r="K284" s="255" t="n"/>
      <c r="L284" s="255" t="n"/>
      <c r="M284" s="255" t="n"/>
      <c r="N284" s="255" t="n"/>
      <c r="O284" s="255" t="n"/>
      <c r="P284" s="255" t="n"/>
      <c r="Q284" s="255" t="n"/>
      <c r="R284" s="255" t="n"/>
      <c r="S284" s="255" t="n"/>
      <c r="T284" s="255" t="n"/>
      <c r="U284" s="255" t="n"/>
      <c r="V284" s="255" t="n"/>
      <c r="W284" s="255" t="n"/>
      <c r="X284" s="255" t="n"/>
      <c r="Y284" s="255" t="n"/>
      <c r="Z284" s="255" t="n"/>
    </row>
    <row r="285" ht="12.75" customHeight="1">
      <c r="A285" s="333" t="n"/>
      <c r="B285" s="255" t="n"/>
      <c r="C285" s="255" t="n"/>
      <c r="D285" s="255" t="n"/>
      <c r="E285" s="255" t="n"/>
      <c r="F285" s="255" t="n"/>
      <c r="G285" s="255" t="n"/>
      <c r="H285" s="255" t="n"/>
      <c r="I285" s="255" t="n"/>
      <c r="J285" s="255" t="n"/>
      <c r="K285" s="255" t="n"/>
      <c r="L285" s="255" t="n"/>
      <c r="M285" s="255" t="n"/>
      <c r="N285" s="255" t="n"/>
      <c r="O285" s="255" t="n"/>
      <c r="P285" s="255" t="n"/>
      <c r="Q285" s="255" t="n"/>
      <c r="R285" s="255" t="n"/>
      <c r="S285" s="255" t="n"/>
      <c r="T285" s="255" t="n"/>
      <c r="U285" s="255" t="n"/>
      <c r="V285" s="255" t="n"/>
      <c r="W285" s="255" t="n"/>
      <c r="X285" s="255" t="n"/>
      <c r="Y285" s="255" t="n"/>
      <c r="Z285" s="255" t="n"/>
    </row>
    <row r="286" ht="12.75" customHeight="1">
      <c r="A286" s="333" t="n"/>
      <c r="B286" s="255" t="n"/>
      <c r="C286" s="255" t="n"/>
      <c r="D286" s="255" t="n"/>
      <c r="E286" s="255" t="n"/>
      <c r="F286" s="255" t="n"/>
      <c r="G286" s="255" t="n"/>
      <c r="H286" s="255" t="n"/>
      <c r="I286" s="255" t="n"/>
      <c r="J286" s="255" t="n"/>
      <c r="K286" s="255" t="n"/>
      <c r="L286" s="255" t="n"/>
      <c r="M286" s="255" t="n"/>
      <c r="N286" s="255" t="n"/>
      <c r="O286" s="255" t="n"/>
      <c r="P286" s="255" t="n"/>
      <c r="Q286" s="255" t="n"/>
      <c r="R286" s="255" t="n"/>
      <c r="S286" s="255" t="n"/>
      <c r="T286" s="255" t="n"/>
      <c r="U286" s="255" t="n"/>
      <c r="V286" s="255" t="n"/>
      <c r="W286" s="255" t="n"/>
      <c r="X286" s="255" t="n"/>
      <c r="Y286" s="255" t="n"/>
      <c r="Z286" s="255" t="n"/>
    </row>
    <row r="287" ht="12.75" customHeight="1">
      <c r="A287" s="333" t="n"/>
      <c r="B287" s="255" t="n"/>
      <c r="C287" s="255" t="n"/>
      <c r="D287" s="255" t="n"/>
      <c r="E287" s="255" t="n"/>
      <c r="F287" s="255" t="n"/>
      <c r="G287" s="255" t="n"/>
      <c r="H287" s="255" t="n"/>
      <c r="I287" s="255" t="n"/>
      <c r="J287" s="255" t="n"/>
      <c r="K287" s="255" t="n"/>
      <c r="L287" s="255" t="n"/>
      <c r="M287" s="255" t="n"/>
      <c r="N287" s="255" t="n"/>
      <c r="O287" s="255" t="n"/>
      <c r="P287" s="255" t="n"/>
      <c r="Q287" s="255" t="n"/>
      <c r="R287" s="255" t="n"/>
      <c r="S287" s="255" t="n"/>
      <c r="T287" s="255" t="n"/>
      <c r="U287" s="255" t="n"/>
      <c r="V287" s="255" t="n"/>
      <c r="W287" s="255" t="n"/>
      <c r="X287" s="255" t="n"/>
      <c r="Y287" s="255" t="n"/>
      <c r="Z287" s="255" t="n"/>
    </row>
    <row r="288" ht="12.75" customHeight="1">
      <c r="A288" s="333" t="n"/>
      <c r="B288" s="255" t="n"/>
      <c r="C288" s="255" t="n"/>
      <c r="D288" s="255" t="n"/>
      <c r="E288" s="255" t="n"/>
      <c r="F288" s="255" t="n"/>
      <c r="G288" s="255" t="n"/>
      <c r="H288" s="255" t="n"/>
      <c r="I288" s="255" t="n"/>
      <c r="J288" s="255" t="n"/>
      <c r="K288" s="255" t="n"/>
      <c r="L288" s="255" t="n"/>
      <c r="M288" s="255" t="n"/>
      <c r="N288" s="255" t="n"/>
      <c r="O288" s="255" t="n"/>
      <c r="P288" s="255" t="n"/>
      <c r="Q288" s="255" t="n"/>
      <c r="R288" s="255" t="n"/>
      <c r="S288" s="255" t="n"/>
      <c r="T288" s="255" t="n"/>
      <c r="U288" s="255" t="n"/>
      <c r="V288" s="255" t="n"/>
      <c r="W288" s="255" t="n"/>
      <c r="X288" s="255" t="n"/>
      <c r="Y288" s="255" t="n"/>
      <c r="Z288" s="255" t="n"/>
    </row>
    <row r="289" ht="12.75" customHeight="1">
      <c r="A289" s="333" t="n"/>
      <c r="B289" s="255" t="n"/>
      <c r="C289" s="255" t="n"/>
      <c r="D289" s="255" t="n"/>
      <c r="E289" s="255" t="n"/>
      <c r="F289" s="255" t="n"/>
      <c r="G289" s="255" t="n"/>
      <c r="H289" s="255" t="n"/>
      <c r="I289" s="255" t="n"/>
      <c r="J289" s="255" t="n"/>
      <c r="K289" s="255" t="n"/>
      <c r="L289" s="255" t="n"/>
      <c r="M289" s="255" t="n"/>
      <c r="N289" s="255" t="n"/>
      <c r="O289" s="255" t="n"/>
      <c r="P289" s="255" t="n"/>
      <c r="Q289" s="255" t="n"/>
      <c r="R289" s="255" t="n"/>
      <c r="S289" s="255" t="n"/>
      <c r="T289" s="255" t="n"/>
      <c r="U289" s="255" t="n"/>
      <c r="V289" s="255" t="n"/>
      <c r="W289" s="255" t="n"/>
      <c r="X289" s="255" t="n"/>
      <c r="Y289" s="255" t="n"/>
      <c r="Z289" s="255" t="n"/>
    </row>
    <row r="290" ht="12.75" customHeight="1">
      <c r="A290" s="333" t="n"/>
      <c r="B290" s="255" t="n"/>
      <c r="C290" s="255" t="n"/>
      <c r="D290" s="255" t="n"/>
      <c r="E290" s="255" t="n"/>
      <c r="F290" s="255" t="n"/>
      <c r="G290" s="255" t="n"/>
      <c r="H290" s="255" t="n"/>
      <c r="I290" s="255" t="n"/>
      <c r="J290" s="255" t="n"/>
      <c r="K290" s="255" t="n"/>
      <c r="L290" s="255" t="n"/>
      <c r="M290" s="255" t="n"/>
      <c r="N290" s="255" t="n"/>
      <c r="O290" s="255" t="n"/>
      <c r="P290" s="255" t="n"/>
      <c r="Q290" s="255" t="n"/>
      <c r="R290" s="255" t="n"/>
      <c r="S290" s="255" t="n"/>
      <c r="T290" s="255" t="n"/>
      <c r="U290" s="255" t="n"/>
      <c r="V290" s="255" t="n"/>
      <c r="W290" s="255" t="n"/>
      <c r="X290" s="255" t="n"/>
      <c r="Y290" s="255" t="n"/>
      <c r="Z290" s="255" t="n"/>
    </row>
    <row r="291" ht="12.75" customHeight="1">
      <c r="A291" s="333" t="n"/>
      <c r="B291" s="255" t="n"/>
      <c r="C291" s="255" t="n"/>
      <c r="D291" s="255" t="n"/>
      <c r="E291" s="255" t="n"/>
      <c r="F291" s="255" t="n"/>
      <c r="G291" s="255" t="n"/>
      <c r="H291" s="255" t="n"/>
      <c r="I291" s="255" t="n"/>
      <c r="J291" s="255" t="n"/>
      <c r="K291" s="255" t="n"/>
      <c r="L291" s="255" t="n"/>
      <c r="M291" s="255" t="n"/>
      <c r="N291" s="255" t="n"/>
      <c r="O291" s="255" t="n"/>
      <c r="P291" s="255" t="n"/>
      <c r="Q291" s="255" t="n"/>
      <c r="R291" s="255" t="n"/>
      <c r="S291" s="255" t="n"/>
      <c r="T291" s="255" t="n"/>
      <c r="U291" s="255" t="n"/>
      <c r="V291" s="255" t="n"/>
      <c r="W291" s="255" t="n"/>
      <c r="X291" s="255" t="n"/>
      <c r="Y291" s="255" t="n"/>
      <c r="Z291" s="255" t="n"/>
    </row>
    <row r="292" ht="12.75" customHeight="1">
      <c r="A292" s="333" t="n"/>
      <c r="B292" s="255" t="n"/>
      <c r="C292" s="255" t="n"/>
      <c r="D292" s="255" t="n"/>
      <c r="E292" s="255" t="n"/>
      <c r="F292" s="255" t="n"/>
      <c r="G292" s="255" t="n"/>
      <c r="H292" s="255" t="n"/>
      <c r="I292" s="255" t="n"/>
      <c r="J292" s="255" t="n"/>
      <c r="K292" s="255" t="n"/>
      <c r="L292" s="255" t="n"/>
      <c r="M292" s="255" t="n"/>
      <c r="N292" s="255" t="n"/>
      <c r="O292" s="255" t="n"/>
      <c r="P292" s="255" t="n"/>
      <c r="Q292" s="255" t="n"/>
      <c r="R292" s="255" t="n"/>
      <c r="S292" s="255" t="n"/>
      <c r="T292" s="255" t="n"/>
      <c r="U292" s="255" t="n"/>
      <c r="V292" s="255" t="n"/>
      <c r="W292" s="255" t="n"/>
      <c r="X292" s="255" t="n"/>
      <c r="Y292" s="255" t="n"/>
      <c r="Z292" s="255" t="n"/>
    </row>
    <row r="293" ht="12.75" customHeight="1">
      <c r="A293" s="333" t="n"/>
      <c r="B293" s="255" t="n"/>
      <c r="C293" s="255" t="n"/>
      <c r="D293" s="255" t="n"/>
      <c r="E293" s="255" t="n"/>
      <c r="F293" s="255" t="n"/>
      <c r="G293" s="255" t="n"/>
      <c r="H293" s="255" t="n"/>
      <c r="I293" s="255" t="n"/>
      <c r="J293" s="255" t="n"/>
      <c r="K293" s="255" t="n"/>
      <c r="L293" s="255" t="n"/>
      <c r="M293" s="255" t="n"/>
      <c r="N293" s="255" t="n"/>
      <c r="O293" s="255" t="n"/>
      <c r="P293" s="255" t="n"/>
      <c r="Q293" s="255" t="n"/>
      <c r="R293" s="255" t="n"/>
      <c r="S293" s="255" t="n"/>
      <c r="T293" s="255" t="n"/>
      <c r="U293" s="255" t="n"/>
      <c r="V293" s="255" t="n"/>
      <c r="W293" s="255" t="n"/>
      <c r="X293" s="255" t="n"/>
      <c r="Y293" s="255" t="n"/>
      <c r="Z293" s="255" t="n"/>
    </row>
    <row r="294" ht="12.75" customHeight="1">
      <c r="A294" s="333" t="n"/>
      <c r="B294" s="255" t="n"/>
      <c r="C294" s="255" t="n"/>
      <c r="D294" s="255" t="n"/>
      <c r="E294" s="255" t="n"/>
      <c r="F294" s="255" t="n"/>
      <c r="G294" s="255" t="n"/>
      <c r="H294" s="255" t="n"/>
      <c r="I294" s="255" t="n"/>
      <c r="J294" s="255" t="n"/>
      <c r="K294" s="255" t="n"/>
      <c r="L294" s="255" t="n"/>
      <c r="M294" s="255" t="n"/>
      <c r="N294" s="255" t="n"/>
      <c r="O294" s="255" t="n"/>
      <c r="P294" s="255" t="n"/>
      <c r="Q294" s="255" t="n"/>
      <c r="R294" s="255" t="n"/>
      <c r="S294" s="255" t="n"/>
      <c r="T294" s="255" t="n"/>
      <c r="U294" s="255" t="n"/>
      <c r="V294" s="255" t="n"/>
      <c r="W294" s="255" t="n"/>
      <c r="X294" s="255" t="n"/>
      <c r="Y294" s="255" t="n"/>
      <c r="Z294" s="255" t="n"/>
    </row>
    <row r="295" ht="12.75" customHeight="1">
      <c r="A295" s="333" t="n"/>
      <c r="B295" s="255" t="n"/>
      <c r="C295" s="255" t="n"/>
      <c r="D295" s="255" t="n"/>
      <c r="E295" s="255" t="n"/>
      <c r="F295" s="255" t="n"/>
      <c r="G295" s="255" t="n"/>
      <c r="H295" s="255" t="n"/>
      <c r="I295" s="255" t="n"/>
      <c r="J295" s="255" t="n"/>
      <c r="K295" s="255" t="n"/>
      <c r="L295" s="255" t="n"/>
      <c r="M295" s="255" t="n"/>
      <c r="N295" s="255" t="n"/>
      <c r="O295" s="255" t="n"/>
      <c r="P295" s="255" t="n"/>
      <c r="Q295" s="255" t="n"/>
      <c r="R295" s="255" t="n"/>
      <c r="S295" s="255" t="n"/>
      <c r="T295" s="255" t="n"/>
      <c r="U295" s="255" t="n"/>
      <c r="V295" s="255" t="n"/>
      <c r="W295" s="255" t="n"/>
      <c r="X295" s="255" t="n"/>
      <c r="Y295" s="255" t="n"/>
      <c r="Z295" s="255" t="n"/>
    </row>
    <row r="296" ht="12.75" customHeight="1">
      <c r="A296" s="333" t="n"/>
      <c r="B296" s="255" t="n"/>
      <c r="C296" s="255" t="n"/>
      <c r="D296" s="255" t="n"/>
      <c r="E296" s="255" t="n"/>
      <c r="F296" s="255" t="n"/>
      <c r="G296" s="255" t="n"/>
      <c r="H296" s="255" t="n"/>
      <c r="I296" s="255" t="n"/>
      <c r="J296" s="255" t="n"/>
      <c r="K296" s="255" t="n"/>
      <c r="L296" s="255" t="n"/>
      <c r="M296" s="255" t="n"/>
      <c r="N296" s="255" t="n"/>
      <c r="O296" s="255" t="n"/>
      <c r="P296" s="255" t="n"/>
      <c r="Q296" s="255" t="n"/>
      <c r="R296" s="255" t="n"/>
      <c r="S296" s="255" t="n"/>
      <c r="T296" s="255" t="n"/>
      <c r="U296" s="255" t="n"/>
      <c r="V296" s="255" t="n"/>
      <c r="W296" s="255" t="n"/>
      <c r="X296" s="255" t="n"/>
      <c r="Y296" s="255" t="n"/>
      <c r="Z296" s="255" t="n"/>
    </row>
    <row r="297" ht="12.75" customHeight="1">
      <c r="A297" s="333" t="n"/>
      <c r="B297" s="255" t="n"/>
      <c r="C297" s="255" t="n"/>
      <c r="D297" s="255" t="n"/>
      <c r="E297" s="255" t="n"/>
      <c r="F297" s="255" t="n"/>
      <c r="G297" s="255" t="n"/>
      <c r="H297" s="255" t="n"/>
      <c r="I297" s="255" t="n"/>
      <c r="J297" s="255" t="n"/>
      <c r="K297" s="255" t="n"/>
      <c r="L297" s="255" t="n"/>
      <c r="M297" s="255" t="n"/>
      <c r="N297" s="255" t="n"/>
      <c r="O297" s="255" t="n"/>
      <c r="P297" s="255" t="n"/>
      <c r="Q297" s="255" t="n"/>
      <c r="R297" s="255" t="n"/>
      <c r="S297" s="255" t="n"/>
      <c r="T297" s="255" t="n"/>
      <c r="U297" s="255" t="n"/>
      <c r="V297" s="255" t="n"/>
      <c r="W297" s="255" t="n"/>
      <c r="X297" s="255" t="n"/>
      <c r="Y297" s="255" t="n"/>
      <c r="Z297" s="255" t="n"/>
    </row>
    <row r="298" ht="12.75" customHeight="1">
      <c r="A298" s="333" t="n"/>
      <c r="B298" s="255" t="n"/>
      <c r="C298" s="255" t="n"/>
      <c r="D298" s="255" t="n"/>
      <c r="E298" s="255" t="n"/>
      <c r="F298" s="255" t="n"/>
      <c r="G298" s="255" t="n"/>
      <c r="H298" s="255" t="n"/>
      <c r="I298" s="255" t="n"/>
      <c r="J298" s="255" t="n"/>
      <c r="K298" s="255" t="n"/>
      <c r="L298" s="255" t="n"/>
      <c r="M298" s="255" t="n"/>
      <c r="N298" s="255" t="n"/>
      <c r="O298" s="255" t="n"/>
      <c r="P298" s="255" t="n"/>
      <c r="Q298" s="255" t="n"/>
      <c r="R298" s="255" t="n"/>
      <c r="S298" s="255" t="n"/>
      <c r="T298" s="255" t="n"/>
      <c r="U298" s="255" t="n"/>
      <c r="V298" s="255" t="n"/>
      <c r="W298" s="255" t="n"/>
      <c r="X298" s="255" t="n"/>
      <c r="Y298" s="255" t="n"/>
      <c r="Z298" s="255" t="n"/>
    </row>
    <row r="299" ht="12.75" customHeight="1">
      <c r="A299" s="333" t="n"/>
      <c r="B299" s="255" t="n"/>
      <c r="C299" s="255" t="n"/>
      <c r="D299" s="255" t="n"/>
      <c r="E299" s="255" t="n"/>
      <c r="F299" s="255" t="n"/>
      <c r="G299" s="255" t="n"/>
      <c r="H299" s="255" t="n"/>
      <c r="I299" s="255" t="n"/>
      <c r="J299" s="255" t="n"/>
      <c r="K299" s="255" t="n"/>
      <c r="L299" s="255" t="n"/>
      <c r="M299" s="255" t="n"/>
      <c r="N299" s="255" t="n"/>
      <c r="O299" s="255" t="n"/>
      <c r="P299" s="255" t="n"/>
      <c r="Q299" s="255" t="n"/>
      <c r="R299" s="255" t="n"/>
      <c r="S299" s="255" t="n"/>
      <c r="T299" s="255" t="n"/>
      <c r="U299" s="255" t="n"/>
      <c r="V299" s="255" t="n"/>
      <c r="W299" s="255" t="n"/>
      <c r="X299" s="255" t="n"/>
      <c r="Y299" s="255" t="n"/>
      <c r="Z299" s="255" t="n"/>
    </row>
    <row r="300" ht="12.75" customHeight="1">
      <c r="A300" s="333" t="n"/>
      <c r="B300" s="255" t="n"/>
      <c r="C300" s="255" t="n"/>
      <c r="D300" s="255" t="n"/>
      <c r="E300" s="255" t="n"/>
      <c r="F300" s="255" t="n"/>
      <c r="G300" s="255" t="n"/>
      <c r="H300" s="255" t="n"/>
      <c r="I300" s="255" t="n"/>
      <c r="J300" s="255" t="n"/>
      <c r="K300" s="255" t="n"/>
      <c r="L300" s="255" t="n"/>
      <c r="M300" s="255" t="n"/>
      <c r="N300" s="255" t="n"/>
      <c r="O300" s="255" t="n"/>
      <c r="P300" s="255" t="n"/>
      <c r="Q300" s="255" t="n"/>
      <c r="R300" s="255" t="n"/>
      <c r="S300" s="255" t="n"/>
      <c r="T300" s="255" t="n"/>
      <c r="U300" s="255" t="n"/>
      <c r="V300" s="255" t="n"/>
      <c r="W300" s="255" t="n"/>
      <c r="X300" s="255" t="n"/>
      <c r="Y300" s="255" t="n"/>
      <c r="Z300" s="255" t="n"/>
    </row>
    <row r="301" ht="12.75" customHeight="1">
      <c r="A301" s="333" t="n"/>
      <c r="B301" s="255" t="n"/>
      <c r="C301" s="255" t="n"/>
      <c r="D301" s="255" t="n"/>
      <c r="E301" s="255" t="n"/>
      <c r="F301" s="255" t="n"/>
      <c r="G301" s="255" t="n"/>
      <c r="H301" s="255" t="n"/>
      <c r="I301" s="255" t="n"/>
      <c r="J301" s="255" t="n"/>
      <c r="K301" s="255" t="n"/>
      <c r="L301" s="255" t="n"/>
      <c r="M301" s="255" t="n"/>
      <c r="N301" s="255" t="n"/>
      <c r="O301" s="255" t="n"/>
      <c r="P301" s="255" t="n"/>
      <c r="Q301" s="255" t="n"/>
      <c r="R301" s="255" t="n"/>
      <c r="S301" s="255" t="n"/>
      <c r="T301" s="255" t="n"/>
      <c r="U301" s="255" t="n"/>
      <c r="V301" s="255" t="n"/>
      <c r="W301" s="255" t="n"/>
      <c r="X301" s="255" t="n"/>
      <c r="Y301" s="255" t="n"/>
      <c r="Z301" s="255" t="n"/>
    </row>
    <row r="302" ht="12.75" customHeight="1">
      <c r="A302" s="333" t="n"/>
      <c r="B302" s="255" t="n"/>
      <c r="C302" s="255" t="n"/>
      <c r="D302" s="255" t="n"/>
      <c r="E302" s="255" t="n"/>
      <c r="F302" s="255" t="n"/>
      <c r="G302" s="255" t="n"/>
      <c r="H302" s="255" t="n"/>
      <c r="I302" s="255" t="n"/>
      <c r="J302" s="255" t="n"/>
      <c r="K302" s="255" t="n"/>
      <c r="L302" s="255" t="n"/>
      <c r="M302" s="255" t="n"/>
      <c r="N302" s="255" t="n"/>
      <c r="O302" s="255" t="n"/>
      <c r="P302" s="255" t="n"/>
      <c r="Q302" s="255" t="n"/>
      <c r="R302" s="255" t="n"/>
      <c r="S302" s="255" t="n"/>
      <c r="T302" s="255" t="n"/>
      <c r="U302" s="255" t="n"/>
      <c r="V302" s="255" t="n"/>
      <c r="W302" s="255" t="n"/>
      <c r="X302" s="255" t="n"/>
      <c r="Y302" s="255" t="n"/>
      <c r="Z302" s="255" t="n"/>
    </row>
    <row r="303" ht="12.75" customHeight="1">
      <c r="A303" s="333" t="n"/>
      <c r="B303" s="255" t="n"/>
      <c r="C303" s="255" t="n"/>
      <c r="D303" s="255" t="n"/>
      <c r="E303" s="255" t="n"/>
      <c r="F303" s="255" t="n"/>
      <c r="G303" s="255" t="n"/>
      <c r="H303" s="255" t="n"/>
      <c r="I303" s="255" t="n"/>
      <c r="J303" s="255" t="n"/>
      <c r="K303" s="255" t="n"/>
      <c r="L303" s="255" t="n"/>
      <c r="M303" s="255" t="n"/>
      <c r="N303" s="255" t="n"/>
      <c r="O303" s="255" t="n"/>
      <c r="P303" s="255" t="n"/>
      <c r="Q303" s="255" t="n"/>
      <c r="R303" s="255" t="n"/>
      <c r="S303" s="255" t="n"/>
      <c r="T303" s="255" t="n"/>
      <c r="U303" s="255" t="n"/>
      <c r="V303" s="255" t="n"/>
      <c r="W303" s="255" t="n"/>
      <c r="X303" s="255" t="n"/>
      <c r="Y303" s="255" t="n"/>
      <c r="Z303" s="255" t="n"/>
    </row>
    <row r="304" ht="12.75" customHeight="1">
      <c r="A304" s="333" t="n"/>
      <c r="B304" s="255" t="n"/>
      <c r="C304" s="255" t="n"/>
      <c r="D304" s="255" t="n"/>
      <c r="E304" s="255" t="n"/>
      <c r="F304" s="255" t="n"/>
      <c r="G304" s="255" t="n"/>
      <c r="H304" s="255" t="n"/>
      <c r="I304" s="255" t="n"/>
      <c r="J304" s="255" t="n"/>
      <c r="K304" s="255" t="n"/>
      <c r="L304" s="255" t="n"/>
      <c r="M304" s="255" t="n"/>
      <c r="N304" s="255" t="n"/>
      <c r="O304" s="255" t="n"/>
      <c r="P304" s="255" t="n"/>
      <c r="Q304" s="255" t="n"/>
      <c r="R304" s="255" t="n"/>
      <c r="S304" s="255" t="n"/>
      <c r="T304" s="255" t="n"/>
      <c r="U304" s="255" t="n"/>
      <c r="V304" s="255" t="n"/>
      <c r="W304" s="255" t="n"/>
      <c r="X304" s="255" t="n"/>
      <c r="Y304" s="255" t="n"/>
      <c r="Z304" s="255" t="n"/>
    </row>
    <row r="305" ht="12.75" customHeight="1">
      <c r="A305" s="333" t="n"/>
      <c r="B305" s="255" t="n"/>
      <c r="C305" s="255" t="n"/>
      <c r="D305" s="255" t="n"/>
      <c r="E305" s="255" t="n"/>
      <c r="F305" s="255" t="n"/>
      <c r="G305" s="255" t="n"/>
      <c r="H305" s="255" t="n"/>
      <c r="I305" s="255" t="n"/>
      <c r="J305" s="255" t="n"/>
      <c r="K305" s="255" t="n"/>
      <c r="L305" s="255" t="n"/>
      <c r="M305" s="255" t="n"/>
      <c r="N305" s="255" t="n"/>
      <c r="O305" s="255" t="n"/>
      <c r="P305" s="255" t="n"/>
      <c r="Q305" s="255" t="n"/>
      <c r="R305" s="255" t="n"/>
      <c r="S305" s="255" t="n"/>
      <c r="T305" s="255" t="n"/>
      <c r="U305" s="255" t="n"/>
      <c r="V305" s="255" t="n"/>
      <c r="W305" s="255" t="n"/>
      <c r="X305" s="255" t="n"/>
      <c r="Y305" s="255" t="n"/>
      <c r="Z305" s="255" t="n"/>
    </row>
    <row r="306" ht="12.75" customHeight="1">
      <c r="A306" s="333" t="n"/>
      <c r="B306" s="255" t="n"/>
      <c r="C306" s="255" t="n"/>
      <c r="D306" s="255" t="n"/>
      <c r="E306" s="255" t="n"/>
      <c r="F306" s="255" t="n"/>
      <c r="G306" s="255" t="n"/>
      <c r="H306" s="255" t="n"/>
      <c r="I306" s="255" t="n"/>
      <c r="J306" s="255" t="n"/>
      <c r="K306" s="255" t="n"/>
      <c r="L306" s="255" t="n"/>
      <c r="M306" s="255" t="n"/>
      <c r="N306" s="255" t="n"/>
      <c r="O306" s="255" t="n"/>
      <c r="P306" s="255" t="n"/>
      <c r="Q306" s="255" t="n"/>
      <c r="R306" s="255" t="n"/>
      <c r="S306" s="255" t="n"/>
      <c r="T306" s="255" t="n"/>
      <c r="U306" s="255" t="n"/>
      <c r="V306" s="255" t="n"/>
      <c r="W306" s="255" t="n"/>
      <c r="X306" s="255" t="n"/>
      <c r="Y306" s="255" t="n"/>
      <c r="Z306" s="255" t="n"/>
    </row>
    <row r="307" ht="12.75" customHeight="1">
      <c r="A307" s="333" t="n"/>
      <c r="B307" s="255" t="n"/>
      <c r="C307" s="255" t="n"/>
      <c r="D307" s="255" t="n"/>
      <c r="E307" s="255" t="n"/>
      <c r="F307" s="255" t="n"/>
      <c r="G307" s="255" t="n"/>
      <c r="H307" s="255" t="n"/>
      <c r="I307" s="255" t="n"/>
      <c r="J307" s="255" t="n"/>
      <c r="K307" s="255" t="n"/>
      <c r="L307" s="255" t="n"/>
      <c r="M307" s="255" t="n"/>
      <c r="N307" s="255" t="n"/>
      <c r="O307" s="255" t="n"/>
      <c r="P307" s="255" t="n"/>
      <c r="Q307" s="255" t="n"/>
      <c r="R307" s="255" t="n"/>
      <c r="S307" s="255" t="n"/>
      <c r="T307" s="255" t="n"/>
      <c r="U307" s="255" t="n"/>
      <c r="V307" s="255" t="n"/>
      <c r="W307" s="255" t="n"/>
      <c r="X307" s="255" t="n"/>
      <c r="Y307" s="255" t="n"/>
      <c r="Z307" s="255" t="n"/>
    </row>
    <row r="308" ht="12.75" customHeight="1">
      <c r="A308" s="333" t="n"/>
      <c r="B308" s="255" t="n"/>
      <c r="C308" s="255" t="n"/>
      <c r="D308" s="255" t="n"/>
      <c r="E308" s="255" t="n"/>
      <c r="F308" s="255" t="n"/>
      <c r="G308" s="255" t="n"/>
      <c r="H308" s="255" t="n"/>
      <c r="I308" s="255" t="n"/>
      <c r="J308" s="255" t="n"/>
      <c r="K308" s="255" t="n"/>
      <c r="L308" s="255" t="n"/>
      <c r="M308" s="255" t="n"/>
      <c r="N308" s="255" t="n"/>
      <c r="O308" s="255" t="n"/>
      <c r="P308" s="255" t="n"/>
      <c r="Q308" s="255" t="n"/>
      <c r="R308" s="255" t="n"/>
      <c r="S308" s="255" t="n"/>
      <c r="T308" s="255" t="n"/>
      <c r="U308" s="255" t="n"/>
      <c r="V308" s="255" t="n"/>
      <c r="W308" s="255" t="n"/>
      <c r="X308" s="255" t="n"/>
      <c r="Y308" s="255" t="n"/>
      <c r="Z308" s="255" t="n"/>
    </row>
    <row r="309" ht="12.75" customHeight="1">
      <c r="A309" s="333" t="n"/>
      <c r="B309" s="255" t="n"/>
      <c r="C309" s="255" t="n"/>
      <c r="D309" s="255" t="n"/>
      <c r="E309" s="255" t="n"/>
      <c r="F309" s="255" t="n"/>
      <c r="G309" s="255" t="n"/>
      <c r="H309" s="255" t="n"/>
      <c r="I309" s="255" t="n"/>
      <c r="J309" s="255" t="n"/>
      <c r="K309" s="255" t="n"/>
      <c r="L309" s="255" t="n"/>
      <c r="M309" s="255" t="n"/>
      <c r="N309" s="255" t="n"/>
      <c r="O309" s="255" t="n"/>
      <c r="P309" s="255" t="n"/>
      <c r="Q309" s="255" t="n"/>
      <c r="R309" s="255" t="n"/>
      <c r="S309" s="255" t="n"/>
      <c r="T309" s="255" t="n"/>
      <c r="U309" s="255" t="n"/>
      <c r="V309" s="255" t="n"/>
      <c r="W309" s="255" t="n"/>
      <c r="X309" s="255" t="n"/>
      <c r="Y309" s="255" t="n"/>
      <c r="Z309" s="255" t="n"/>
    </row>
    <row r="310" ht="12.75" customHeight="1">
      <c r="A310" s="333" t="n"/>
      <c r="B310" s="255" t="n"/>
      <c r="C310" s="255" t="n"/>
      <c r="D310" s="255" t="n"/>
      <c r="E310" s="255" t="n"/>
      <c r="F310" s="255" t="n"/>
      <c r="G310" s="255" t="n"/>
      <c r="H310" s="255" t="n"/>
      <c r="I310" s="255" t="n"/>
      <c r="J310" s="255" t="n"/>
      <c r="K310" s="255" t="n"/>
      <c r="L310" s="255" t="n"/>
      <c r="M310" s="255" t="n"/>
      <c r="N310" s="255" t="n"/>
      <c r="O310" s="255" t="n"/>
      <c r="P310" s="255" t="n"/>
      <c r="Q310" s="255" t="n"/>
      <c r="R310" s="255" t="n"/>
      <c r="S310" s="255" t="n"/>
      <c r="T310" s="255" t="n"/>
      <c r="U310" s="255" t="n"/>
      <c r="V310" s="255" t="n"/>
      <c r="W310" s="255" t="n"/>
      <c r="X310" s="255" t="n"/>
      <c r="Y310" s="255" t="n"/>
      <c r="Z310" s="255" t="n"/>
    </row>
    <row r="311" ht="12.75" customHeight="1">
      <c r="A311" s="333" t="n"/>
      <c r="B311" s="255" t="n"/>
      <c r="C311" s="255" t="n"/>
      <c r="D311" s="255" t="n"/>
      <c r="E311" s="255" t="n"/>
      <c r="F311" s="255" t="n"/>
      <c r="G311" s="255" t="n"/>
      <c r="H311" s="255" t="n"/>
      <c r="I311" s="255" t="n"/>
      <c r="J311" s="255" t="n"/>
      <c r="K311" s="255" t="n"/>
      <c r="L311" s="255" t="n"/>
      <c r="M311" s="255" t="n"/>
      <c r="N311" s="255" t="n"/>
      <c r="O311" s="255" t="n"/>
      <c r="P311" s="255" t="n"/>
      <c r="Q311" s="255" t="n"/>
      <c r="R311" s="255" t="n"/>
      <c r="S311" s="255" t="n"/>
      <c r="T311" s="255" t="n"/>
      <c r="U311" s="255" t="n"/>
      <c r="V311" s="255" t="n"/>
      <c r="W311" s="255" t="n"/>
      <c r="X311" s="255" t="n"/>
      <c r="Y311" s="255" t="n"/>
      <c r="Z311" s="255" t="n"/>
    </row>
    <row r="312" ht="12.75" customHeight="1">
      <c r="A312" s="333" t="n"/>
      <c r="B312" s="255" t="n"/>
      <c r="C312" s="255" t="n"/>
      <c r="D312" s="255" t="n"/>
      <c r="E312" s="255" t="n"/>
      <c r="F312" s="255" t="n"/>
      <c r="G312" s="255" t="n"/>
      <c r="H312" s="255" t="n"/>
      <c r="I312" s="255" t="n"/>
      <c r="J312" s="255" t="n"/>
      <c r="K312" s="255" t="n"/>
      <c r="L312" s="255" t="n"/>
      <c r="M312" s="255" t="n"/>
      <c r="N312" s="255" t="n"/>
      <c r="O312" s="255" t="n"/>
      <c r="P312" s="255" t="n"/>
      <c r="Q312" s="255" t="n"/>
      <c r="R312" s="255" t="n"/>
      <c r="S312" s="255" t="n"/>
      <c r="T312" s="255" t="n"/>
      <c r="U312" s="255" t="n"/>
      <c r="V312" s="255" t="n"/>
      <c r="W312" s="255" t="n"/>
      <c r="X312" s="255" t="n"/>
      <c r="Y312" s="255" t="n"/>
      <c r="Z312" s="255" t="n"/>
    </row>
    <row r="313" ht="12.75" customHeight="1">
      <c r="A313" s="333" t="n"/>
      <c r="B313" s="255" t="n"/>
      <c r="C313" s="255" t="n"/>
      <c r="D313" s="255" t="n"/>
      <c r="E313" s="255" t="n"/>
      <c r="F313" s="255" t="n"/>
      <c r="G313" s="255" t="n"/>
      <c r="H313" s="255" t="n"/>
      <c r="I313" s="255" t="n"/>
      <c r="J313" s="255" t="n"/>
      <c r="K313" s="255" t="n"/>
      <c r="L313" s="255" t="n"/>
      <c r="M313" s="255" t="n"/>
      <c r="N313" s="255" t="n"/>
      <c r="O313" s="255" t="n"/>
      <c r="P313" s="255" t="n"/>
      <c r="Q313" s="255" t="n"/>
      <c r="R313" s="255" t="n"/>
      <c r="S313" s="255" t="n"/>
      <c r="T313" s="255" t="n"/>
      <c r="U313" s="255" t="n"/>
      <c r="V313" s="255" t="n"/>
      <c r="W313" s="255" t="n"/>
      <c r="X313" s="255" t="n"/>
      <c r="Y313" s="255" t="n"/>
      <c r="Z313" s="255" t="n"/>
    </row>
    <row r="314" ht="12.75" customHeight="1">
      <c r="A314" s="333" t="n"/>
      <c r="B314" s="255" t="n"/>
      <c r="C314" s="255" t="n"/>
      <c r="D314" s="255" t="n"/>
      <c r="E314" s="255" t="n"/>
      <c r="F314" s="255" t="n"/>
      <c r="G314" s="255" t="n"/>
      <c r="H314" s="255" t="n"/>
      <c r="I314" s="255" t="n"/>
      <c r="J314" s="255" t="n"/>
      <c r="K314" s="255" t="n"/>
      <c r="L314" s="255" t="n"/>
      <c r="M314" s="255" t="n"/>
      <c r="N314" s="255" t="n"/>
      <c r="O314" s="255" t="n"/>
      <c r="P314" s="255" t="n"/>
      <c r="Q314" s="255" t="n"/>
      <c r="R314" s="255" t="n"/>
      <c r="S314" s="255" t="n"/>
      <c r="T314" s="255" t="n"/>
      <c r="U314" s="255" t="n"/>
      <c r="V314" s="255" t="n"/>
      <c r="W314" s="255" t="n"/>
      <c r="X314" s="255" t="n"/>
      <c r="Y314" s="255" t="n"/>
      <c r="Z314" s="255" t="n"/>
    </row>
    <row r="315" ht="12.75" customHeight="1">
      <c r="A315" s="333" t="n"/>
      <c r="B315" s="255" t="n"/>
      <c r="C315" s="255" t="n"/>
      <c r="D315" s="255" t="n"/>
      <c r="E315" s="255" t="n"/>
      <c r="F315" s="255" t="n"/>
      <c r="G315" s="255" t="n"/>
      <c r="H315" s="255" t="n"/>
      <c r="I315" s="255" t="n"/>
      <c r="J315" s="255" t="n"/>
      <c r="K315" s="255" t="n"/>
      <c r="L315" s="255" t="n"/>
      <c r="M315" s="255" t="n"/>
      <c r="N315" s="255" t="n"/>
      <c r="O315" s="255" t="n"/>
      <c r="P315" s="255" t="n"/>
      <c r="Q315" s="255" t="n"/>
      <c r="R315" s="255" t="n"/>
      <c r="S315" s="255" t="n"/>
      <c r="T315" s="255" t="n"/>
      <c r="U315" s="255" t="n"/>
      <c r="V315" s="255" t="n"/>
      <c r="W315" s="255" t="n"/>
      <c r="X315" s="255" t="n"/>
      <c r="Y315" s="255" t="n"/>
      <c r="Z315" s="255" t="n"/>
    </row>
    <row r="316" ht="12.75" customHeight="1">
      <c r="A316" s="333" t="n"/>
      <c r="B316" s="255" t="n"/>
      <c r="C316" s="255" t="n"/>
      <c r="D316" s="255" t="n"/>
      <c r="E316" s="255" t="n"/>
      <c r="F316" s="255" t="n"/>
      <c r="G316" s="255" t="n"/>
      <c r="H316" s="255" t="n"/>
      <c r="I316" s="255" t="n"/>
      <c r="J316" s="255" t="n"/>
      <c r="K316" s="255" t="n"/>
      <c r="L316" s="255" t="n"/>
      <c r="M316" s="255" t="n"/>
      <c r="N316" s="255" t="n"/>
      <c r="O316" s="255" t="n"/>
      <c r="P316" s="255" t="n"/>
      <c r="Q316" s="255" t="n"/>
      <c r="R316" s="255" t="n"/>
      <c r="S316" s="255" t="n"/>
      <c r="T316" s="255" t="n"/>
      <c r="U316" s="255" t="n"/>
      <c r="V316" s="255" t="n"/>
      <c r="W316" s="255" t="n"/>
      <c r="X316" s="255" t="n"/>
      <c r="Y316" s="255" t="n"/>
      <c r="Z316" s="255" t="n"/>
    </row>
    <row r="317" ht="12.75" customHeight="1">
      <c r="A317" s="333" t="n"/>
      <c r="B317" s="255" t="n"/>
      <c r="C317" s="255" t="n"/>
      <c r="D317" s="255" t="n"/>
      <c r="E317" s="255" t="n"/>
      <c r="F317" s="255" t="n"/>
      <c r="G317" s="255" t="n"/>
      <c r="H317" s="255" t="n"/>
      <c r="I317" s="255" t="n"/>
      <c r="J317" s="255" t="n"/>
      <c r="K317" s="255" t="n"/>
      <c r="L317" s="255" t="n"/>
      <c r="M317" s="255" t="n"/>
      <c r="N317" s="255" t="n"/>
      <c r="O317" s="255" t="n"/>
      <c r="P317" s="255" t="n"/>
      <c r="Q317" s="255" t="n"/>
      <c r="R317" s="255" t="n"/>
      <c r="S317" s="255" t="n"/>
      <c r="T317" s="255" t="n"/>
      <c r="U317" s="255" t="n"/>
      <c r="V317" s="255" t="n"/>
      <c r="W317" s="255" t="n"/>
      <c r="X317" s="255" t="n"/>
      <c r="Y317" s="255" t="n"/>
      <c r="Z317" s="255" t="n"/>
    </row>
    <row r="318" ht="12.75" customHeight="1">
      <c r="A318" s="333" t="n"/>
      <c r="B318" s="255" t="n"/>
      <c r="C318" s="255" t="n"/>
      <c r="D318" s="255" t="n"/>
      <c r="E318" s="255" t="n"/>
      <c r="F318" s="255" t="n"/>
      <c r="G318" s="255" t="n"/>
      <c r="H318" s="255" t="n"/>
      <c r="I318" s="255" t="n"/>
      <c r="J318" s="255" t="n"/>
      <c r="K318" s="255" t="n"/>
      <c r="L318" s="255" t="n"/>
      <c r="M318" s="255" t="n"/>
      <c r="N318" s="255" t="n"/>
      <c r="O318" s="255" t="n"/>
      <c r="P318" s="255" t="n"/>
      <c r="Q318" s="255" t="n"/>
      <c r="R318" s="255" t="n"/>
      <c r="S318" s="255" t="n"/>
      <c r="T318" s="255" t="n"/>
      <c r="U318" s="255" t="n"/>
      <c r="V318" s="255" t="n"/>
      <c r="W318" s="255" t="n"/>
      <c r="X318" s="255" t="n"/>
      <c r="Y318" s="255" t="n"/>
      <c r="Z318" s="255" t="n"/>
    </row>
    <row r="319" ht="12.75" customHeight="1">
      <c r="A319" s="333" t="n"/>
      <c r="B319" s="255" t="n"/>
      <c r="C319" s="255" t="n"/>
      <c r="D319" s="255" t="n"/>
      <c r="E319" s="255" t="n"/>
      <c r="F319" s="255" t="n"/>
      <c r="G319" s="255" t="n"/>
      <c r="H319" s="255" t="n"/>
      <c r="I319" s="255" t="n"/>
      <c r="J319" s="255" t="n"/>
      <c r="K319" s="255" t="n"/>
      <c r="L319" s="255" t="n"/>
      <c r="M319" s="255" t="n"/>
      <c r="N319" s="255" t="n"/>
      <c r="O319" s="255" t="n"/>
      <c r="P319" s="255" t="n"/>
      <c r="Q319" s="255" t="n"/>
      <c r="R319" s="255" t="n"/>
      <c r="S319" s="255" t="n"/>
      <c r="T319" s="255" t="n"/>
      <c r="U319" s="255" t="n"/>
      <c r="V319" s="255" t="n"/>
      <c r="W319" s="255" t="n"/>
      <c r="X319" s="255" t="n"/>
      <c r="Y319" s="255" t="n"/>
      <c r="Z319" s="255" t="n"/>
    </row>
    <row r="320" ht="12.75" customHeight="1">
      <c r="A320" s="333" t="n"/>
      <c r="B320" s="255" t="n"/>
      <c r="C320" s="255" t="n"/>
      <c r="D320" s="255" t="n"/>
      <c r="E320" s="255" t="n"/>
      <c r="F320" s="255" t="n"/>
      <c r="G320" s="255" t="n"/>
      <c r="H320" s="255" t="n"/>
      <c r="I320" s="255" t="n"/>
      <c r="J320" s="255" t="n"/>
      <c r="K320" s="255" t="n"/>
      <c r="L320" s="255" t="n"/>
      <c r="M320" s="255" t="n"/>
      <c r="N320" s="255" t="n"/>
      <c r="O320" s="255" t="n"/>
      <c r="P320" s="255" t="n"/>
      <c r="Q320" s="255" t="n"/>
      <c r="R320" s="255" t="n"/>
      <c r="S320" s="255" t="n"/>
      <c r="T320" s="255" t="n"/>
      <c r="U320" s="255" t="n"/>
      <c r="V320" s="255" t="n"/>
      <c r="W320" s="255" t="n"/>
      <c r="X320" s="255" t="n"/>
      <c r="Y320" s="255" t="n"/>
      <c r="Z320" s="255" t="n"/>
    </row>
    <row r="321" ht="12.75" customHeight="1">
      <c r="A321" s="333" t="n"/>
      <c r="B321" s="255" t="n"/>
      <c r="C321" s="255" t="n"/>
      <c r="D321" s="255" t="n"/>
      <c r="E321" s="255" t="n"/>
      <c r="F321" s="255" t="n"/>
      <c r="G321" s="255" t="n"/>
      <c r="H321" s="255" t="n"/>
      <c r="I321" s="255" t="n"/>
      <c r="J321" s="255" t="n"/>
      <c r="K321" s="255" t="n"/>
      <c r="L321" s="255" t="n"/>
      <c r="M321" s="255" t="n"/>
      <c r="N321" s="255" t="n"/>
      <c r="O321" s="255" t="n"/>
      <c r="P321" s="255" t="n"/>
      <c r="Q321" s="255" t="n"/>
      <c r="R321" s="255" t="n"/>
      <c r="S321" s="255" t="n"/>
      <c r="T321" s="255" t="n"/>
      <c r="U321" s="255" t="n"/>
      <c r="V321" s="255" t="n"/>
      <c r="W321" s="255" t="n"/>
      <c r="X321" s="255" t="n"/>
      <c r="Y321" s="255" t="n"/>
      <c r="Z321" s="255" t="n"/>
    </row>
    <row r="322" ht="12.75" customHeight="1">
      <c r="A322" s="333" t="n"/>
      <c r="B322" s="255" t="n"/>
      <c r="C322" s="255" t="n"/>
      <c r="D322" s="255" t="n"/>
      <c r="E322" s="255" t="n"/>
      <c r="F322" s="255" t="n"/>
      <c r="G322" s="255" t="n"/>
      <c r="H322" s="255" t="n"/>
      <c r="I322" s="255" t="n"/>
      <c r="J322" s="255" t="n"/>
      <c r="K322" s="255" t="n"/>
      <c r="L322" s="255" t="n"/>
      <c r="M322" s="255" t="n"/>
      <c r="N322" s="255" t="n"/>
      <c r="O322" s="255" t="n"/>
      <c r="P322" s="255" t="n"/>
      <c r="Q322" s="255" t="n"/>
      <c r="R322" s="255" t="n"/>
      <c r="S322" s="255" t="n"/>
      <c r="T322" s="255" t="n"/>
      <c r="U322" s="255" t="n"/>
      <c r="V322" s="255" t="n"/>
      <c r="W322" s="255" t="n"/>
      <c r="X322" s="255" t="n"/>
      <c r="Y322" s="255" t="n"/>
      <c r="Z322" s="255" t="n"/>
    </row>
    <row r="323" ht="12.75" customHeight="1">
      <c r="A323" s="333" t="n"/>
      <c r="B323" s="255" t="n"/>
      <c r="C323" s="255" t="n"/>
      <c r="D323" s="255" t="n"/>
      <c r="E323" s="255" t="n"/>
      <c r="F323" s="255" t="n"/>
      <c r="G323" s="255" t="n"/>
      <c r="H323" s="255" t="n"/>
      <c r="I323" s="255" t="n"/>
      <c r="J323" s="255" t="n"/>
      <c r="K323" s="255" t="n"/>
      <c r="L323" s="255" t="n"/>
      <c r="M323" s="255" t="n"/>
      <c r="N323" s="255" t="n"/>
      <c r="O323" s="255" t="n"/>
      <c r="P323" s="255" t="n"/>
      <c r="Q323" s="255" t="n"/>
      <c r="R323" s="255" t="n"/>
      <c r="S323" s="255" t="n"/>
      <c r="T323" s="255" t="n"/>
      <c r="U323" s="255" t="n"/>
      <c r="V323" s="255" t="n"/>
      <c r="W323" s="255" t="n"/>
      <c r="X323" s="255" t="n"/>
      <c r="Y323" s="255" t="n"/>
      <c r="Z323" s="255" t="n"/>
    </row>
    <row r="324" ht="12.75" customHeight="1">
      <c r="A324" s="333" t="n"/>
      <c r="B324" s="255" t="n"/>
      <c r="C324" s="255" t="n"/>
      <c r="D324" s="255" t="n"/>
      <c r="E324" s="255" t="n"/>
      <c r="F324" s="255" t="n"/>
      <c r="G324" s="255" t="n"/>
      <c r="H324" s="255" t="n"/>
      <c r="I324" s="255" t="n"/>
      <c r="J324" s="255" t="n"/>
      <c r="K324" s="255" t="n"/>
      <c r="L324" s="255" t="n"/>
      <c r="M324" s="255" t="n"/>
      <c r="N324" s="255" t="n"/>
      <c r="O324" s="255" t="n"/>
      <c r="P324" s="255" t="n"/>
      <c r="Q324" s="255" t="n"/>
      <c r="R324" s="255" t="n"/>
      <c r="S324" s="255" t="n"/>
      <c r="T324" s="255" t="n"/>
      <c r="U324" s="255" t="n"/>
      <c r="V324" s="255" t="n"/>
      <c r="W324" s="255" t="n"/>
      <c r="X324" s="255" t="n"/>
      <c r="Y324" s="255" t="n"/>
      <c r="Z324" s="255" t="n"/>
    </row>
    <row r="325" ht="12.75" customHeight="1">
      <c r="A325" s="333" t="n"/>
      <c r="B325" s="255" t="n"/>
      <c r="C325" s="255" t="n"/>
      <c r="D325" s="255" t="n"/>
      <c r="E325" s="255" t="n"/>
      <c r="F325" s="255" t="n"/>
      <c r="G325" s="255" t="n"/>
      <c r="H325" s="255" t="n"/>
      <c r="I325" s="255" t="n"/>
      <c r="J325" s="255" t="n"/>
      <c r="K325" s="255" t="n"/>
      <c r="L325" s="255" t="n"/>
      <c r="M325" s="255" t="n"/>
      <c r="N325" s="255" t="n"/>
      <c r="O325" s="255" t="n"/>
      <c r="P325" s="255" t="n"/>
      <c r="Q325" s="255" t="n"/>
      <c r="R325" s="255" t="n"/>
      <c r="S325" s="255" t="n"/>
      <c r="T325" s="255" t="n"/>
      <c r="U325" s="255" t="n"/>
      <c r="V325" s="255" t="n"/>
      <c r="W325" s="255" t="n"/>
      <c r="X325" s="255" t="n"/>
      <c r="Y325" s="255" t="n"/>
      <c r="Z325" s="255" t="n"/>
    </row>
    <row r="326" ht="12.75" customHeight="1">
      <c r="A326" s="333" t="n"/>
      <c r="B326" s="255" t="n"/>
      <c r="C326" s="255" t="n"/>
      <c r="D326" s="255" t="n"/>
      <c r="E326" s="255" t="n"/>
      <c r="F326" s="255" t="n"/>
      <c r="G326" s="255" t="n"/>
      <c r="H326" s="255" t="n"/>
      <c r="I326" s="255" t="n"/>
      <c r="J326" s="255" t="n"/>
      <c r="K326" s="255" t="n"/>
      <c r="L326" s="255" t="n"/>
      <c r="M326" s="255" t="n"/>
      <c r="N326" s="255" t="n"/>
      <c r="O326" s="255" t="n"/>
      <c r="P326" s="255" t="n"/>
      <c r="Q326" s="255" t="n"/>
      <c r="R326" s="255" t="n"/>
      <c r="S326" s="255" t="n"/>
      <c r="T326" s="255" t="n"/>
      <c r="U326" s="255" t="n"/>
      <c r="V326" s="255" t="n"/>
      <c r="W326" s="255" t="n"/>
      <c r="X326" s="255" t="n"/>
      <c r="Y326" s="255" t="n"/>
      <c r="Z326" s="255" t="n"/>
    </row>
    <row r="327" ht="12.75" customHeight="1">
      <c r="A327" s="333" t="n"/>
      <c r="B327" s="255" t="n"/>
      <c r="C327" s="255" t="n"/>
      <c r="D327" s="255" t="n"/>
      <c r="E327" s="255" t="n"/>
      <c r="F327" s="255" t="n"/>
      <c r="G327" s="255" t="n"/>
      <c r="H327" s="255" t="n"/>
      <c r="I327" s="255" t="n"/>
      <c r="J327" s="255" t="n"/>
      <c r="K327" s="255" t="n"/>
      <c r="L327" s="255" t="n"/>
      <c r="M327" s="255" t="n"/>
      <c r="N327" s="255" t="n"/>
      <c r="O327" s="255" t="n"/>
      <c r="P327" s="255" t="n"/>
      <c r="Q327" s="255" t="n"/>
      <c r="R327" s="255" t="n"/>
      <c r="S327" s="255" t="n"/>
      <c r="T327" s="255" t="n"/>
      <c r="U327" s="255" t="n"/>
      <c r="V327" s="255" t="n"/>
      <c r="W327" s="255" t="n"/>
      <c r="X327" s="255" t="n"/>
      <c r="Y327" s="255" t="n"/>
      <c r="Z327" s="255" t="n"/>
    </row>
    <row r="328" ht="12.75" customHeight="1">
      <c r="A328" s="333" t="n"/>
      <c r="B328" s="255" t="n"/>
      <c r="C328" s="255" t="n"/>
      <c r="D328" s="255" t="n"/>
      <c r="E328" s="255" t="n"/>
      <c r="F328" s="255" t="n"/>
      <c r="G328" s="255" t="n"/>
      <c r="H328" s="255" t="n"/>
      <c r="I328" s="255" t="n"/>
      <c r="J328" s="255" t="n"/>
      <c r="K328" s="255" t="n"/>
      <c r="L328" s="255" t="n"/>
      <c r="M328" s="255" t="n"/>
      <c r="N328" s="255" t="n"/>
      <c r="O328" s="255" t="n"/>
      <c r="P328" s="255" t="n"/>
      <c r="Q328" s="255" t="n"/>
      <c r="R328" s="255" t="n"/>
      <c r="S328" s="255" t="n"/>
      <c r="T328" s="255" t="n"/>
      <c r="U328" s="255" t="n"/>
      <c r="V328" s="255" t="n"/>
      <c r="W328" s="255" t="n"/>
      <c r="X328" s="255" t="n"/>
      <c r="Y328" s="255" t="n"/>
      <c r="Z328" s="255" t="n"/>
    </row>
    <row r="329" ht="12.75" customHeight="1">
      <c r="A329" s="333" t="n"/>
      <c r="B329" s="255" t="n"/>
      <c r="C329" s="255" t="n"/>
      <c r="D329" s="255" t="n"/>
      <c r="E329" s="255" t="n"/>
      <c r="F329" s="255" t="n"/>
      <c r="G329" s="255" t="n"/>
      <c r="H329" s="255" t="n"/>
      <c r="I329" s="255" t="n"/>
      <c r="J329" s="255" t="n"/>
      <c r="K329" s="255" t="n"/>
      <c r="L329" s="255" t="n"/>
      <c r="M329" s="255" t="n"/>
      <c r="N329" s="255" t="n"/>
      <c r="O329" s="255" t="n"/>
      <c r="P329" s="255" t="n"/>
      <c r="Q329" s="255" t="n"/>
      <c r="R329" s="255" t="n"/>
      <c r="S329" s="255" t="n"/>
      <c r="T329" s="255" t="n"/>
      <c r="U329" s="255" t="n"/>
      <c r="V329" s="255" t="n"/>
      <c r="W329" s="255" t="n"/>
      <c r="X329" s="255" t="n"/>
      <c r="Y329" s="255" t="n"/>
      <c r="Z329" s="255" t="n"/>
    </row>
    <row r="330" ht="12.75" customHeight="1">
      <c r="A330" s="333" t="n"/>
      <c r="B330" s="255" t="n"/>
      <c r="C330" s="255" t="n"/>
      <c r="D330" s="255" t="n"/>
      <c r="E330" s="255" t="n"/>
      <c r="F330" s="255" t="n"/>
      <c r="G330" s="255" t="n"/>
      <c r="H330" s="255" t="n"/>
      <c r="I330" s="255" t="n"/>
      <c r="J330" s="255" t="n"/>
      <c r="K330" s="255" t="n"/>
      <c r="L330" s="255" t="n"/>
      <c r="M330" s="255" t="n"/>
      <c r="N330" s="255" t="n"/>
      <c r="O330" s="255" t="n"/>
      <c r="P330" s="255" t="n"/>
      <c r="Q330" s="255" t="n"/>
      <c r="R330" s="255" t="n"/>
      <c r="S330" s="255" t="n"/>
      <c r="T330" s="255" t="n"/>
      <c r="U330" s="255" t="n"/>
      <c r="V330" s="255" t="n"/>
      <c r="W330" s="255" t="n"/>
      <c r="X330" s="255" t="n"/>
      <c r="Y330" s="255" t="n"/>
      <c r="Z330" s="255" t="n"/>
    </row>
    <row r="331" ht="12.75" customHeight="1">
      <c r="A331" s="333" t="n"/>
      <c r="B331" s="255" t="n"/>
      <c r="C331" s="255" t="n"/>
      <c r="D331" s="255" t="n"/>
      <c r="E331" s="255" t="n"/>
      <c r="F331" s="255" t="n"/>
      <c r="G331" s="255" t="n"/>
      <c r="H331" s="255" t="n"/>
      <c r="I331" s="255" t="n"/>
      <c r="J331" s="255" t="n"/>
      <c r="K331" s="255" t="n"/>
      <c r="L331" s="255" t="n"/>
      <c r="M331" s="255" t="n"/>
      <c r="N331" s="255" t="n"/>
      <c r="O331" s="255" t="n"/>
      <c r="P331" s="255" t="n"/>
      <c r="Q331" s="255" t="n"/>
      <c r="R331" s="255" t="n"/>
      <c r="S331" s="255" t="n"/>
      <c r="T331" s="255" t="n"/>
      <c r="U331" s="255" t="n"/>
      <c r="V331" s="255" t="n"/>
      <c r="W331" s="255" t="n"/>
      <c r="X331" s="255" t="n"/>
      <c r="Y331" s="255" t="n"/>
      <c r="Z331" s="255" t="n"/>
    </row>
    <row r="332" ht="12.75" customHeight="1">
      <c r="A332" s="333" t="n"/>
      <c r="B332" s="255" t="n"/>
      <c r="C332" s="255" t="n"/>
      <c r="D332" s="255" t="n"/>
      <c r="E332" s="255" t="n"/>
      <c r="F332" s="255" t="n"/>
      <c r="G332" s="255" t="n"/>
      <c r="H332" s="255" t="n"/>
      <c r="I332" s="255" t="n"/>
      <c r="J332" s="255" t="n"/>
      <c r="K332" s="255" t="n"/>
      <c r="L332" s="255" t="n"/>
      <c r="M332" s="255" t="n"/>
      <c r="N332" s="255" t="n"/>
      <c r="O332" s="255" t="n"/>
      <c r="P332" s="255" t="n"/>
      <c r="Q332" s="255" t="n"/>
      <c r="R332" s="255" t="n"/>
      <c r="S332" s="255" t="n"/>
      <c r="T332" s="255" t="n"/>
      <c r="U332" s="255" t="n"/>
      <c r="V332" s="255" t="n"/>
      <c r="W332" s="255" t="n"/>
      <c r="X332" s="255" t="n"/>
      <c r="Y332" s="255" t="n"/>
      <c r="Z332" s="255" t="n"/>
    </row>
    <row r="333" ht="12.75" customHeight="1">
      <c r="A333" s="333" t="n"/>
      <c r="B333" s="255" t="n"/>
      <c r="C333" s="255" t="n"/>
      <c r="D333" s="255" t="n"/>
      <c r="E333" s="255" t="n"/>
      <c r="F333" s="255" t="n"/>
      <c r="G333" s="255" t="n"/>
      <c r="H333" s="255" t="n"/>
      <c r="I333" s="255" t="n"/>
      <c r="J333" s="255" t="n"/>
      <c r="K333" s="255" t="n"/>
      <c r="L333" s="255" t="n"/>
      <c r="M333" s="255" t="n"/>
      <c r="N333" s="255" t="n"/>
      <c r="O333" s="255" t="n"/>
      <c r="P333" s="255" t="n"/>
      <c r="Q333" s="255" t="n"/>
      <c r="R333" s="255" t="n"/>
      <c r="S333" s="255" t="n"/>
      <c r="T333" s="255" t="n"/>
      <c r="U333" s="255" t="n"/>
      <c r="V333" s="255" t="n"/>
      <c r="W333" s="255" t="n"/>
      <c r="X333" s="255" t="n"/>
      <c r="Y333" s="255" t="n"/>
      <c r="Z333" s="255" t="n"/>
    </row>
    <row r="334" ht="12.75" customHeight="1">
      <c r="A334" s="333" t="n"/>
      <c r="B334" s="255" t="n"/>
      <c r="C334" s="255" t="n"/>
      <c r="D334" s="255" t="n"/>
      <c r="E334" s="255" t="n"/>
      <c r="F334" s="255" t="n"/>
      <c r="G334" s="255" t="n"/>
      <c r="H334" s="255" t="n"/>
      <c r="I334" s="255" t="n"/>
      <c r="J334" s="255" t="n"/>
      <c r="K334" s="255" t="n"/>
      <c r="L334" s="255" t="n"/>
      <c r="M334" s="255" t="n"/>
      <c r="N334" s="255" t="n"/>
      <c r="O334" s="255" t="n"/>
      <c r="P334" s="255" t="n"/>
      <c r="Q334" s="255" t="n"/>
      <c r="R334" s="255" t="n"/>
      <c r="S334" s="255" t="n"/>
      <c r="T334" s="255" t="n"/>
      <c r="U334" s="255" t="n"/>
      <c r="V334" s="255" t="n"/>
      <c r="W334" s="255" t="n"/>
      <c r="X334" s="255" t="n"/>
      <c r="Y334" s="255" t="n"/>
      <c r="Z334" s="255" t="n"/>
    </row>
    <row r="335" ht="12.75" customHeight="1">
      <c r="A335" s="333" t="n"/>
      <c r="B335" s="255" t="n"/>
      <c r="C335" s="255" t="n"/>
      <c r="D335" s="255" t="n"/>
      <c r="E335" s="255" t="n"/>
      <c r="F335" s="255" t="n"/>
      <c r="G335" s="255" t="n"/>
      <c r="H335" s="255" t="n"/>
      <c r="I335" s="255" t="n"/>
      <c r="J335" s="255" t="n"/>
      <c r="K335" s="255" t="n"/>
      <c r="L335" s="255" t="n"/>
      <c r="M335" s="255" t="n"/>
      <c r="N335" s="255" t="n"/>
      <c r="O335" s="255" t="n"/>
      <c r="P335" s="255" t="n"/>
      <c r="Q335" s="255" t="n"/>
      <c r="R335" s="255" t="n"/>
      <c r="S335" s="255" t="n"/>
      <c r="T335" s="255" t="n"/>
      <c r="U335" s="255" t="n"/>
      <c r="V335" s="255" t="n"/>
      <c r="W335" s="255" t="n"/>
      <c r="X335" s="255" t="n"/>
      <c r="Y335" s="255" t="n"/>
      <c r="Z335" s="255" t="n"/>
    </row>
    <row r="336" ht="12.75" customHeight="1">
      <c r="A336" s="333" t="n"/>
      <c r="B336" s="255" t="n"/>
      <c r="C336" s="255" t="n"/>
      <c r="D336" s="255" t="n"/>
      <c r="E336" s="255" t="n"/>
      <c r="F336" s="255" t="n"/>
      <c r="G336" s="255" t="n"/>
      <c r="H336" s="255" t="n"/>
      <c r="I336" s="255" t="n"/>
      <c r="J336" s="255" t="n"/>
      <c r="K336" s="255" t="n"/>
      <c r="L336" s="255" t="n"/>
      <c r="M336" s="255" t="n"/>
      <c r="N336" s="255" t="n"/>
      <c r="O336" s="255" t="n"/>
      <c r="P336" s="255" t="n"/>
      <c r="Q336" s="255" t="n"/>
      <c r="R336" s="255" t="n"/>
      <c r="S336" s="255" t="n"/>
      <c r="T336" s="255" t="n"/>
      <c r="U336" s="255" t="n"/>
      <c r="V336" s="255" t="n"/>
      <c r="W336" s="255" t="n"/>
      <c r="X336" s="255" t="n"/>
      <c r="Y336" s="255" t="n"/>
      <c r="Z336" s="255" t="n"/>
    </row>
    <row r="337" ht="12.75" customHeight="1">
      <c r="A337" s="333" t="n"/>
      <c r="B337" s="255" t="n"/>
      <c r="C337" s="255" t="n"/>
      <c r="D337" s="255" t="n"/>
      <c r="E337" s="255" t="n"/>
      <c r="F337" s="255" t="n"/>
      <c r="G337" s="255" t="n"/>
      <c r="H337" s="255" t="n"/>
      <c r="I337" s="255" t="n"/>
      <c r="J337" s="255" t="n"/>
      <c r="K337" s="255" t="n"/>
      <c r="L337" s="255" t="n"/>
      <c r="M337" s="255" t="n"/>
      <c r="N337" s="255" t="n"/>
      <c r="O337" s="255" t="n"/>
      <c r="P337" s="255" t="n"/>
      <c r="Q337" s="255" t="n"/>
      <c r="R337" s="255" t="n"/>
      <c r="S337" s="255" t="n"/>
      <c r="T337" s="255" t="n"/>
      <c r="U337" s="255" t="n"/>
      <c r="V337" s="255" t="n"/>
      <c r="W337" s="255" t="n"/>
      <c r="X337" s="255" t="n"/>
      <c r="Y337" s="255" t="n"/>
      <c r="Z337" s="255" t="n"/>
    </row>
    <row r="338" ht="12.75" customHeight="1">
      <c r="A338" s="333" t="n"/>
      <c r="B338" s="255" t="n"/>
      <c r="C338" s="255" t="n"/>
      <c r="D338" s="255" t="n"/>
      <c r="E338" s="255" t="n"/>
      <c r="F338" s="255" t="n"/>
      <c r="G338" s="255" t="n"/>
      <c r="H338" s="255" t="n"/>
      <c r="I338" s="255" t="n"/>
      <c r="J338" s="255" t="n"/>
      <c r="K338" s="255" t="n"/>
      <c r="L338" s="255" t="n"/>
      <c r="M338" s="255" t="n"/>
      <c r="N338" s="255" t="n"/>
      <c r="O338" s="255" t="n"/>
      <c r="P338" s="255" t="n"/>
      <c r="Q338" s="255" t="n"/>
      <c r="R338" s="255" t="n"/>
      <c r="S338" s="255" t="n"/>
      <c r="T338" s="255" t="n"/>
      <c r="U338" s="255" t="n"/>
      <c r="V338" s="255" t="n"/>
      <c r="W338" s="255" t="n"/>
      <c r="X338" s="255" t="n"/>
      <c r="Y338" s="255" t="n"/>
      <c r="Z338" s="255" t="n"/>
    </row>
    <row r="339" ht="12.75" customHeight="1">
      <c r="A339" s="333" t="n"/>
      <c r="B339" s="255" t="n"/>
      <c r="C339" s="255" t="n"/>
      <c r="D339" s="255" t="n"/>
      <c r="E339" s="255" t="n"/>
      <c r="F339" s="255" t="n"/>
      <c r="G339" s="255" t="n"/>
      <c r="H339" s="255" t="n"/>
      <c r="I339" s="255" t="n"/>
      <c r="J339" s="255" t="n"/>
      <c r="K339" s="255" t="n"/>
      <c r="L339" s="255" t="n"/>
      <c r="M339" s="255" t="n"/>
      <c r="N339" s="255" t="n"/>
      <c r="O339" s="255" t="n"/>
      <c r="P339" s="255" t="n"/>
      <c r="Q339" s="255" t="n"/>
      <c r="R339" s="255" t="n"/>
      <c r="S339" s="255" t="n"/>
      <c r="T339" s="255" t="n"/>
      <c r="U339" s="255" t="n"/>
      <c r="V339" s="255" t="n"/>
      <c r="W339" s="255" t="n"/>
      <c r="X339" s="255" t="n"/>
      <c r="Y339" s="255" t="n"/>
      <c r="Z339" s="255" t="n"/>
    </row>
    <row r="340" ht="12.75" customHeight="1">
      <c r="A340" s="333" t="n"/>
      <c r="B340" s="255" t="n"/>
      <c r="C340" s="255" t="n"/>
      <c r="D340" s="255" t="n"/>
      <c r="E340" s="255" t="n"/>
      <c r="F340" s="255" t="n"/>
      <c r="G340" s="255" t="n"/>
      <c r="H340" s="255" t="n"/>
      <c r="I340" s="255" t="n"/>
      <c r="J340" s="255" t="n"/>
      <c r="K340" s="255" t="n"/>
      <c r="L340" s="255" t="n"/>
      <c r="M340" s="255" t="n"/>
      <c r="N340" s="255" t="n"/>
      <c r="O340" s="255" t="n"/>
      <c r="P340" s="255" t="n"/>
      <c r="Q340" s="255" t="n"/>
      <c r="R340" s="255" t="n"/>
      <c r="S340" s="255" t="n"/>
      <c r="T340" s="255" t="n"/>
      <c r="U340" s="255" t="n"/>
      <c r="V340" s="255" t="n"/>
      <c r="W340" s="255" t="n"/>
      <c r="X340" s="255" t="n"/>
      <c r="Y340" s="255" t="n"/>
      <c r="Z340" s="255" t="n"/>
    </row>
    <row r="341" ht="12.75" customHeight="1">
      <c r="A341" s="333" t="n"/>
      <c r="B341" s="255" t="n"/>
      <c r="C341" s="255" t="n"/>
      <c r="D341" s="255" t="n"/>
      <c r="E341" s="255" t="n"/>
      <c r="F341" s="255" t="n"/>
      <c r="G341" s="255" t="n"/>
      <c r="H341" s="255" t="n"/>
      <c r="I341" s="255" t="n"/>
      <c r="J341" s="255" t="n"/>
      <c r="K341" s="255" t="n"/>
      <c r="L341" s="255" t="n"/>
      <c r="M341" s="255" t="n"/>
      <c r="N341" s="255" t="n"/>
      <c r="O341" s="255" t="n"/>
      <c r="P341" s="255" t="n"/>
      <c r="Q341" s="255" t="n"/>
      <c r="R341" s="255" t="n"/>
      <c r="S341" s="255" t="n"/>
      <c r="T341" s="255" t="n"/>
      <c r="U341" s="255" t="n"/>
      <c r="V341" s="255" t="n"/>
      <c r="W341" s="255" t="n"/>
      <c r="X341" s="255" t="n"/>
      <c r="Y341" s="255" t="n"/>
      <c r="Z341" s="255" t="n"/>
    </row>
    <row r="342" ht="12.75" customHeight="1">
      <c r="A342" s="333" t="n"/>
      <c r="B342" s="255" t="n"/>
      <c r="C342" s="255" t="n"/>
      <c r="D342" s="255" t="n"/>
      <c r="E342" s="255" t="n"/>
      <c r="F342" s="255" t="n"/>
      <c r="G342" s="255" t="n"/>
      <c r="H342" s="255" t="n"/>
      <c r="I342" s="255" t="n"/>
      <c r="J342" s="255" t="n"/>
      <c r="K342" s="255" t="n"/>
      <c r="L342" s="255" t="n"/>
      <c r="M342" s="255" t="n"/>
      <c r="N342" s="255" t="n"/>
      <c r="O342" s="255" t="n"/>
      <c r="P342" s="255" t="n"/>
      <c r="Q342" s="255" t="n"/>
      <c r="R342" s="255" t="n"/>
      <c r="S342" s="255" t="n"/>
      <c r="T342" s="255" t="n"/>
      <c r="U342" s="255" t="n"/>
      <c r="V342" s="255" t="n"/>
      <c r="W342" s="255" t="n"/>
      <c r="X342" s="255" t="n"/>
      <c r="Y342" s="255" t="n"/>
      <c r="Z342" s="255" t="n"/>
    </row>
    <row r="343" ht="12.75" customHeight="1">
      <c r="A343" s="333" t="n"/>
      <c r="B343" s="255" t="n"/>
      <c r="C343" s="255" t="n"/>
      <c r="D343" s="255" t="n"/>
      <c r="E343" s="255" t="n"/>
      <c r="F343" s="255" t="n"/>
      <c r="G343" s="255" t="n"/>
      <c r="H343" s="255" t="n"/>
      <c r="I343" s="255" t="n"/>
      <c r="J343" s="255" t="n"/>
      <c r="K343" s="255" t="n"/>
      <c r="L343" s="255" t="n"/>
      <c r="M343" s="255" t="n"/>
      <c r="N343" s="255" t="n"/>
      <c r="O343" s="255" t="n"/>
      <c r="P343" s="255" t="n"/>
      <c r="Q343" s="255" t="n"/>
      <c r="R343" s="255" t="n"/>
      <c r="S343" s="255" t="n"/>
      <c r="T343" s="255" t="n"/>
      <c r="U343" s="255" t="n"/>
      <c r="V343" s="255" t="n"/>
      <c r="W343" s="255" t="n"/>
      <c r="X343" s="255" t="n"/>
      <c r="Y343" s="255" t="n"/>
      <c r="Z343" s="255" t="n"/>
    </row>
    <row r="344" ht="12.75" customHeight="1">
      <c r="A344" s="333" t="n"/>
      <c r="B344" s="255" t="n"/>
      <c r="C344" s="255" t="n"/>
      <c r="D344" s="255" t="n"/>
      <c r="E344" s="255" t="n"/>
      <c r="F344" s="255" t="n"/>
      <c r="G344" s="255" t="n"/>
      <c r="H344" s="255" t="n"/>
      <c r="I344" s="255" t="n"/>
      <c r="J344" s="255" t="n"/>
      <c r="K344" s="255" t="n"/>
      <c r="L344" s="255" t="n"/>
      <c r="M344" s="255" t="n"/>
      <c r="N344" s="255" t="n"/>
      <c r="O344" s="255" t="n"/>
      <c r="P344" s="255" t="n"/>
      <c r="Q344" s="255" t="n"/>
      <c r="R344" s="255" t="n"/>
      <c r="S344" s="255" t="n"/>
      <c r="T344" s="255" t="n"/>
      <c r="U344" s="255" t="n"/>
      <c r="V344" s="255" t="n"/>
      <c r="W344" s="255" t="n"/>
      <c r="X344" s="255" t="n"/>
      <c r="Y344" s="255" t="n"/>
      <c r="Z344" s="255" t="n"/>
    </row>
    <row r="345" ht="12.75" customHeight="1">
      <c r="A345" s="333" t="n"/>
      <c r="B345" s="255" t="n"/>
      <c r="C345" s="255" t="n"/>
      <c r="D345" s="255" t="n"/>
      <c r="E345" s="255" t="n"/>
      <c r="F345" s="255" t="n"/>
      <c r="G345" s="255" t="n"/>
      <c r="H345" s="255" t="n"/>
      <c r="I345" s="255" t="n"/>
      <c r="J345" s="255" t="n"/>
      <c r="K345" s="255" t="n"/>
      <c r="L345" s="255" t="n"/>
      <c r="M345" s="255" t="n"/>
      <c r="N345" s="255" t="n"/>
      <c r="O345" s="255" t="n"/>
      <c r="P345" s="255" t="n"/>
      <c r="Q345" s="255" t="n"/>
      <c r="R345" s="255" t="n"/>
      <c r="S345" s="255" t="n"/>
      <c r="T345" s="255" t="n"/>
      <c r="U345" s="255" t="n"/>
      <c r="V345" s="255" t="n"/>
      <c r="W345" s="255" t="n"/>
      <c r="X345" s="255" t="n"/>
      <c r="Y345" s="255" t="n"/>
      <c r="Z345" s="255" t="n"/>
    </row>
    <row r="346" ht="12.75" customHeight="1">
      <c r="A346" s="333" t="n"/>
      <c r="B346" s="255" t="n"/>
      <c r="C346" s="255" t="n"/>
      <c r="D346" s="255" t="n"/>
      <c r="E346" s="255" t="n"/>
      <c r="F346" s="255" t="n"/>
      <c r="G346" s="255" t="n"/>
      <c r="H346" s="255" t="n"/>
      <c r="I346" s="255" t="n"/>
      <c r="J346" s="255" t="n"/>
      <c r="K346" s="255" t="n"/>
      <c r="L346" s="255" t="n"/>
      <c r="M346" s="255" t="n"/>
      <c r="N346" s="255" t="n"/>
      <c r="O346" s="255" t="n"/>
      <c r="P346" s="255" t="n"/>
      <c r="Q346" s="255" t="n"/>
      <c r="R346" s="255" t="n"/>
      <c r="S346" s="255" t="n"/>
      <c r="T346" s="255" t="n"/>
      <c r="U346" s="255" t="n"/>
      <c r="V346" s="255" t="n"/>
      <c r="W346" s="255" t="n"/>
      <c r="X346" s="255" t="n"/>
      <c r="Y346" s="255" t="n"/>
      <c r="Z346" s="255" t="n"/>
    </row>
    <row r="347" ht="12.75" customHeight="1">
      <c r="A347" s="333" t="n"/>
      <c r="B347" s="255" t="n"/>
      <c r="C347" s="255" t="n"/>
      <c r="D347" s="255" t="n"/>
      <c r="E347" s="255" t="n"/>
      <c r="F347" s="255" t="n"/>
      <c r="G347" s="255" t="n"/>
      <c r="H347" s="255" t="n"/>
      <c r="I347" s="255" t="n"/>
      <c r="J347" s="255" t="n"/>
      <c r="K347" s="255" t="n"/>
      <c r="L347" s="255" t="n"/>
      <c r="M347" s="255" t="n"/>
      <c r="N347" s="255" t="n"/>
      <c r="O347" s="255" t="n"/>
      <c r="P347" s="255" t="n"/>
      <c r="Q347" s="255" t="n"/>
      <c r="R347" s="255" t="n"/>
      <c r="S347" s="255" t="n"/>
      <c r="T347" s="255" t="n"/>
      <c r="U347" s="255" t="n"/>
      <c r="V347" s="255" t="n"/>
      <c r="W347" s="255" t="n"/>
      <c r="X347" s="255" t="n"/>
      <c r="Y347" s="255" t="n"/>
      <c r="Z347" s="255" t="n"/>
    </row>
    <row r="348" ht="12.75" customHeight="1">
      <c r="A348" s="333" t="n"/>
      <c r="B348" s="255" t="n"/>
      <c r="C348" s="255" t="n"/>
      <c r="D348" s="255" t="n"/>
      <c r="E348" s="255" t="n"/>
      <c r="F348" s="255" t="n"/>
      <c r="G348" s="255" t="n"/>
      <c r="H348" s="255" t="n"/>
      <c r="I348" s="255" t="n"/>
      <c r="J348" s="255" t="n"/>
      <c r="K348" s="255" t="n"/>
      <c r="L348" s="255" t="n"/>
      <c r="M348" s="255" t="n"/>
      <c r="N348" s="255" t="n"/>
      <c r="O348" s="255" t="n"/>
      <c r="P348" s="255" t="n"/>
      <c r="Q348" s="255" t="n"/>
      <c r="R348" s="255" t="n"/>
      <c r="S348" s="255" t="n"/>
      <c r="T348" s="255" t="n"/>
      <c r="U348" s="255" t="n"/>
      <c r="V348" s="255" t="n"/>
      <c r="W348" s="255" t="n"/>
      <c r="X348" s="255" t="n"/>
      <c r="Y348" s="255" t="n"/>
      <c r="Z348" s="255" t="n"/>
    </row>
    <row r="349" ht="12.75" customHeight="1">
      <c r="A349" s="333" t="n"/>
      <c r="B349" s="255" t="n"/>
      <c r="C349" s="255" t="n"/>
      <c r="D349" s="255" t="n"/>
      <c r="E349" s="255" t="n"/>
      <c r="F349" s="255" t="n"/>
      <c r="G349" s="255" t="n"/>
      <c r="H349" s="255" t="n"/>
      <c r="I349" s="255" t="n"/>
      <c r="J349" s="255" t="n"/>
      <c r="K349" s="255" t="n"/>
      <c r="L349" s="255" t="n"/>
      <c r="M349" s="255" t="n"/>
      <c r="N349" s="255" t="n"/>
      <c r="O349" s="255" t="n"/>
      <c r="P349" s="255" t="n"/>
      <c r="Q349" s="255" t="n"/>
      <c r="R349" s="255" t="n"/>
      <c r="S349" s="255" t="n"/>
      <c r="T349" s="255" t="n"/>
      <c r="U349" s="255" t="n"/>
      <c r="V349" s="255" t="n"/>
      <c r="W349" s="255" t="n"/>
      <c r="X349" s="255" t="n"/>
      <c r="Y349" s="255" t="n"/>
      <c r="Z349" s="255" t="n"/>
    </row>
    <row r="350" ht="12.75" customHeight="1">
      <c r="A350" s="333" t="n"/>
      <c r="B350" s="255" t="n"/>
      <c r="C350" s="255" t="n"/>
      <c r="D350" s="255" t="n"/>
      <c r="E350" s="255" t="n"/>
      <c r="F350" s="255" t="n"/>
      <c r="G350" s="255" t="n"/>
      <c r="H350" s="255" t="n"/>
      <c r="I350" s="255" t="n"/>
      <c r="J350" s="255" t="n"/>
      <c r="K350" s="255" t="n"/>
      <c r="L350" s="255" t="n"/>
      <c r="M350" s="255" t="n"/>
      <c r="N350" s="255" t="n"/>
      <c r="O350" s="255" t="n"/>
      <c r="P350" s="255" t="n"/>
      <c r="Q350" s="255" t="n"/>
      <c r="R350" s="255" t="n"/>
      <c r="S350" s="255" t="n"/>
      <c r="T350" s="255" t="n"/>
      <c r="U350" s="255" t="n"/>
      <c r="V350" s="255" t="n"/>
      <c r="W350" s="255" t="n"/>
      <c r="X350" s="255" t="n"/>
      <c r="Y350" s="255" t="n"/>
      <c r="Z350" s="255" t="n"/>
    </row>
    <row r="351" ht="12.75" customHeight="1">
      <c r="A351" s="333" t="n"/>
      <c r="B351" s="255" t="n"/>
      <c r="C351" s="255" t="n"/>
      <c r="D351" s="255" t="n"/>
      <c r="E351" s="255" t="n"/>
      <c r="F351" s="255" t="n"/>
      <c r="G351" s="255" t="n"/>
      <c r="H351" s="255" t="n"/>
      <c r="I351" s="255" t="n"/>
      <c r="J351" s="255" t="n"/>
      <c r="K351" s="255" t="n"/>
      <c r="L351" s="255" t="n"/>
      <c r="M351" s="255" t="n"/>
      <c r="N351" s="255" t="n"/>
      <c r="O351" s="255" t="n"/>
      <c r="P351" s="255" t="n"/>
      <c r="Q351" s="255" t="n"/>
      <c r="R351" s="255" t="n"/>
      <c r="S351" s="255" t="n"/>
      <c r="T351" s="255" t="n"/>
      <c r="U351" s="255" t="n"/>
      <c r="V351" s="255" t="n"/>
      <c r="W351" s="255" t="n"/>
      <c r="X351" s="255" t="n"/>
      <c r="Y351" s="255" t="n"/>
      <c r="Z351" s="255" t="n"/>
    </row>
    <row r="352" ht="12.75" customHeight="1">
      <c r="A352" s="333" t="n"/>
      <c r="B352" s="255" t="n"/>
      <c r="C352" s="255" t="n"/>
      <c r="D352" s="255" t="n"/>
      <c r="E352" s="255" t="n"/>
      <c r="F352" s="255" t="n"/>
      <c r="G352" s="255" t="n"/>
      <c r="H352" s="255" t="n"/>
      <c r="I352" s="255" t="n"/>
      <c r="J352" s="255" t="n"/>
      <c r="K352" s="255" t="n"/>
      <c r="L352" s="255" t="n"/>
      <c r="M352" s="255" t="n"/>
      <c r="N352" s="255" t="n"/>
      <c r="O352" s="255" t="n"/>
      <c r="P352" s="255" t="n"/>
      <c r="Q352" s="255" t="n"/>
      <c r="R352" s="255" t="n"/>
      <c r="S352" s="255" t="n"/>
      <c r="T352" s="255" t="n"/>
      <c r="U352" s="255" t="n"/>
      <c r="V352" s="255" t="n"/>
      <c r="W352" s="255" t="n"/>
      <c r="X352" s="255" t="n"/>
      <c r="Y352" s="255" t="n"/>
      <c r="Z352" s="255" t="n"/>
    </row>
    <row r="353" ht="12.75" customHeight="1">
      <c r="A353" s="333" t="n"/>
      <c r="B353" s="255" t="n"/>
      <c r="C353" s="255" t="n"/>
      <c r="D353" s="255" t="n"/>
      <c r="E353" s="255" t="n"/>
      <c r="F353" s="255" t="n"/>
      <c r="G353" s="255" t="n"/>
      <c r="H353" s="255" t="n"/>
      <c r="I353" s="255" t="n"/>
      <c r="J353" s="255" t="n"/>
      <c r="K353" s="255" t="n"/>
      <c r="L353" s="255" t="n"/>
      <c r="M353" s="255" t="n"/>
      <c r="N353" s="255" t="n"/>
      <c r="O353" s="255" t="n"/>
      <c r="P353" s="255" t="n"/>
      <c r="Q353" s="255" t="n"/>
      <c r="R353" s="255" t="n"/>
      <c r="S353" s="255" t="n"/>
      <c r="T353" s="255" t="n"/>
      <c r="U353" s="255" t="n"/>
      <c r="V353" s="255" t="n"/>
      <c r="W353" s="255" t="n"/>
      <c r="X353" s="255" t="n"/>
      <c r="Y353" s="255" t="n"/>
      <c r="Z353" s="255" t="n"/>
    </row>
    <row r="354" ht="12.75" customHeight="1">
      <c r="A354" s="333" t="n"/>
      <c r="B354" s="255" t="n"/>
      <c r="C354" s="255" t="n"/>
      <c r="D354" s="255" t="n"/>
      <c r="E354" s="255" t="n"/>
      <c r="F354" s="255" t="n"/>
      <c r="G354" s="255" t="n"/>
      <c r="H354" s="255" t="n"/>
      <c r="I354" s="255" t="n"/>
      <c r="J354" s="255" t="n"/>
      <c r="K354" s="255" t="n"/>
      <c r="L354" s="255" t="n"/>
      <c r="M354" s="255" t="n"/>
      <c r="N354" s="255" t="n"/>
      <c r="O354" s="255" t="n"/>
      <c r="P354" s="255" t="n"/>
      <c r="Q354" s="255" t="n"/>
      <c r="R354" s="255" t="n"/>
      <c r="S354" s="255" t="n"/>
      <c r="T354" s="255" t="n"/>
      <c r="U354" s="255" t="n"/>
      <c r="V354" s="255" t="n"/>
      <c r="W354" s="255" t="n"/>
      <c r="X354" s="255" t="n"/>
      <c r="Y354" s="255" t="n"/>
      <c r="Z354" s="255" t="n"/>
    </row>
    <row r="355" ht="12.75" customHeight="1">
      <c r="A355" s="333" t="n"/>
      <c r="B355" s="255" t="n"/>
      <c r="C355" s="255" t="n"/>
      <c r="D355" s="255" t="n"/>
      <c r="E355" s="255" t="n"/>
      <c r="F355" s="255" t="n"/>
      <c r="G355" s="255" t="n"/>
      <c r="H355" s="255" t="n"/>
      <c r="I355" s="255" t="n"/>
      <c r="J355" s="255" t="n"/>
      <c r="K355" s="255" t="n"/>
      <c r="L355" s="255" t="n"/>
      <c r="M355" s="255" t="n"/>
      <c r="N355" s="255" t="n"/>
      <c r="O355" s="255" t="n"/>
      <c r="P355" s="255" t="n"/>
      <c r="Q355" s="255" t="n"/>
      <c r="R355" s="255" t="n"/>
      <c r="S355" s="255" t="n"/>
      <c r="T355" s="255" t="n"/>
      <c r="U355" s="255" t="n"/>
      <c r="V355" s="255" t="n"/>
      <c r="W355" s="255" t="n"/>
      <c r="X355" s="255" t="n"/>
      <c r="Y355" s="255" t="n"/>
      <c r="Z355" s="255" t="n"/>
    </row>
    <row r="356" ht="12.75" customHeight="1">
      <c r="A356" s="333" t="n"/>
      <c r="B356" s="255" t="n"/>
      <c r="C356" s="255" t="n"/>
      <c r="D356" s="255" t="n"/>
      <c r="E356" s="255" t="n"/>
      <c r="F356" s="255" t="n"/>
      <c r="G356" s="255" t="n"/>
      <c r="H356" s="255" t="n"/>
      <c r="I356" s="255" t="n"/>
      <c r="J356" s="255" t="n"/>
      <c r="K356" s="255" t="n"/>
      <c r="L356" s="255" t="n"/>
      <c r="M356" s="255" t="n"/>
      <c r="N356" s="255" t="n"/>
      <c r="O356" s="255" t="n"/>
      <c r="P356" s="255" t="n"/>
      <c r="Q356" s="255" t="n"/>
      <c r="R356" s="255" t="n"/>
      <c r="S356" s="255" t="n"/>
      <c r="T356" s="255" t="n"/>
      <c r="U356" s="255" t="n"/>
      <c r="V356" s="255" t="n"/>
      <c r="W356" s="255" t="n"/>
      <c r="X356" s="255" t="n"/>
      <c r="Y356" s="255" t="n"/>
      <c r="Z356" s="255" t="n"/>
    </row>
    <row r="357" ht="12.75" customHeight="1">
      <c r="A357" s="333" t="n"/>
      <c r="B357" s="255" t="n"/>
      <c r="C357" s="255" t="n"/>
      <c r="D357" s="255" t="n"/>
      <c r="E357" s="255" t="n"/>
      <c r="F357" s="255" t="n"/>
      <c r="G357" s="255" t="n"/>
      <c r="H357" s="255" t="n"/>
      <c r="I357" s="255" t="n"/>
      <c r="J357" s="255" t="n"/>
      <c r="K357" s="255" t="n"/>
      <c r="L357" s="255" t="n"/>
      <c r="M357" s="255" t="n"/>
      <c r="N357" s="255" t="n"/>
      <c r="O357" s="255" t="n"/>
      <c r="P357" s="255" t="n"/>
      <c r="Q357" s="255" t="n"/>
      <c r="R357" s="255" t="n"/>
      <c r="S357" s="255" t="n"/>
      <c r="T357" s="255" t="n"/>
      <c r="U357" s="255" t="n"/>
      <c r="V357" s="255" t="n"/>
      <c r="W357" s="255" t="n"/>
      <c r="X357" s="255" t="n"/>
      <c r="Y357" s="255" t="n"/>
      <c r="Z357" s="255" t="n"/>
    </row>
    <row r="358" ht="12.75" customHeight="1">
      <c r="A358" s="333" t="n"/>
      <c r="B358" s="255" t="n"/>
      <c r="C358" s="255" t="n"/>
      <c r="D358" s="255" t="n"/>
      <c r="E358" s="255" t="n"/>
      <c r="F358" s="255" t="n"/>
      <c r="G358" s="255" t="n"/>
      <c r="H358" s="255" t="n"/>
      <c r="I358" s="255" t="n"/>
      <c r="J358" s="255" t="n"/>
      <c r="K358" s="255" t="n"/>
      <c r="L358" s="255" t="n"/>
      <c r="M358" s="255" t="n"/>
      <c r="N358" s="255" t="n"/>
      <c r="O358" s="255" t="n"/>
      <c r="P358" s="255" t="n"/>
      <c r="Q358" s="255" t="n"/>
      <c r="R358" s="255" t="n"/>
      <c r="S358" s="255" t="n"/>
      <c r="T358" s="255" t="n"/>
      <c r="U358" s="255" t="n"/>
      <c r="V358" s="255" t="n"/>
      <c r="W358" s="255" t="n"/>
      <c r="X358" s="255" t="n"/>
      <c r="Y358" s="255" t="n"/>
      <c r="Z358" s="255" t="n"/>
    </row>
    <row r="359" ht="12.75" customHeight="1">
      <c r="A359" s="333" t="n"/>
      <c r="B359" s="255" t="n"/>
      <c r="C359" s="255" t="n"/>
      <c r="D359" s="255" t="n"/>
      <c r="E359" s="255" t="n"/>
      <c r="F359" s="255" t="n"/>
      <c r="G359" s="255" t="n"/>
      <c r="H359" s="255" t="n"/>
      <c r="I359" s="255" t="n"/>
      <c r="J359" s="255" t="n"/>
      <c r="K359" s="255" t="n"/>
      <c r="L359" s="255" t="n"/>
      <c r="M359" s="255" t="n"/>
      <c r="N359" s="255" t="n"/>
      <c r="O359" s="255" t="n"/>
      <c r="P359" s="255" t="n"/>
      <c r="Q359" s="255" t="n"/>
      <c r="R359" s="255" t="n"/>
      <c r="S359" s="255" t="n"/>
      <c r="T359" s="255" t="n"/>
      <c r="U359" s="255" t="n"/>
      <c r="V359" s="255" t="n"/>
      <c r="W359" s="255" t="n"/>
      <c r="X359" s="255" t="n"/>
      <c r="Y359" s="255" t="n"/>
      <c r="Z359" s="255" t="n"/>
    </row>
    <row r="360" ht="12.75" customHeight="1">
      <c r="A360" s="333" t="n"/>
      <c r="B360" s="255" t="n"/>
      <c r="C360" s="255" t="n"/>
      <c r="D360" s="255" t="n"/>
      <c r="E360" s="255" t="n"/>
      <c r="F360" s="255" t="n"/>
      <c r="G360" s="255" t="n"/>
      <c r="H360" s="255" t="n"/>
      <c r="I360" s="255" t="n"/>
      <c r="J360" s="255" t="n"/>
      <c r="K360" s="255" t="n"/>
      <c r="L360" s="255" t="n"/>
      <c r="M360" s="255" t="n"/>
      <c r="N360" s="255" t="n"/>
      <c r="O360" s="255" t="n"/>
      <c r="P360" s="255" t="n"/>
      <c r="Q360" s="255" t="n"/>
      <c r="R360" s="255" t="n"/>
      <c r="S360" s="255" t="n"/>
      <c r="T360" s="255" t="n"/>
      <c r="U360" s="255" t="n"/>
      <c r="V360" s="255" t="n"/>
      <c r="W360" s="255" t="n"/>
      <c r="X360" s="255" t="n"/>
      <c r="Y360" s="255" t="n"/>
      <c r="Z360" s="255" t="n"/>
    </row>
    <row r="361" ht="12.75" customHeight="1">
      <c r="A361" s="333" t="n"/>
      <c r="B361" s="255" t="n"/>
      <c r="C361" s="255" t="n"/>
      <c r="D361" s="255" t="n"/>
      <c r="E361" s="255" t="n"/>
      <c r="F361" s="255" t="n"/>
      <c r="G361" s="255" t="n"/>
      <c r="H361" s="255" t="n"/>
      <c r="I361" s="255" t="n"/>
      <c r="J361" s="255" t="n"/>
      <c r="K361" s="255" t="n"/>
      <c r="L361" s="255" t="n"/>
      <c r="M361" s="255" t="n"/>
      <c r="N361" s="255" t="n"/>
      <c r="O361" s="255" t="n"/>
      <c r="P361" s="255" t="n"/>
      <c r="Q361" s="255" t="n"/>
      <c r="R361" s="255" t="n"/>
      <c r="S361" s="255" t="n"/>
      <c r="T361" s="255" t="n"/>
      <c r="U361" s="255" t="n"/>
      <c r="V361" s="255" t="n"/>
      <c r="W361" s="255" t="n"/>
      <c r="X361" s="255" t="n"/>
      <c r="Y361" s="255" t="n"/>
      <c r="Z361" s="255" t="n"/>
    </row>
    <row r="362" ht="12.75" customHeight="1">
      <c r="A362" s="333" t="n"/>
      <c r="B362" s="255" t="n"/>
      <c r="C362" s="255" t="n"/>
      <c r="D362" s="255" t="n"/>
      <c r="E362" s="255" t="n"/>
      <c r="F362" s="255" t="n"/>
      <c r="G362" s="255" t="n"/>
      <c r="H362" s="255" t="n"/>
      <c r="I362" s="255" t="n"/>
      <c r="J362" s="255" t="n"/>
      <c r="K362" s="255" t="n"/>
      <c r="L362" s="255" t="n"/>
      <c r="M362" s="255" t="n"/>
      <c r="N362" s="255" t="n"/>
      <c r="O362" s="255" t="n"/>
      <c r="P362" s="255" t="n"/>
      <c r="Q362" s="255" t="n"/>
      <c r="R362" s="255" t="n"/>
      <c r="S362" s="255" t="n"/>
      <c r="T362" s="255" t="n"/>
      <c r="U362" s="255" t="n"/>
      <c r="V362" s="255" t="n"/>
      <c r="W362" s="255" t="n"/>
      <c r="X362" s="255" t="n"/>
      <c r="Y362" s="255" t="n"/>
      <c r="Z362" s="255" t="n"/>
    </row>
    <row r="363" ht="12.75" customHeight="1">
      <c r="A363" s="333" t="n"/>
      <c r="B363" s="255" t="n"/>
      <c r="C363" s="255" t="n"/>
      <c r="D363" s="255" t="n"/>
      <c r="E363" s="255" t="n"/>
      <c r="F363" s="255" t="n"/>
      <c r="G363" s="255" t="n"/>
      <c r="H363" s="255" t="n"/>
      <c r="I363" s="255" t="n"/>
      <c r="J363" s="255" t="n"/>
      <c r="K363" s="255" t="n"/>
      <c r="L363" s="255" t="n"/>
      <c r="M363" s="255" t="n"/>
      <c r="N363" s="255" t="n"/>
      <c r="O363" s="255" t="n"/>
      <c r="P363" s="255" t="n"/>
      <c r="Q363" s="255" t="n"/>
      <c r="R363" s="255" t="n"/>
      <c r="S363" s="255" t="n"/>
      <c r="T363" s="255" t="n"/>
      <c r="U363" s="255" t="n"/>
      <c r="V363" s="255" t="n"/>
      <c r="W363" s="255" t="n"/>
      <c r="X363" s="255" t="n"/>
      <c r="Y363" s="255" t="n"/>
      <c r="Z363" s="255" t="n"/>
    </row>
    <row r="364" ht="12.75" customHeight="1">
      <c r="A364" s="333" t="n"/>
      <c r="B364" s="255" t="n"/>
      <c r="C364" s="255" t="n"/>
      <c r="D364" s="255" t="n"/>
      <c r="E364" s="255" t="n"/>
      <c r="F364" s="255" t="n"/>
      <c r="G364" s="255" t="n"/>
      <c r="H364" s="255" t="n"/>
      <c r="I364" s="255" t="n"/>
      <c r="J364" s="255" t="n"/>
      <c r="K364" s="255" t="n"/>
      <c r="L364" s="255" t="n"/>
      <c r="M364" s="255" t="n"/>
      <c r="N364" s="255" t="n"/>
      <c r="O364" s="255" t="n"/>
      <c r="P364" s="255" t="n"/>
      <c r="Q364" s="255" t="n"/>
      <c r="R364" s="255" t="n"/>
      <c r="S364" s="255" t="n"/>
      <c r="T364" s="255" t="n"/>
      <c r="U364" s="255" t="n"/>
      <c r="V364" s="255" t="n"/>
      <c r="W364" s="255" t="n"/>
      <c r="X364" s="255" t="n"/>
      <c r="Y364" s="255" t="n"/>
      <c r="Z364" s="255" t="n"/>
    </row>
    <row r="365" ht="12.75" customHeight="1">
      <c r="A365" s="333" t="n"/>
      <c r="B365" s="255" t="n"/>
      <c r="C365" s="255" t="n"/>
      <c r="D365" s="255" t="n"/>
      <c r="E365" s="255" t="n"/>
      <c r="F365" s="255" t="n"/>
      <c r="G365" s="255" t="n"/>
      <c r="H365" s="255" t="n"/>
      <c r="I365" s="255" t="n"/>
      <c r="J365" s="255" t="n"/>
      <c r="K365" s="255" t="n"/>
      <c r="L365" s="255" t="n"/>
      <c r="M365" s="255" t="n"/>
      <c r="N365" s="255" t="n"/>
      <c r="O365" s="255" t="n"/>
      <c r="P365" s="255" t="n"/>
      <c r="Q365" s="255" t="n"/>
      <c r="R365" s="255" t="n"/>
      <c r="S365" s="255" t="n"/>
      <c r="T365" s="255" t="n"/>
      <c r="U365" s="255" t="n"/>
      <c r="V365" s="255" t="n"/>
      <c r="W365" s="255" t="n"/>
      <c r="X365" s="255" t="n"/>
      <c r="Y365" s="255" t="n"/>
      <c r="Z365" s="255" t="n"/>
    </row>
    <row r="366" ht="12.75" customHeight="1">
      <c r="A366" s="333" t="n"/>
      <c r="B366" s="255" t="n"/>
      <c r="C366" s="255" t="n"/>
      <c r="D366" s="255" t="n"/>
      <c r="E366" s="255" t="n"/>
      <c r="F366" s="255" t="n"/>
      <c r="G366" s="255" t="n"/>
      <c r="H366" s="255" t="n"/>
      <c r="I366" s="255" t="n"/>
      <c r="J366" s="255" t="n"/>
      <c r="K366" s="255" t="n"/>
      <c r="L366" s="255" t="n"/>
      <c r="M366" s="255" t="n"/>
      <c r="N366" s="255" t="n"/>
      <c r="O366" s="255" t="n"/>
      <c r="P366" s="255" t="n"/>
      <c r="Q366" s="255" t="n"/>
      <c r="R366" s="255" t="n"/>
      <c r="S366" s="255" t="n"/>
      <c r="T366" s="255" t="n"/>
      <c r="U366" s="255" t="n"/>
      <c r="V366" s="255" t="n"/>
      <c r="W366" s="255" t="n"/>
      <c r="X366" s="255" t="n"/>
      <c r="Y366" s="255" t="n"/>
      <c r="Z366" s="255" t="n"/>
    </row>
    <row r="367" ht="12.75" customHeight="1">
      <c r="A367" s="333" t="n"/>
      <c r="B367" s="255" t="n"/>
      <c r="C367" s="255" t="n"/>
      <c r="D367" s="255" t="n"/>
      <c r="E367" s="255" t="n"/>
      <c r="F367" s="255" t="n"/>
      <c r="G367" s="255" t="n"/>
      <c r="H367" s="255" t="n"/>
      <c r="I367" s="255" t="n"/>
      <c r="J367" s="255" t="n"/>
      <c r="K367" s="255" t="n"/>
      <c r="L367" s="255" t="n"/>
      <c r="M367" s="255" t="n"/>
      <c r="N367" s="255" t="n"/>
      <c r="O367" s="255" t="n"/>
      <c r="P367" s="255" t="n"/>
      <c r="Q367" s="255" t="n"/>
      <c r="R367" s="255" t="n"/>
      <c r="S367" s="255" t="n"/>
      <c r="T367" s="255" t="n"/>
      <c r="U367" s="255" t="n"/>
      <c r="V367" s="255" t="n"/>
      <c r="W367" s="255" t="n"/>
      <c r="X367" s="255" t="n"/>
      <c r="Y367" s="255" t="n"/>
      <c r="Z367" s="255" t="n"/>
    </row>
    <row r="368" ht="12.75" customHeight="1">
      <c r="A368" s="333" t="n"/>
      <c r="B368" s="255" t="n"/>
      <c r="C368" s="255" t="n"/>
      <c r="D368" s="255" t="n"/>
      <c r="E368" s="255" t="n"/>
      <c r="F368" s="255" t="n"/>
      <c r="G368" s="255" t="n"/>
      <c r="H368" s="255" t="n"/>
      <c r="I368" s="255" t="n"/>
      <c r="J368" s="255" t="n"/>
      <c r="K368" s="255" t="n"/>
      <c r="L368" s="255" t="n"/>
      <c r="M368" s="255" t="n"/>
      <c r="N368" s="255" t="n"/>
      <c r="O368" s="255" t="n"/>
      <c r="P368" s="255" t="n"/>
      <c r="Q368" s="255" t="n"/>
      <c r="R368" s="255" t="n"/>
      <c r="S368" s="255" t="n"/>
      <c r="T368" s="255" t="n"/>
      <c r="U368" s="255" t="n"/>
      <c r="V368" s="255" t="n"/>
      <c r="W368" s="255" t="n"/>
      <c r="X368" s="255" t="n"/>
      <c r="Y368" s="255" t="n"/>
      <c r="Z368" s="255" t="n"/>
    </row>
    <row r="369" ht="12.75" customHeight="1">
      <c r="A369" s="333" t="n"/>
      <c r="B369" s="255" t="n"/>
      <c r="C369" s="255" t="n"/>
      <c r="D369" s="255" t="n"/>
      <c r="E369" s="255" t="n"/>
      <c r="F369" s="255" t="n"/>
      <c r="G369" s="255" t="n"/>
      <c r="H369" s="255" t="n"/>
      <c r="I369" s="255" t="n"/>
      <c r="J369" s="255" t="n"/>
      <c r="K369" s="255" t="n"/>
      <c r="L369" s="255" t="n"/>
      <c r="M369" s="255" t="n"/>
      <c r="N369" s="255" t="n"/>
      <c r="O369" s="255" t="n"/>
      <c r="P369" s="255" t="n"/>
      <c r="Q369" s="255" t="n"/>
      <c r="R369" s="255" t="n"/>
      <c r="S369" s="255" t="n"/>
      <c r="T369" s="255" t="n"/>
      <c r="U369" s="255" t="n"/>
      <c r="V369" s="255" t="n"/>
      <c r="W369" s="255" t="n"/>
      <c r="X369" s="255" t="n"/>
      <c r="Y369" s="255" t="n"/>
      <c r="Z369" s="255" t="n"/>
    </row>
    <row r="370" ht="12.75" customHeight="1">
      <c r="A370" s="333" t="n"/>
      <c r="B370" s="255" t="n"/>
      <c r="C370" s="255" t="n"/>
      <c r="D370" s="255" t="n"/>
      <c r="E370" s="255" t="n"/>
      <c r="F370" s="255" t="n"/>
      <c r="G370" s="255" t="n"/>
      <c r="H370" s="255" t="n"/>
      <c r="I370" s="255" t="n"/>
      <c r="J370" s="255" t="n"/>
      <c r="K370" s="255" t="n"/>
      <c r="L370" s="255" t="n"/>
      <c r="M370" s="255" t="n"/>
      <c r="N370" s="255" t="n"/>
      <c r="O370" s="255" t="n"/>
      <c r="P370" s="255" t="n"/>
      <c r="Q370" s="255" t="n"/>
      <c r="R370" s="255" t="n"/>
      <c r="S370" s="255" t="n"/>
      <c r="T370" s="255" t="n"/>
      <c r="U370" s="255" t="n"/>
      <c r="V370" s="255" t="n"/>
      <c r="W370" s="255" t="n"/>
      <c r="X370" s="255" t="n"/>
      <c r="Y370" s="255" t="n"/>
      <c r="Z370" s="255" t="n"/>
    </row>
    <row r="371" ht="12.75" customHeight="1">
      <c r="A371" s="333" t="n"/>
      <c r="B371" s="255" t="n"/>
      <c r="C371" s="255" t="n"/>
      <c r="D371" s="255" t="n"/>
      <c r="E371" s="255" t="n"/>
      <c r="F371" s="255" t="n"/>
      <c r="G371" s="255" t="n"/>
      <c r="H371" s="255" t="n"/>
      <c r="I371" s="255" t="n"/>
      <c r="J371" s="255" t="n"/>
      <c r="K371" s="255" t="n"/>
      <c r="L371" s="255" t="n"/>
      <c r="M371" s="255" t="n"/>
      <c r="N371" s="255" t="n"/>
      <c r="O371" s="255" t="n"/>
      <c r="P371" s="255" t="n"/>
      <c r="Q371" s="255" t="n"/>
      <c r="R371" s="255" t="n"/>
      <c r="S371" s="255" t="n"/>
      <c r="T371" s="255" t="n"/>
      <c r="U371" s="255" t="n"/>
      <c r="V371" s="255" t="n"/>
      <c r="W371" s="255" t="n"/>
      <c r="X371" s="255" t="n"/>
      <c r="Y371" s="255" t="n"/>
      <c r="Z371" s="255" t="n"/>
    </row>
    <row r="372" ht="12.75" customHeight="1">
      <c r="A372" s="333" t="n"/>
      <c r="B372" s="255" t="n"/>
      <c r="C372" s="255" t="n"/>
      <c r="D372" s="255" t="n"/>
      <c r="E372" s="255" t="n"/>
      <c r="F372" s="255" t="n"/>
      <c r="G372" s="255" t="n"/>
      <c r="H372" s="255" t="n"/>
      <c r="I372" s="255" t="n"/>
      <c r="J372" s="255" t="n"/>
      <c r="K372" s="255" t="n"/>
      <c r="L372" s="255" t="n"/>
      <c r="M372" s="255" t="n"/>
      <c r="N372" s="255" t="n"/>
      <c r="O372" s="255" t="n"/>
      <c r="P372" s="255" t="n"/>
      <c r="Q372" s="255" t="n"/>
      <c r="R372" s="255" t="n"/>
      <c r="S372" s="255" t="n"/>
      <c r="T372" s="255" t="n"/>
      <c r="U372" s="255" t="n"/>
      <c r="V372" s="255" t="n"/>
      <c r="W372" s="255" t="n"/>
      <c r="X372" s="255" t="n"/>
      <c r="Y372" s="255" t="n"/>
      <c r="Z372" s="255" t="n"/>
    </row>
    <row r="373" ht="12.75" customHeight="1">
      <c r="A373" s="333" t="n"/>
      <c r="B373" s="255" t="n"/>
      <c r="C373" s="255" t="n"/>
      <c r="D373" s="255" t="n"/>
      <c r="E373" s="255" t="n"/>
      <c r="F373" s="255" t="n"/>
      <c r="G373" s="255" t="n"/>
      <c r="H373" s="255" t="n"/>
      <c r="I373" s="255" t="n"/>
      <c r="J373" s="255" t="n"/>
      <c r="K373" s="255" t="n"/>
      <c r="L373" s="255" t="n"/>
      <c r="M373" s="255" t="n"/>
      <c r="N373" s="255" t="n"/>
      <c r="O373" s="255" t="n"/>
      <c r="P373" s="255" t="n"/>
      <c r="Q373" s="255" t="n"/>
      <c r="R373" s="255" t="n"/>
      <c r="S373" s="255" t="n"/>
      <c r="T373" s="255" t="n"/>
      <c r="U373" s="255" t="n"/>
      <c r="V373" s="255" t="n"/>
      <c r="W373" s="255" t="n"/>
      <c r="X373" s="255" t="n"/>
      <c r="Y373" s="255" t="n"/>
      <c r="Z373" s="255" t="n"/>
    </row>
    <row r="374" ht="12.75" customHeight="1">
      <c r="A374" s="333" t="n"/>
      <c r="B374" s="255" t="n"/>
      <c r="C374" s="255" t="n"/>
      <c r="D374" s="255" t="n"/>
      <c r="E374" s="255" t="n"/>
      <c r="F374" s="255" t="n"/>
      <c r="G374" s="255" t="n"/>
      <c r="H374" s="255" t="n"/>
      <c r="I374" s="255" t="n"/>
      <c r="J374" s="255" t="n"/>
      <c r="K374" s="255" t="n"/>
      <c r="L374" s="255" t="n"/>
      <c r="M374" s="255" t="n"/>
      <c r="N374" s="255" t="n"/>
      <c r="O374" s="255" t="n"/>
      <c r="P374" s="255" t="n"/>
      <c r="Q374" s="255" t="n"/>
      <c r="R374" s="255" t="n"/>
      <c r="S374" s="255" t="n"/>
      <c r="T374" s="255" t="n"/>
      <c r="U374" s="255" t="n"/>
      <c r="V374" s="255" t="n"/>
      <c r="W374" s="255" t="n"/>
      <c r="X374" s="255" t="n"/>
      <c r="Y374" s="255" t="n"/>
      <c r="Z374" s="255" t="n"/>
    </row>
    <row r="375" ht="12.75" customHeight="1">
      <c r="A375" s="333" t="n"/>
      <c r="B375" s="255" t="n"/>
      <c r="C375" s="255" t="n"/>
      <c r="D375" s="255" t="n"/>
      <c r="E375" s="255" t="n"/>
      <c r="F375" s="255" t="n"/>
      <c r="G375" s="255" t="n"/>
      <c r="H375" s="255" t="n"/>
      <c r="I375" s="255" t="n"/>
      <c r="J375" s="255" t="n"/>
      <c r="K375" s="255" t="n"/>
      <c r="L375" s="255" t="n"/>
      <c r="M375" s="255" t="n"/>
      <c r="N375" s="255" t="n"/>
      <c r="O375" s="255" t="n"/>
      <c r="P375" s="255" t="n"/>
      <c r="Q375" s="255" t="n"/>
      <c r="R375" s="255" t="n"/>
      <c r="S375" s="255" t="n"/>
      <c r="T375" s="255" t="n"/>
      <c r="U375" s="255" t="n"/>
      <c r="V375" s="255" t="n"/>
      <c r="W375" s="255" t="n"/>
      <c r="X375" s="255" t="n"/>
      <c r="Y375" s="255" t="n"/>
      <c r="Z375" s="255" t="n"/>
    </row>
    <row r="376" ht="12.75" customHeight="1">
      <c r="A376" s="333" t="n"/>
      <c r="B376" s="255" t="n"/>
      <c r="C376" s="255" t="n"/>
      <c r="D376" s="255" t="n"/>
      <c r="E376" s="255" t="n"/>
      <c r="F376" s="255" t="n"/>
      <c r="G376" s="255" t="n"/>
      <c r="H376" s="255" t="n"/>
      <c r="I376" s="255" t="n"/>
      <c r="J376" s="255" t="n"/>
      <c r="K376" s="255" t="n"/>
      <c r="L376" s="255" t="n"/>
      <c r="M376" s="255" t="n"/>
      <c r="N376" s="255" t="n"/>
      <c r="O376" s="255" t="n"/>
      <c r="P376" s="255" t="n"/>
      <c r="Q376" s="255" t="n"/>
      <c r="R376" s="255" t="n"/>
      <c r="S376" s="255" t="n"/>
      <c r="T376" s="255" t="n"/>
      <c r="U376" s="255" t="n"/>
      <c r="V376" s="255" t="n"/>
      <c r="W376" s="255" t="n"/>
      <c r="X376" s="255" t="n"/>
      <c r="Y376" s="255" t="n"/>
      <c r="Z376" s="255" t="n"/>
    </row>
    <row r="377" ht="12.75" customHeight="1">
      <c r="A377" s="333" t="n"/>
      <c r="B377" s="255" t="n"/>
      <c r="C377" s="255" t="n"/>
      <c r="D377" s="255" t="n"/>
      <c r="E377" s="255" t="n"/>
      <c r="F377" s="255" t="n"/>
      <c r="G377" s="255" t="n"/>
      <c r="H377" s="255" t="n"/>
      <c r="I377" s="255" t="n"/>
      <c r="J377" s="255" t="n"/>
      <c r="K377" s="255" t="n"/>
      <c r="L377" s="255" t="n"/>
      <c r="M377" s="255" t="n"/>
      <c r="N377" s="255" t="n"/>
      <c r="O377" s="255" t="n"/>
      <c r="P377" s="255" t="n"/>
      <c r="Q377" s="255" t="n"/>
      <c r="R377" s="255" t="n"/>
      <c r="S377" s="255" t="n"/>
      <c r="T377" s="255" t="n"/>
      <c r="U377" s="255" t="n"/>
      <c r="V377" s="255" t="n"/>
      <c r="W377" s="255" t="n"/>
      <c r="X377" s="255" t="n"/>
      <c r="Y377" s="255" t="n"/>
      <c r="Z377" s="255" t="n"/>
    </row>
    <row r="378" ht="12.75" customHeight="1">
      <c r="A378" s="333" t="n"/>
      <c r="B378" s="255" t="n"/>
      <c r="C378" s="255" t="n"/>
      <c r="D378" s="255" t="n"/>
      <c r="E378" s="255" t="n"/>
      <c r="F378" s="255" t="n"/>
      <c r="G378" s="255" t="n"/>
      <c r="H378" s="255" t="n"/>
      <c r="I378" s="255" t="n"/>
      <c r="J378" s="255" t="n"/>
      <c r="K378" s="255" t="n"/>
      <c r="L378" s="255" t="n"/>
      <c r="M378" s="255" t="n"/>
      <c r="N378" s="255" t="n"/>
      <c r="O378" s="255" t="n"/>
      <c r="P378" s="255" t="n"/>
      <c r="Q378" s="255" t="n"/>
      <c r="R378" s="255" t="n"/>
      <c r="S378" s="255" t="n"/>
      <c r="T378" s="255" t="n"/>
      <c r="U378" s="255" t="n"/>
      <c r="V378" s="255" t="n"/>
      <c r="W378" s="255" t="n"/>
      <c r="X378" s="255" t="n"/>
      <c r="Y378" s="255" t="n"/>
      <c r="Z378" s="255" t="n"/>
    </row>
    <row r="379" ht="12.75" customHeight="1">
      <c r="A379" s="333" t="n"/>
      <c r="B379" s="255" t="n"/>
      <c r="C379" s="255" t="n"/>
      <c r="D379" s="255" t="n"/>
      <c r="E379" s="255" t="n"/>
      <c r="F379" s="255" t="n"/>
      <c r="G379" s="255" t="n"/>
      <c r="H379" s="255" t="n"/>
      <c r="I379" s="255" t="n"/>
      <c r="J379" s="255" t="n"/>
      <c r="K379" s="255" t="n"/>
      <c r="L379" s="255" t="n"/>
      <c r="M379" s="255" t="n"/>
      <c r="N379" s="255" t="n"/>
      <c r="O379" s="255" t="n"/>
      <c r="P379" s="255" t="n"/>
      <c r="Q379" s="255" t="n"/>
      <c r="R379" s="255" t="n"/>
      <c r="S379" s="255" t="n"/>
      <c r="T379" s="255" t="n"/>
      <c r="U379" s="255" t="n"/>
      <c r="V379" s="255" t="n"/>
      <c r="W379" s="255" t="n"/>
      <c r="X379" s="255" t="n"/>
      <c r="Y379" s="255" t="n"/>
      <c r="Z379" s="255" t="n"/>
    </row>
    <row r="380" ht="12.75" customHeight="1">
      <c r="A380" s="333" t="n"/>
      <c r="B380" s="255" t="n"/>
      <c r="C380" s="255" t="n"/>
      <c r="D380" s="255" t="n"/>
      <c r="E380" s="255" t="n"/>
      <c r="F380" s="255" t="n"/>
      <c r="G380" s="255" t="n"/>
      <c r="H380" s="255" t="n"/>
      <c r="I380" s="255" t="n"/>
      <c r="J380" s="255" t="n"/>
      <c r="K380" s="255" t="n"/>
      <c r="L380" s="255" t="n"/>
      <c r="M380" s="255" t="n"/>
      <c r="N380" s="255" t="n"/>
      <c r="O380" s="255" t="n"/>
      <c r="P380" s="255" t="n"/>
      <c r="Q380" s="255" t="n"/>
      <c r="R380" s="255" t="n"/>
      <c r="S380" s="255" t="n"/>
      <c r="T380" s="255" t="n"/>
      <c r="U380" s="255" t="n"/>
      <c r="V380" s="255" t="n"/>
      <c r="W380" s="255" t="n"/>
      <c r="X380" s="255" t="n"/>
      <c r="Y380" s="255" t="n"/>
      <c r="Z380" s="255" t="n"/>
    </row>
    <row r="381" ht="12.75" customHeight="1">
      <c r="A381" s="333" t="n"/>
      <c r="B381" s="255" t="n"/>
      <c r="C381" s="255" t="n"/>
      <c r="D381" s="255" t="n"/>
      <c r="E381" s="255" t="n"/>
      <c r="F381" s="255" t="n"/>
      <c r="G381" s="255" t="n"/>
      <c r="H381" s="255" t="n"/>
      <c r="I381" s="255" t="n"/>
      <c r="J381" s="255" t="n"/>
      <c r="K381" s="255" t="n"/>
      <c r="L381" s="255" t="n"/>
      <c r="M381" s="255" t="n"/>
      <c r="N381" s="255" t="n"/>
      <c r="O381" s="255" t="n"/>
      <c r="P381" s="255" t="n"/>
      <c r="Q381" s="255" t="n"/>
      <c r="R381" s="255" t="n"/>
      <c r="S381" s="255" t="n"/>
      <c r="T381" s="255" t="n"/>
      <c r="U381" s="255" t="n"/>
      <c r="V381" s="255" t="n"/>
      <c r="W381" s="255" t="n"/>
      <c r="X381" s="255" t="n"/>
      <c r="Y381" s="255" t="n"/>
      <c r="Z381" s="255" t="n"/>
    </row>
    <row r="382" ht="12.75" customHeight="1">
      <c r="A382" s="333" t="n"/>
      <c r="B382" s="255" t="n"/>
      <c r="C382" s="255" t="n"/>
      <c r="D382" s="255" t="n"/>
      <c r="E382" s="255" t="n"/>
      <c r="F382" s="255" t="n"/>
      <c r="G382" s="255" t="n"/>
      <c r="H382" s="255" t="n"/>
      <c r="I382" s="255" t="n"/>
      <c r="J382" s="255" t="n"/>
      <c r="K382" s="255" t="n"/>
      <c r="L382" s="255" t="n"/>
      <c r="M382" s="255" t="n"/>
      <c r="N382" s="255" t="n"/>
      <c r="O382" s="255" t="n"/>
      <c r="P382" s="255" t="n"/>
      <c r="Q382" s="255" t="n"/>
      <c r="R382" s="255" t="n"/>
      <c r="S382" s="255" t="n"/>
      <c r="T382" s="255" t="n"/>
      <c r="U382" s="255" t="n"/>
      <c r="V382" s="255" t="n"/>
      <c r="W382" s="255" t="n"/>
      <c r="X382" s="255" t="n"/>
      <c r="Y382" s="255" t="n"/>
      <c r="Z382" s="255" t="n"/>
    </row>
    <row r="383" ht="12.75" customHeight="1">
      <c r="A383" s="333" t="n"/>
      <c r="B383" s="255" t="n"/>
      <c r="C383" s="255" t="n"/>
      <c r="D383" s="255" t="n"/>
      <c r="E383" s="255" t="n"/>
      <c r="F383" s="255" t="n"/>
      <c r="G383" s="255" t="n"/>
      <c r="H383" s="255" t="n"/>
      <c r="I383" s="255" t="n"/>
      <c r="J383" s="255" t="n"/>
      <c r="K383" s="255" t="n"/>
      <c r="L383" s="255" t="n"/>
      <c r="M383" s="255" t="n"/>
      <c r="N383" s="255" t="n"/>
      <c r="O383" s="255" t="n"/>
      <c r="P383" s="255" t="n"/>
      <c r="Q383" s="255" t="n"/>
      <c r="R383" s="255" t="n"/>
      <c r="S383" s="255" t="n"/>
      <c r="T383" s="255" t="n"/>
      <c r="U383" s="255" t="n"/>
      <c r="V383" s="255" t="n"/>
      <c r="W383" s="255" t="n"/>
      <c r="X383" s="255" t="n"/>
      <c r="Y383" s="255" t="n"/>
      <c r="Z383" s="255" t="n"/>
    </row>
    <row r="384" ht="12.75" customHeight="1">
      <c r="A384" s="333" t="n"/>
      <c r="B384" s="255" t="n"/>
      <c r="C384" s="255" t="n"/>
      <c r="D384" s="255" t="n"/>
      <c r="E384" s="255" t="n"/>
      <c r="F384" s="255" t="n"/>
      <c r="G384" s="255" t="n"/>
      <c r="H384" s="255" t="n"/>
      <c r="I384" s="255" t="n"/>
      <c r="J384" s="255" t="n"/>
      <c r="K384" s="255" t="n"/>
      <c r="L384" s="255" t="n"/>
      <c r="M384" s="255" t="n"/>
      <c r="N384" s="255" t="n"/>
      <c r="O384" s="255" t="n"/>
      <c r="P384" s="255" t="n"/>
      <c r="Q384" s="255" t="n"/>
      <c r="R384" s="255" t="n"/>
      <c r="S384" s="255" t="n"/>
      <c r="T384" s="255" t="n"/>
      <c r="U384" s="255" t="n"/>
      <c r="V384" s="255" t="n"/>
      <c r="W384" s="255" t="n"/>
      <c r="X384" s="255" t="n"/>
      <c r="Y384" s="255" t="n"/>
      <c r="Z384" s="255" t="n"/>
    </row>
    <row r="385" ht="12.75" customHeight="1">
      <c r="A385" s="333" t="n"/>
      <c r="B385" s="255" t="n"/>
      <c r="C385" s="255" t="n"/>
      <c r="D385" s="255" t="n"/>
      <c r="E385" s="255" t="n"/>
      <c r="F385" s="255" t="n"/>
      <c r="G385" s="255" t="n"/>
      <c r="H385" s="255" t="n"/>
      <c r="I385" s="255" t="n"/>
      <c r="J385" s="255" t="n"/>
      <c r="K385" s="255" t="n"/>
      <c r="L385" s="255" t="n"/>
      <c r="M385" s="255" t="n"/>
      <c r="N385" s="255" t="n"/>
      <c r="O385" s="255" t="n"/>
      <c r="P385" s="255" t="n"/>
      <c r="Q385" s="255" t="n"/>
      <c r="R385" s="255" t="n"/>
      <c r="S385" s="255" t="n"/>
      <c r="T385" s="255" t="n"/>
      <c r="U385" s="255" t="n"/>
      <c r="V385" s="255" t="n"/>
      <c r="W385" s="255" t="n"/>
      <c r="X385" s="255" t="n"/>
      <c r="Y385" s="255" t="n"/>
      <c r="Z385" s="255" t="n"/>
    </row>
    <row r="386" ht="12.75" customHeight="1">
      <c r="A386" s="333" t="n"/>
      <c r="B386" s="255" t="n"/>
      <c r="C386" s="255" t="n"/>
      <c r="D386" s="255" t="n"/>
      <c r="E386" s="255" t="n"/>
      <c r="F386" s="255" t="n"/>
      <c r="G386" s="255" t="n"/>
      <c r="H386" s="255" t="n"/>
      <c r="I386" s="255" t="n"/>
      <c r="J386" s="255" t="n"/>
      <c r="K386" s="255" t="n"/>
      <c r="L386" s="255" t="n"/>
      <c r="M386" s="255" t="n"/>
      <c r="N386" s="255" t="n"/>
      <c r="O386" s="255" t="n"/>
      <c r="P386" s="255" t="n"/>
      <c r="Q386" s="255" t="n"/>
      <c r="R386" s="255" t="n"/>
      <c r="S386" s="255" t="n"/>
      <c r="T386" s="255" t="n"/>
      <c r="U386" s="255" t="n"/>
      <c r="V386" s="255" t="n"/>
      <c r="W386" s="255" t="n"/>
      <c r="X386" s="255" t="n"/>
      <c r="Y386" s="255" t="n"/>
      <c r="Z386" s="255" t="n"/>
    </row>
    <row r="387" ht="12.75" customHeight="1">
      <c r="A387" s="333" t="n"/>
      <c r="B387" s="255" t="n"/>
      <c r="C387" s="255" t="n"/>
      <c r="D387" s="255" t="n"/>
      <c r="E387" s="255" t="n"/>
      <c r="F387" s="255" t="n"/>
      <c r="G387" s="255" t="n"/>
      <c r="H387" s="255" t="n"/>
      <c r="I387" s="255" t="n"/>
      <c r="J387" s="255" t="n"/>
      <c r="K387" s="255" t="n"/>
      <c r="L387" s="255" t="n"/>
      <c r="M387" s="255" t="n"/>
      <c r="N387" s="255" t="n"/>
      <c r="O387" s="255" t="n"/>
      <c r="P387" s="255" t="n"/>
      <c r="Q387" s="255" t="n"/>
      <c r="R387" s="255" t="n"/>
      <c r="S387" s="255" t="n"/>
      <c r="T387" s="255" t="n"/>
      <c r="U387" s="255" t="n"/>
      <c r="V387" s="255" t="n"/>
      <c r="W387" s="255" t="n"/>
      <c r="X387" s="255" t="n"/>
      <c r="Y387" s="255" t="n"/>
      <c r="Z387" s="255" t="n"/>
    </row>
    <row r="388" ht="12.75" customHeight="1">
      <c r="A388" s="333" t="n"/>
      <c r="B388" s="255" t="n"/>
      <c r="C388" s="255" t="n"/>
      <c r="D388" s="255" t="n"/>
      <c r="E388" s="255" t="n"/>
      <c r="F388" s="255" t="n"/>
      <c r="G388" s="255" t="n"/>
      <c r="H388" s="255" t="n"/>
      <c r="I388" s="255" t="n"/>
      <c r="J388" s="255" t="n"/>
      <c r="K388" s="255" t="n"/>
      <c r="L388" s="255" t="n"/>
      <c r="M388" s="255" t="n"/>
      <c r="N388" s="255" t="n"/>
      <c r="O388" s="255" t="n"/>
      <c r="P388" s="255" t="n"/>
      <c r="Q388" s="255" t="n"/>
      <c r="R388" s="255" t="n"/>
      <c r="S388" s="255" t="n"/>
      <c r="T388" s="255" t="n"/>
      <c r="U388" s="255" t="n"/>
      <c r="V388" s="255" t="n"/>
      <c r="W388" s="255" t="n"/>
      <c r="X388" s="255" t="n"/>
      <c r="Y388" s="255" t="n"/>
      <c r="Z388" s="255" t="n"/>
    </row>
    <row r="389" ht="12.75" customHeight="1">
      <c r="A389" s="333" t="n"/>
      <c r="B389" s="255" t="n"/>
      <c r="C389" s="255" t="n"/>
      <c r="D389" s="255" t="n"/>
      <c r="E389" s="255" t="n"/>
      <c r="F389" s="255" t="n"/>
      <c r="G389" s="255" t="n"/>
      <c r="H389" s="255" t="n"/>
      <c r="I389" s="255" t="n"/>
      <c r="J389" s="255" t="n"/>
      <c r="K389" s="255" t="n"/>
      <c r="L389" s="255" t="n"/>
      <c r="M389" s="255" t="n"/>
      <c r="N389" s="255" t="n"/>
      <c r="O389" s="255" t="n"/>
      <c r="P389" s="255" t="n"/>
      <c r="Q389" s="255" t="n"/>
      <c r="R389" s="255" t="n"/>
      <c r="S389" s="255" t="n"/>
      <c r="T389" s="255" t="n"/>
      <c r="U389" s="255" t="n"/>
      <c r="V389" s="255" t="n"/>
      <c r="W389" s="255" t="n"/>
      <c r="X389" s="255" t="n"/>
      <c r="Y389" s="255" t="n"/>
      <c r="Z389" s="255" t="n"/>
    </row>
    <row r="390" ht="12.75" customHeight="1">
      <c r="A390" s="333" t="n"/>
      <c r="B390" s="255" t="n"/>
      <c r="C390" s="255" t="n"/>
      <c r="D390" s="255" t="n"/>
      <c r="E390" s="255" t="n"/>
      <c r="F390" s="255" t="n"/>
      <c r="G390" s="255" t="n"/>
      <c r="H390" s="255" t="n"/>
      <c r="I390" s="255" t="n"/>
      <c r="J390" s="255" t="n"/>
      <c r="K390" s="255" t="n"/>
      <c r="L390" s="255" t="n"/>
      <c r="M390" s="255" t="n"/>
      <c r="N390" s="255" t="n"/>
      <c r="O390" s="255" t="n"/>
      <c r="P390" s="255" t="n"/>
      <c r="Q390" s="255" t="n"/>
      <c r="R390" s="255" t="n"/>
      <c r="S390" s="255" t="n"/>
      <c r="T390" s="255" t="n"/>
      <c r="U390" s="255" t="n"/>
      <c r="V390" s="255" t="n"/>
      <c r="W390" s="255" t="n"/>
      <c r="X390" s="255" t="n"/>
      <c r="Y390" s="255" t="n"/>
      <c r="Z390" s="255" t="n"/>
    </row>
    <row r="391" ht="12.75" customHeight="1">
      <c r="A391" s="333" t="n"/>
      <c r="B391" s="255" t="n"/>
      <c r="C391" s="255" t="n"/>
      <c r="D391" s="255" t="n"/>
      <c r="E391" s="255" t="n"/>
      <c r="F391" s="255" t="n"/>
      <c r="G391" s="255" t="n"/>
      <c r="H391" s="255" t="n"/>
      <c r="I391" s="255" t="n"/>
      <c r="J391" s="255" t="n"/>
      <c r="K391" s="255" t="n"/>
      <c r="L391" s="255" t="n"/>
      <c r="M391" s="255" t="n"/>
      <c r="N391" s="255" t="n"/>
      <c r="O391" s="255" t="n"/>
      <c r="P391" s="255" t="n"/>
      <c r="Q391" s="255" t="n"/>
      <c r="R391" s="255" t="n"/>
      <c r="S391" s="255" t="n"/>
      <c r="T391" s="255" t="n"/>
      <c r="U391" s="255" t="n"/>
      <c r="V391" s="255" t="n"/>
      <c r="W391" s="255" t="n"/>
      <c r="X391" s="255" t="n"/>
      <c r="Y391" s="255" t="n"/>
      <c r="Z391" s="255" t="n"/>
    </row>
    <row r="392" ht="12.75" customHeight="1">
      <c r="A392" s="333" t="n"/>
      <c r="B392" s="255" t="n"/>
      <c r="C392" s="255" t="n"/>
      <c r="D392" s="255" t="n"/>
      <c r="E392" s="255" t="n"/>
      <c r="F392" s="255" t="n"/>
      <c r="G392" s="255" t="n"/>
      <c r="H392" s="255" t="n"/>
      <c r="I392" s="255" t="n"/>
      <c r="J392" s="255" t="n"/>
      <c r="K392" s="255" t="n"/>
      <c r="L392" s="255" t="n"/>
      <c r="M392" s="255" t="n"/>
      <c r="N392" s="255" t="n"/>
      <c r="O392" s="255" t="n"/>
      <c r="P392" s="255" t="n"/>
      <c r="Q392" s="255" t="n"/>
      <c r="R392" s="255" t="n"/>
      <c r="S392" s="255" t="n"/>
      <c r="T392" s="255" t="n"/>
      <c r="U392" s="255" t="n"/>
      <c r="V392" s="255" t="n"/>
      <c r="W392" s="255" t="n"/>
      <c r="X392" s="255" t="n"/>
      <c r="Y392" s="255" t="n"/>
      <c r="Z392" s="255" t="n"/>
    </row>
    <row r="393" ht="12.75" customHeight="1">
      <c r="A393" s="333" t="n"/>
      <c r="B393" s="255" t="n"/>
      <c r="C393" s="255" t="n"/>
      <c r="D393" s="255" t="n"/>
      <c r="E393" s="255" t="n"/>
      <c r="F393" s="255" t="n"/>
      <c r="G393" s="255" t="n"/>
      <c r="H393" s="255" t="n"/>
      <c r="I393" s="255" t="n"/>
      <c r="J393" s="255" t="n"/>
      <c r="K393" s="255" t="n"/>
      <c r="L393" s="255" t="n"/>
      <c r="M393" s="255" t="n"/>
      <c r="N393" s="255" t="n"/>
      <c r="O393" s="255" t="n"/>
      <c r="P393" s="255" t="n"/>
      <c r="Q393" s="255" t="n"/>
      <c r="R393" s="255" t="n"/>
      <c r="S393" s="255" t="n"/>
      <c r="T393" s="255" t="n"/>
      <c r="U393" s="255" t="n"/>
      <c r="V393" s="255" t="n"/>
      <c r="W393" s="255" t="n"/>
      <c r="X393" s="255" t="n"/>
      <c r="Y393" s="255" t="n"/>
      <c r="Z393" s="255" t="n"/>
    </row>
    <row r="394" ht="12.75" customHeight="1">
      <c r="A394" s="333" t="n"/>
      <c r="B394" s="255" t="n"/>
      <c r="C394" s="255" t="n"/>
      <c r="D394" s="255" t="n"/>
      <c r="E394" s="255" t="n"/>
      <c r="F394" s="255" t="n"/>
      <c r="G394" s="255" t="n"/>
      <c r="H394" s="255" t="n"/>
      <c r="I394" s="255" t="n"/>
      <c r="J394" s="255" t="n"/>
      <c r="K394" s="255" t="n"/>
      <c r="L394" s="255" t="n"/>
      <c r="M394" s="255" t="n"/>
      <c r="N394" s="255" t="n"/>
      <c r="O394" s="255" t="n"/>
      <c r="P394" s="255" t="n"/>
      <c r="Q394" s="255" t="n"/>
      <c r="R394" s="255" t="n"/>
      <c r="S394" s="255" t="n"/>
      <c r="T394" s="255" t="n"/>
      <c r="U394" s="255" t="n"/>
      <c r="V394" s="255" t="n"/>
      <c r="W394" s="255" t="n"/>
      <c r="X394" s="255" t="n"/>
      <c r="Y394" s="255" t="n"/>
      <c r="Z394" s="255" t="n"/>
    </row>
    <row r="395" ht="12.75" customHeight="1">
      <c r="A395" s="333" t="n"/>
      <c r="B395" s="255" t="n"/>
      <c r="C395" s="255" t="n"/>
      <c r="D395" s="255" t="n"/>
      <c r="E395" s="255" t="n"/>
      <c r="F395" s="255" t="n"/>
      <c r="G395" s="255" t="n"/>
      <c r="H395" s="255" t="n"/>
      <c r="I395" s="255" t="n"/>
      <c r="J395" s="255" t="n"/>
      <c r="K395" s="255" t="n"/>
      <c r="L395" s="255" t="n"/>
      <c r="M395" s="255" t="n"/>
      <c r="N395" s="255" t="n"/>
      <c r="O395" s="255" t="n"/>
      <c r="P395" s="255" t="n"/>
      <c r="Q395" s="255" t="n"/>
      <c r="R395" s="255" t="n"/>
      <c r="S395" s="255" t="n"/>
      <c r="T395" s="255" t="n"/>
      <c r="U395" s="255" t="n"/>
      <c r="V395" s="255" t="n"/>
      <c r="W395" s="255" t="n"/>
      <c r="X395" s="255" t="n"/>
      <c r="Y395" s="255" t="n"/>
      <c r="Z395" s="255" t="n"/>
    </row>
    <row r="396" ht="12.75" customHeight="1">
      <c r="A396" s="333" t="n"/>
      <c r="B396" s="255" t="n"/>
      <c r="C396" s="255" t="n"/>
      <c r="D396" s="255" t="n"/>
      <c r="E396" s="255" t="n"/>
      <c r="F396" s="255" t="n"/>
      <c r="G396" s="255" t="n"/>
      <c r="H396" s="255" t="n"/>
      <c r="I396" s="255" t="n"/>
      <c r="J396" s="255" t="n"/>
      <c r="K396" s="255" t="n"/>
      <c r="L396" s="255" t="n"/>
      <c r="M396" s="255" t="n"/>
      <c r="N396" s="255" t="n"/>
      <c r="O396" s="255" t="n"/>
      <c r="P396" s="255" t="n"/>
      <c r="Q396" s="255" t="n"/>
      <c r="R396" s="255" t="n"/>
      <c r="S396" s="255" t="n"/>
      <c r="T396" s="255" t="n"/>
      <c r="U396" s="255" t="n"/>
      <c r="V396" s="255" t="n"/>
      <c r="W396" s="255" t="n"/>
      <c r="X396" s="255" t="n"/>
      <c r="Y396" s="255" t="n"/>
      <c r="Z396" s="255" t="n"/>
    </row>
    <row r="397" ht="12.75" customHeight="1">
      <c r="A397" s="333" t="n"/>
      <c r="B397" s="255" t="n"/>
      <c r="C397" s="255" t="n"/>
      <c r="D397" s="255" t="n"/>
      <c r="E397" s="255" t="n"/>
      <c r="F397" s="255" t="n"/>
      <c r="G397" s="255" t="n"/>
      <c r="H397" s="255" t="n"/>
      <c r="I397" s="255" t="n"/>
      <c r="J397" s="255" t="n"/>
      <c r="K397" s="255" t="n"/>
      <c r="L397" s="255" t="n"/>
      <c r="M397" s="255" t="n"/>
      <c r="N397" s="255" t="n"/>
      <c r="O397" s="255" t="n"/>
      <c r="P397" s="255" t="n"/>
      <c r="Q397" s="255" t="n"/>
      <c r="R397" s="255" t="n"/>
      <c r="S397" s="255" t="n"/>
      <c r="T397" s="255" t="n"/>
      <c r="U397" s="255" t="n"/>
      <c r="V397" s="255" t="n"/>
      <c r="W397" s="255" t="n"/>
      <c r="X397" s="255" t="n"/>
      <c r="Y397" s="255" t="n"/>
      <c r="Z397" s="255" t="n"/>
    </row>
    <row r="398" ht="12.75" customHeight="1">
      <c r="A398" s="333" t="n"/>
      <c r="B398" s="255" t="n"/>
      <c r="C398" s="255" t="n"/>
      <c r="D398" s="255" t="n"/>
      <c r="E398" s="255" t="n"/>
      <c r="F398" s="255" t="n"/>
      <c r="G398" s="255" t="n"/>
      <c r="H398" s="255" t="n"/>
      <c r="I398" s="255" t="n"/>
      <c r="J398" s="255" t="n"/>
      <c r="K398" s="255" t="n"/>
      <c r="L398" s="255" t="n"/>
      <c r="M398" s="255" t="n"/>
      <c r="N398" s="255" t="n"/>
      <c r="O398" s="255" t="n"/>
      <c r="P398" s="255" t="n"/>
      <c r="Q398" s="255" t="n"/>
      <c r="R398" s="255" t="n"/>
      <c r="S398" s="255" t="n"/>
      <c r="T398" s="255" t="n"/>
      <c r="U398" s="255" t="n"/>
      <c r="V398" s="255" t="n"/>
      <c r="W398" s="255" t="n"/>
      <c r="X398" s="255" t="n"/>
      <c r="Y398" s="255" t="n"/>
      <c r="Z398" s="255" t="n"/>
    </row>
    <row r="399" ht="12.75" customHeight="1">
      <c r="A399" s="333" t="n"/>
      <c r="B399" s="255" t="n"/>
      <c r="C399" s="255" t="n"/>
      <c r="D399" s="255" t="n"/>
      <c r="E399" s="255" t="n"/>
      <c r="F399" s="255" t="n"/>
      <c r="G399" s="255" t="n"/>
      <c r="H399" s="255" t="n"/>
      <c r="I399" s="255" t="n"/>
      <c r="J399" s="255" t="n"/>
      <c r="K399" s="255" t="n"/>
      <c r="L399" s="255" t="n"/>
      <c r="M399" s="255" t="n"/>
      <c r="N399" s="255" t="n"/>
      <c r="O399" s="255" t="n"/>
      <c r="P399" s="255" t="n"/>
      <c r="Q399" s="255" t="n"/>
      <c r="R399" s="255" t="n"/>
      <c r="S399" s="255" t="n"/>
      <c r="T399" s="255" t="n"/>
      <c r="U399" s="255" t="n"/>
      <c r="V399" s="255" t="n"/>
      <c r="W399" s="255" t="n"/>
      <c r="X399" s="255" t="n"/>
      <c r="Y399" s="255" t="n"/>
      <c r="Z399" s="255" t="n"/>
    </row>
    <row r="400" ht="12.75" customHeight="1">
      <c r="A400" s="333" t="n"/>
      <c r="B400" s="255" t="n"/>
      <c r="C400" s="255" t="n"/>
      <c r="D400" s="255" t="n"/>
      <c r="E400" s="255" t="n"/>
      <c r="F400" s="255" t="n"/>
      <c r="G400" s="255" t="n"/>
      <c r="H400" s="255" t="n"/>
      <c r="I400" s="255" t="n"/>
      <c r="J400" s="255" t="n"/>
      <c r="K400" s="255" t="n"/>
      <c r="L400" s="255" t="n"/>
      <c r="M400" s="255" t="n"/>
      <c r="N400" s="255" t="n"/>
      <c r="O400" s="255" t="n"/>
      <c r="P400" s="255" t="n"/>
      <c r="Q400" s="255" t="n"/>
      <c r="R400" s="255" t="n"/>
      <c r="S400" s="255" t="n"/>
      <c r="T400" s="255" t="n"/>
      <c r="U400" s="255" t="n"/>
      <c r="V400" s="255" t="n"/>
      <c r="W400" s="255" t="n"/>
      <c r="X400" s="255" t="n"/>
      <c r="Y400" s="255" t="n"/>
      <c r="Z400" s="255" t="n"/>
    </row>
    <row r="401" ht="12.75" customHeight="1">
      <c r="A401" s="333" t="n"/>
      <c r="B401" s="255" t="n"/>
      <c r="C401" s="255" t="n"/>
      <c r="D401" s="255" t="n"/>
      <c r="E401" s="255" t="n"/>
      <c r="F401" s="255" t="n"/>
      <c r="G401" s="255" t="n"/>
      <c r="H401" s="255" t="n"/>
      <c r="I401" s="255" t="n"/>
      <c r="J401" s="255" t="n"/>
      <c r="K401" s="255" t="n"/>
      <c r="L401" s="255" t="n"/>
      <c r="M401" s="255" t="n"/>
      <c r="N401" s="255" t="n"/>
      <c r="O401" s="255" t="n"/>
      <c r="P401" s="255" t="n"/>
      <c r="Q401" s="255" t="n"/>
      <c r="R401" s="255" t="n"/>
      <c r="S401" s="255" t="n"/>
      <c r="T401" s="255" t="n"/>
      <c r="U401" s="255" t="n"/>
      <c r="V401" s="255" t="n"/>
      <c r="W401" s="255" t="n"/>
      <c r="X401" s="255" t="n"/>
      <c r="Y401" s="255" t="n"/>
      <c r="Z401" s="255" t="n"/>
    </row>
    <row r="402" ht="12.75" customHeight="1">
      <c r="A402" s="333" t="n"/>
      <c r="B402" s="255" t="n"/>
      <c r="C402" s="255" t="n"/>
      <c r="D402" s="255" t="n"/>
      <c r="E402" s="255" t="n"/>
      <c r="F402" s="255" t="n"/>
      <c r="G402" s="255" t="n"/>
      <c r="H402" s="255" t="n"/>
      <c r="I402" s="255" t="n"/>
      <c r="J402" s="255" t="n"/>
      <c r="K402" s="255" t="n"/>
      <c r="L402" s="255" t="n"/>
      <c r="M402" s="255" t="n"/>
      <c r="N402" s="255" t="n"/>
      <c r="O402" s="255" t="n"/>
      <c r="P402" s="255" t="n"/>
      <c r="Q402" s="255" t="n"/>
      <c r="R402" s="255" t="n"/>
      <c r="S402" s="255" t="n"/>
      <c r="T402" s="255" t="n"/>
      <c r="U402" s="255" t="n"/>
      <c r="V402" s="255" t="n"/>
      <c r="W402" s="255" t="n"/>
      <c r="X402" s="255" t="n"/>
      <c r="Y402" s="255" t="n"/>
      <c r="Z402" s="255" t="n"/>
    </row>
    <row r="403" ht="12.75" customHeight="1">
      <c r="A403" s="333" t="n"/>
      <c r="B403" s="255" t="n"/>
      <c r="C403" s="255" t="n"/>
      <c r="D403" s="255" t="n"/>
      <c r="E403" s="255" t="n"/>
      <c r="F403" s="255" t="n"/>
      <c r="G403" s="255" t="n"/>
      <c r="H403" s="255" t="n"/>
      <c r="I403" s="255" t="n"/>
      <c r="J403" s="255" t="n"/>
      <c r="K403" s="255" t="n"/>
      <c r="L403" s="255" t="n"/>
      <c r="M403" s="255" t="n"/>
      <c r="N403" s="255" t="n"/>
      <c r="O403" s="255" t="n"/>
      <c r="P403" s="255" t="n"/>
      <c r="Q403" s="255" t="n"/>
      <c r="R403" s="255" t="n"/>
      <c r="S403" s="255" t="n"/>
      <c r="T403" s="255" t="n"/>
      <c r="U403" s="255" t="n"/>
      <c r="V403" s="255" t="n"/>
      <c r="W403" s="255" t="n"/>
      <c r="X403" s="255" t="n"/>
      <c r="Y403" s="255" t="n"/>
      <c r="Z403" s="255" t="n"/>
    </row>
    <row r="404" ht="12.75" customHeight="1">
      <c r="A404" s="333" t="n"/>
      <c r="B404" s="255" t="n"/>
      <c r="C404" s="255" t="n"/>
      <c r="D404" s="255" t="n"/>
      <c r="E404" s="255" t="n"/>
      <c r="F404" s="255" t="n"/>
      <c r="G404" s="255" t="n"/>
      <c r="H404" s="255" t="n"/>
      <c r="I404" s="255" t="n"/>
      <c r="J404" s="255" t="n"/>
      <c r="K404" s="255" t="n"/>
      <c r="L404" s="255" t="n"/>
      <c r="M404" s="255" t="n"/>
      <c r="N404" s="255" t="n"/>
      <c r="O404" s="255" t="n"/>
      <c r="P404" s="255" t="n"/>
      <c r="Q404" s="255" t="n"/>
      <c r="R404" s="255" t="n"/>
      <c r="S404" s="255" t="n"/>
      <c r="T404" s="255" t="n"/>
      <c r="U404" s="255" t="n"/>
      <c r="V404" s="255" t="n"/>
      <c r="W404" s="255" t="n"/>
      <c r="X404" s="255" t="n"/>
      <c r="Y404" s="255" t="n"/>
      <c r="Z404" s="255" t="n"/>
    </row>
    <row r="405" ht="12.75" customHeight="1">
      <c r="A405" s="333" t="n"/>
      <c r="B405" s="255" t="n"/>
      <c r="C405" s="255" t="n"/>
      <c r="D405" s="255" t="n"/>
      <c r="E405" s="255" t="n"/>
      <c r="F405" s="255" t="n"/>
      <c r="G405" s="255" t="n"/>
      <c r="H405" s="255" t="n"/>
      <c r="I405" s="255" t="n"/>
      <c r="J405" s="255" t="n"/>
      <c r="K405" s="255" t="n"/>
      <c r="L405" s="255" t="n"/>
      <c r="M405" s="255" t="n"/>
      <c r="N405" s="255" t="n"/>
      <c r="O405" s="255" t="n"/>
      <c r="P405" s="255" t="n"/>
      <c r="Q405" s="255" t="n"/>
      <c r="R405" s="255" t="n"/>
      <c r="S405" s="255" t="n"/>
      <c r="T405" s="255" t="n"/>
      <c r="U405" s="255" t="n"/>
      <c r="V405" s="255" t="n"/>
      <c r="W405" s="255" t="n"/>
      <c r="X405" s="255" t="n"/>
      <c r="Y405" s="255" t="n"/>
      <c r="Z405" s="255" t="n"/>
    </row>
    <row r="406" ht="12.75" customHeight="1">
      <c r="A406" s="333" t="n"/>
      <c r="B406" s="255" t="n"/>
      <c r="C406" s="255" t="n"/>
      <c r="D406" s="255" t="n"/>
      <c r="E406" s="255" t="n"/>
      <c r="F406" s="255" t="n"/>
      <c r="G406" s="255" t="n"/>
      <c r="H406" s="255" t="n"/>
      <c r="I406" s="255" t="n"/>
      <c r="J406" s="255" t="n"/>
      <c r="K406" s="255" t="n"/>
      <c r="L406" s="255" t="n"/>
      <c r="M406" s="255" t="n"/>
      <c r="N406" s="255" t="n"/>
      <c r="O406" s="255" t="n"/>
      <c r="P406" s="255" t="n"/>
      <c r="Q406" s="255" t="n"/>
      <c r="R406" s="255" t="n"/>
      <c r="S406" s="255" t="n"/>
      <c r="T406" s="255" t="n"/>
      <c r="U406" s="255" t="n"/>
      <c r="V406" s="255" t="n"/>
      <c r="W406" s="255" t="n"/>
      <c r="X406" s="255" t="n"/>
      <c r="Y406" s="255" t="n"/>
      <c r="Z406" s="255" t="n"/>
    </row>
    <row r="407" ht="12.75" customHeight="1">
      <c r="A407" s="333" t="n"/>
      <c r="B407" s="255" t="n"/>
      <c r="C407" s="255" t="n"/>
      <c r="D407" s="255" t="n"/>
      <c r="E407" s="255" t="n"/>
      <c r="F407" s="255" t="n"/>
      <c r="G407" s="255" t="n"/>
      <c r="H407" s="255" t="n"/>
      <c r="I407" s="255" t="n"/>
      <c r="J407" s="255" t="n"/>
      <c r="K407" s="255" t="n"/>
      <c r="L407" s="255" t="n"/>
      <c r="M407" s="255" t="n"/>
      <c r="N407" s="255" t="n"/>
      <c r="O407" s="255" t="n"/>
      <c r="P407" s="255" t="n"/>
      <c r="Q407" s="255" t="n"/>
      <c r="R407" s="255" t="n"/>
      <c r="S407" s="255" t="n"/>
      <c r="T407" s="255" t="n"/>
      <c r="U407" s="255" t="n"/>
      <c r="V407" s="255" t="n"/>
      <c r="W407" s="255" t="n"/>
      <c r="X407" s="255" t="n"/>
      <c r="Y407" s="255" t="n"/>
      <c r="Z407" s="255" t="n"/>
    </row>
    <row r="408" ht="12.75" customHeight="1">
      <c r="A408" s="333" t="n"/>
      <c r="B408" s="255" t="n"/>
      <c r="C408" s="255" t="n"/>
      <c r="D408" s="255" t="n"/>
      <c r="E408" s="255" t="n"/>
      <c r="F408" s="255" t="n"/>
      <c r="G408" s="255" t="n"/>
      <c r="H408" s="255" t="n"/>
      <c r="I408" s="255" t="n"/>
      <c r="J408" s="255" t="n"/>
      <c r="K408" s="255" t="n"/>
      <c r="L408" s="255" t="n"/>
      <c r="M408" s="255" t="n"/>
      <c r="N408" s="255" t="n"/>
      <c r="O408" s="255" t="n"/>
      <c r="P408" s="255" t="n"/>
      <c r="Q408" s="255" t="n"/>
      <c r="R408" s="255" t="n"/>
      <c r="S408" s="255" t="n"/>
      <c r="T408" s="255" t="n"/>
      <c r="U408" s="255" t="n"/>
      <c r="V408" s="255" t="n"/>
      <c r="W408" s="255" t="n"/>
      <c r="X408" s="255" t="n"/>
      <c r="Y408" s="255" t="n"/>
      <c r="Z408" s="255" t="n"/>
    </row>
    <row r="409" ht="12.75" customHeight="1">
      <c r="A409" s="333" t="n"/>
      <c r="B409" s="255" t="n"/>
      <c r="C409" s="255" t="n"/>
      <c r="D409" s="255" t="n"/>
      <c r="E409" s="255" t="n"/>
      <c r="F409" s="255" t="n"/>
      <c r="G409" s="255" t="n"/>
      <c r="H409" s="255" t="n"/>
      <c r="I409" s="255" t="n"/>
      <c r="J409" s="255" t="n"/>
      <c r="K409" s="255" t="n"/>
      <c r="L409" s="255" t="n"/>
      <c r="M409" s="255" t="n"/>
      <c r="N409" s="255" t="n"/>
      <c r="O409" s="255" t="n"/>
      <c r="P409" s="255" t="n"/>
      <c r="Q409" s="255" t="n"/>
      <c r="R409" s="255" t="n"/>
      <c r="S409" s="255" t="n"/>
      <c r="T409" s="255" t="n"/>
      <c r="U409" s="255" t="n"/>
      <c r="V409" s="255" t="n"/>
      <c r="W409" s="255" t="n"/>
      <c r="X409" s="255" t="n"/>
      <c r="Y409" s="255" t="n"/>
      <c r="Z409" s="255" t="n"/>
    </row>
    <row r="410" ht="12.75" customHeight="1">
      <c r="A410" s="333" t="n"/>
      <c r="B410" s="255" t="n"/>
      <c r="C410" s="255" t="n"/>
      <c r="D410" s="255" t="n"/>
      <c r="E410" s="255" t="n"/>
      <c r="F410" s="255" t="n"/>
      <c r="G410" s="255" t="n"/>
      <c r="H410" s="255" t="n"/>
      <c r="I410" s="255" t="n"/>
      <c r="J410" s="255" t="n"/>
      <c r="K410" s="255" t="n"/>
      <c r="L410" s="255" t="n"/>
      <c r="M410" s="255" t="n"/>
      <c r="N410" s="255" t="n"/>
      <c r="O410" s="255" t="n"/>
      <c r="P410" s="255" t="n"/>
      <c r="Q410" s="255" t="n"/>
      <c r="R410" s="255" t="n"/>
      <c r="S410" s="255" t="n"/>
      <c r="T410" s="255" t="n"/>
      <c r="U410" s="255" t="n"/>
      <c r="V410" s="255" t="n"/>
      <c r="W410" s="255" t="n"/>
      <c r="X410" s="255" t="n"/>
      <c r="Y410" s="255" t="n"/>
      <c r="Z410" s="255" t="n"/>
    </row>
    <row r="411" ht="12.75" customHeight="1">
      <c r="A411" s="333" t="n"/>
      <c r="B411" s="255" t="n"/>
      <c r="C411" s="255" t="n"/>
      <c r="D411" s="255" t="n"/>
      <c r="E411" s="255" t="n"/>
      <c r="F411" s="255" t="n"/>
      <c r="G411" s="255" t="n"/>
      <c r="H411" s="255" t="n"/>
      <c r="I411" s="255" t="n"/>
      <c r="J411" s="255" t="n"/>
      <c r="K411" s="255" t="n"/>
      <c r="L411" s="255" t="n"/>
      <c r="M411" s="255" t="n"/>
      <c r="N411" s="255" t="n"/>
      <c r="O411" s="255" t="n"/>
      <c r="P411" s="255" t="n"/>
      <c r="Q411" s="255" t="n"/>
      <c r="R411" s="255" t="n"/>
      <c r="S411" s="255" t="n"/>
      <c r="T411" s="255" t="n"/>
      <c r="U411" s="255" t="n"/>
      <c r="V411" s="255" t="n"/>
      <c r="W411" s="255" t="n"/>
      <c r="X411" s="255" t="n"/>
      <c r="Y411" s="255" t="n"/>
      <c r="Z411" s="255" t="n"/>
    </row>
    <row r="412" ht="12.75" customHeight="1">
      <c r="A412" s="333" t="n"/>
      <c r="B412" s="255" t="n"/>
      <c r="C412" s="255" t="n"/>
      <c r="D412" s="255" t="n"/>
      <c r="E412" s="255" t="n"/>
      <c r="F412" s="255" t="n"/>
      <c r="G412" s="255" t="n"/>
      <c r="H412" s="255" t="n"/>
      <c r="I412" s="255" t="n"/>
      <c r="J412" s="255" t="n"/>
      <c r="K412" s="255" t="n"/>
      <c r="L412" s="255" t="n"/>
      <c r="M412" s="255" t="n"/>
      <c r="N412" s="255" t="n"/>
      <c r="O412" s="255" t="n"/>
      <c r="P412" s="255" t="n"/>
      <c r="Q412" s="255" t="n"/>
      <c r="R412" s="255" t="n"/>
      <c r="S412" s="255" t="n"/>
      <c r="T412" s="255" t="n"/>
      <c r="U412" s="255" t="n"/>
      <c r="V412" s="255" t="n"/>
      <c r="W412" s="255" t="n"/>
      <c r="X412" s="255" t="n"/>
      <c r="Y412" s="255" t="n"/>
      <c r="Z412" s="255" t="n"/>
    </row>
    <row r="413" ht="12.75" customHeight="1">
      <c r="A413" s="333" t="n"/>
      <c r="B413" s="255" t="n"/>
      <c r="C413" s="255" t="n"/>
      <c r="D413" s="255" t="n"/>
      <c r="E413" s="255" t="n"/>
      <c r="F413" s="255" t="n"/>
      <c r="G413" s="255" t="n"/>
      <c r="H413" s="255" t="n"/>
      <c r="I413" s="255" t="n"/>
      <c r="J413" s="255" t="n"/>
      <c r="K413" s="255" t="n"/>
      <c r="L413" s="255" t="n"/>
      <c r="M413" s="255" t="n"/>
      <c r="N413" s="255" t="n"/>
      <c r="O413" s="255" t="n"/>
      <c r="P413" s="255" t="n"/>
      <c r="Q413" s="255" t="n"/>
      <c r="R413" s="255" t="n"/>
      <c r="S413" s="255" t="n"/>
      <c r="T413" s="255" t="n"/>
      <c r="U413" s="255" t="n"/>
      <c r="V413" s="255" t="n"/>
      <c r="W413" s="255" t="n"/>
      <c r="X413" s="255" t="n"/>
      <c r="Y413" s="255" t="n"/>
      <c r="Z413" s="255" t="n"/>
    </row>
    <row r="414" ht="12.75" customHeight="1">
      <c r="A414" s="333" t="n"/>
      <c r="B414" s="255" t="n"/>
      <c r="C414" s="255" t="n"/>
      <c r="D414" s="255" t="n"/>
      <c r="E414" s="255" t="n"/>
      <c r="F414" s="255" t="n"/>
      <c r="G414" s="255" t="n"/>
      <c r="H414" s="255" t="n"/>
      <c r="I414" s="255" t="n"/>
      <c r="J414" s="255" t="n"/>
      <c r="K414" s="255" t="n"/>
      <c r="L414" s="255" t="n"/>
      <c r="M414" s="255" t="n"/>
      <c r="N414" s="255" t="n"/>
      <c r="O414" s="255" t="n"/>
      <c r="P414" s="255" t="n"/>
      <c r="Q414" s="255" t="n"/>
      <c r="R414" s="255" t="n"/>
      <c r="S414" s="255" t="n"/>
      <c r="T414" s="255" t="n"/>
      <c r="U414" s="255" t="n"/>
      <c r="V414" s="255" t="n"/>
      <c r="W414" s="255" t="n"/>
      <c r="X414" s="255" t="n"/>
      <c r="Y414" s="255" t="n"/>
      <c r="Z414" s="255" t="n"/>
    </row>
    <row r="415" ht="12.75" customHeight="1">
      <c r="A415" s="333" t="n"/>
      <c r="B415" s="255" t="n"/>
      <c r="C415" s="255" t="n"/>
      <c r="D415" s="255" t="n"/>
      <c r="E415" s="255" t="n"/>
      <c r="F415" s="255" t="n"/>
      <c r="G415" s="255" t="n"/>
      <c r="H415" s="255" t="n"/>
      <c r="I415" s="255" t="n"/>
      <c r="J415" s="255" t="n"/>
      <c r="K415" s="255" t="n"/>
      <c r="L415" s="255" t="n"/>
      <c r="M415" s="255" t="n"/>
      <c r="N415" s="255" t="n"/>
      <c r="O415" s="255" t="n"/>
      <c r="P415" s="255" t="n"/>
      <c r="Q415" s="255" t="n"/>
      <c r="R415" s="255" t="n"/>
      <c r="S415" s="255" t="n"/>
      <c r="T415" s="255" t="n"/>
      <c r="U415" s="255" t="n"/>
      <c r="V415" s="255" t="n"/>
      <c r="W415" s="255" t="n"/>
      <c r="X415" s="255" t="n"/>
      <c r="Y415" s="255" t="n"/>
      <c r="Z415" s="255" t="n"/>
    </row>
    <row r="416" ht="12.75" customHeight="1">
      <c r="A416" s="333" t="n"/>
      <c r="B416" s="255" t="n"/>
      <c r="C416" s="255" t="n"/>
      <c r="D416" s="255" t="n"/>
      <c r="E416" s="255" t="n"/>
      <c r="F416" s="255" t="n"/>
      <c r="G416" s="255" t="n"/>
      <c r="H416" s="255" t="n"/>
      <c r="I416" s="255" t="n"/>
      <c r="J416" s="255" t="n"/>
      <c r="K416" s="255" t="n"/>
      <c r="L416" s="255" t="n"/>
      <c r="M416" s="255" t="n"/>
      <c r="N416" s="255" t="n"/>
      <c r="O416" s="255" t="n"/>
      <c r="P416" s="255" t="n"/>
      <c r="Q416" s="255" t="n"/>
      <c r="R416" s="255" t="n"/>
      <c r="S416" s="255" t="n"/>
      <c r="T416" s="255" t="n"/>
      <c r="U416" s="255" t="n"/>
      <c r="V416" s="255" t="n"/>
      <c r="W416" s="255" t="n"/>
      <c r="X416" s="255" t="n"/>
      <c r="Y416" s="255" t="n"/>
      <c r="Z416" s="255" t="n"/>
    </row>
    <row r="417" ht="12.75" customHeight="1">
      <c r="A417" s="333" t="n"/>
      <c r="B417" s="255" t="n"/>
      <c r="C417" s="255" t="n"/>
      <c r="D417" s="255" t="n"/>
      <c r="E417" s="255" t="n"/>
      <c r="F417" s="255" t="n"/>
      <c r="G417" s="255" t="n"/>
      <c r="H417" s="255" t="n"/>
      <c r="I417" s="255" t="n"/>
      <c r="J417" s="255" t="n"/>
      <c r="K417" s="255" t="n"/>
      <c r="L417" s="255" t="n"/>
      <c r="M417" s="255" t="n"/>
      <c r="N417" s="255" t="n"/>
      <c r="O417" s="255" t="n"/>
      <c r="P417" s="255" t="n"/>
      <c r="Q417" s="255" t="n"/>
      <c r="R417" s="255" t="n"/>
      <c r="S417" s="255" t="n"/>
      <c r="T417" s="255" t="n"/>
      <c r="U417" s="255" t="n"/>
      <c r="V417" s="255" t="n"/>
      <c r="W417" s="255" t="n"/>
      <c r="X417" s="255" t="n"/>
      <c r="Y417" s="255" t="n"/>
      <c r="Z417" s="255" t="n"/>
    </row>
    <row r="418" ht="12.75" customHeight="1">
      <c r="A418" s="333" t="n"/>
      <c r="B418" s="255" t="n"/>
      <c r="C418" s="255" t="n"/>
      <c r="D418" s="255" t="n"/>
      <c r="E418" s="255" t="n"/>
      <c r="F418" s="255" t="n"/>
      <c r="G418" s="255" t="n"/>
      <c r="H418" s="255" t="n"/>
      <c r="I418" s="255" t="n"/>
      <c r="J418" s="255" t="n"/>
      <c r="K418" s="255" t="n"/>
      <c r="L418" s="255" t="n"/>
      <c r="M418" s="255" t="n"/>
      <c r="N418" s="255" t="n"/>
      <c r="O418" s="255" t="n"/>
      <c r="P418" s="255" t="n"/>
      <c r="Q418" s="255" t="n"/>
      <c r="R418" s="255" t="n"/>
      <c r="S418" s="255" t="n"/>
      <c r="T418" s="255" t="n"/>
      <c r="U418" s="255" t="n"/>
      <c r="V418" s="255" t="n"/>
      <c r="W418" s="255" t="n"/>
      <c r="X418" s="255" t="n"/>
      <c r="Y418" s="255" t="n"/>
      <c r="Z418" s="255" t="n"/>
    </row>
    <row r="419" ht="12.75" customHeight="1">
      <c r="A419" s="333" t="n"/>
      <c r="B419" s="255" t="n"/>
      <c r="C419" s="255" t="n"/>
      <c r="D419" s="255" t="n"/>
      <c r="E419" s="255" t="n"/>
      <c r="F419" s="255" t="n"/>
      <c r="G419" s="255" t="n"/>
      <c r="H419" s="255" t="n"/>
      <c r="I419" s="255" t="n"/>
      <c r="J419" s="255" t="n"/>
      <c r="K419" s="255" t="n"/>
      <c r="L419" s="255" t="n"/>
      <c r="M419" s="255" t="n"/>
      <c r="N419" s="255" t="n"/>
      <c r="O419" s="255" t="n"/>
      <c r="P419" s="255" t="n"/>
      <c r="Q419" s="255" t="n"/>
      <c r="R419" s="255" t="n"/>
      <c r="S419" s="255" t="n"/>
      <c r="T419" s="255" t="n"/>
      <c r="U419" s="255" t="n"/>
      <c r="V419" s="255" t="n"/>
      <c r="W419" s="255" t="n"/>
      <c r="X419" s="255" t="n"/>
      <c r="Y419" s="255" t="n"/>
      <c r="Z419" s="255" t="n"/>
    </row>
    <row r="420" ht="12.75" customHeight="1">
      <c r="A420" s="333" t="n"/>
      <c r="B420" s="255" t="n"/>
      <c r="C420" s="255" t="n"/>
      <c r="D420" s="255" t="n"/>
      <c r="E420" s="255" t="n"/>
      <c r="F420" s="255" t="n"/>
      <c r="G420" s="255" t="n"/>
      <c r="H420" s="255" t="n"/>
      <c r="I420" s="255" t="n"/>
      <c r="J420" s="255" t="n"/>
      <c r="K420" s="255" t="n"/>
      <c r="L420" s="255" t="n"/>
      <c r="M420" s="255" t="n"/>
      <c r="N420" s="255" t="n"/>
      <c r="O420" s="255" t="n"/>
      <c r="P420" s="255" t="n"/>
      <c r="Q420" s="255" t="n"/>
      <c r="R420" s="255" t="n"/>
      <c r="S420" s="255" t="n"/>
      <c r="T420" s="255" t="n"/>
      <c r="U420" s="255" t="n"/>
      <c r="V420" s="255" t="n"/>
      <c r="W420" s="255" t="n"/>
      <c r="X420" s="255" t="n"/>
      <c r="Y420" s="255" t="n"/>
      <c r="Z420" s="255" t="n"/>
    </row>
    <row r="421" ht="12.75" customHeight="1">
      <c r="A421" s="333" t="n"/>
      <c r="B421" s="255" t="n"/>
      <c r="C421" s="255" t="n"/>
      <c r="D421" s="255" t="n"/>
      <c r="E421" s="255" t="n"/>
      <c r="F421" s="255" t="n"/>
      <c r="G421" s="255" t="n"/>
      <c r="H421" s="255" t="n"/>
      <c r="I421" s="255" t="n"/>
      <c r="J421" s="255" t="n"/>
      <c r="K421" s="255" t="n"/>
      <c r="L421" s="255" t="n"/>
      <c r="M421" s="255" t="n"/>
      <c r="N421" s="255" t="n"/>
      <c r="O421" s="255" t="n"/>
      <c r="P421" s="255" t="n"/>
      <c r="Q421" s="255" t="n"/>
      <c r="R421" s="255" t="n"/>
      <c r="S421" s="255" t="n"/>
      <c r="T421" s="255" t="n"/>
      <c r="U421" s="255" t="n"/>
      <c r="V421" s="255" t="n"/>
      <c r="W421" s="255" t="n"/>
      <c r="X421" s="255" t="n"/>
      <c r="Y421" s="255" t="n"/>
      <c r="Z421" s="255" t="n"/>
    </row>
    <row r="422" ht="12.75" customHeight="1">
      <c r="A422" s="333" t="n"/>
      <c r="B422" s="255" t="n"/>
      <c r="C422" s="255" t="n"/>
      <c r="D422" s="255" t="n"/>
      <c r="E422" s="255" t="n"/>
      <c r="F422" s="255" t="n"/>
      <c r="G422" s="255" t="n"/>
      <c r="H422" s="255" t="n"/>
      <c r="I422" s="255" t="n"/>
      <c r="J422" s="255" t="n"/>
      <c r="K422" s="255" t="n"/>
      <c r="L422" s="255" t="n"/>
      <c r="M422" s="255" t="n"/>
      <c r="N422" s="255" t="n"/>
      <c r="O422" s="255" t="n"/>
      <c r="P422" s="255" t="n"/>
      <c r="Q422" s="255" t="n"/>
      <c r="R422" s="255" t="n"/>
      <c r="S422" s="255" t="n"/>
      <c r="T422" s="255" t="n"/>
      <c r="U422" s="255" t="n"/>
      <c r="V422" s="255" t="n"/>
      <c r="W422" s="255" t="n"/>
      <c r="X422" s="255" t="n"/>
      <c r="Y422" s="255" t="n"/>
      <c r="Z422" s="255" t="n"/>
    </row>
    <row r="423" ht="12.75" customHeight="1">
      <c r="A423" s="333" t="n"/>
      <c r="B423" s="255" t="n"/>
      <c r="C423" s="255" t="n"/>
      <c r="D423" s="255" t="n"/>
      <c r="E423" s="255" t="n"/>
      <c r="F423" s="255" t="n"/>
      <c r="G423" s="255" t="n"/>
      <c r="H423" s="255" t="n"/>
      <c r="I423" s="255" t="n"/>
      <c r="J423" s="255" t="n"/>
      <c r="K423" s="255" t="n"/>
      <c r="L423" s="255" t="n"/>
      <c r="M423" s="255" t="n"/>
      <c r="N423" s="255" t="n"/>
      <c r="O423" s="255" t="n"/>
      <c r="P423" s="255" t="n"/>
      <c r="Q423" s="255" t="n"/>
      <c r="R423" s="255" t="n"/>
      <c r="S423" s="255" t="n"/>
      <c r="T423" s="255" t="n"/>
      <c r="U423" s="255" t="n"/>
      <c r="V423" s="255" t="n"/>
      <c r="W423" s="255" t="n"/>
      <c r="X423" s="255" t="n"/>
      <c r="Y423" s="255" t="n"/>
      <c r="Z423" s="255" t="n"/>
    </row>
    <row r="424" ht="12.75" customHeight="1">
      <c r="A424" s="333" t="n"/>
      <c r="B424" s="255" t="n"/>
      <c r="C424" s="255" t="n"/>
      <c r="D424" s="255" t="n"/>
      <c r="E424" s="255" t="n"/>
      <c r="F424" s="255" t="n"/>
      <c r="G424" s="255" t="n"/>
      <c r="H424" s="255" t="n"/>
      <c r="I424" s="255" t="n"/>
      <c r="J424" s="255" t="n"/>
      <c r="K424" s="255" t="n"/>
      <c r="L424" s="255" t="n"/>
      <c r="M424" s="255" t="n"/>
      <c r="N424" s="255" t="n"/>
      <c r="O424" s="255" t="n"/>
      <c r="P424" s="255" t="n"/>
      <c r="Q424" s="255" t="n"/>
      <c r="R424" s="255" t="n"/>
      <c r="S424" s="255" t="n"/>
      <c r="T424" s="255" t="n"/>
      <c r="U424" s="255" t="n"/>
      <c r="V424" s="255" t="n"/>
      <c r="W424" s="255" t="n"/>
      <c r="X424" s="255" t="n"/>
      <c r="Y424" s="255" t="n"/>
      <c r="Z424" s="255" t="n"/>
    </row>
    <row r="425" ht="12.75" customHeight="1">
      <c r="A425" s="333" t="n"/>
      <c r="B425" s="255" t="n"/>
      <c r="C425" s="255" t="n"/>
      <c r="D425" s="255" t="n"/>
      <c r="E425" s="255" t="n"/>
      <c r="F425" s="255" t="n"/>
      <c r="G425" s="255" t="n"/>
      <c r="H425" s="255" t="n"/>
      <c r="I425" s="255" t="n"/>
      <c r="J425" s="255" t="n"/>
      <c r="K425" s="255" t="n"/>
      <c r="L425" s="255" t="n"/>
      <c r="M425" s="255" t="n"/>
      <c r="N425" s="255" t="n"/>
      <c r="O425" s="255" t="n"/>
      <c r="P425" s="255" t="n"/>
      <c r="Q425" s="255" t="n"/>
      <c r="R425" s="255" t="n"/>
      <c r="S425" s="255" t="n"/>
      <c r="T425" s="255" t="n"/>
      <c r="U425" s="255" t="n"/>
      <c r="V425" s="255" t="n"/>
      <c r="W425" s="255" t="n"/>
      <c r="X425" s="255" t="n"/>
      <c r="Y425" s="255" t="n"/>
      <c r="Z425" s="255" t="n"/>
    </row>
    <row r="426" ht="12.75" customHeight="1">
      <c r="A426" s="333" t="n"/>
      <c r="B426" s="255" t="n"/>
      <c r="C426" s="255" t="n"/>
      <c r="D426" s="255" t="n"/>
      <c r="E426" s="255" t="n"/>
      <c r="F426" s="255" t="n"/>
      <c r="G426" s="255" t="n"/>
      <c r="H426" s="255" t="n"/>
      <c r="I426" s="255" t="n"/>
      <c r="J426" s="255" t="n"/>
      <c r="K426" s="255" t="n"/>
      <c r="L426" s="255" t="n"/>
      <c r="M426" s="255" t="n"/>
      <c r="N426" s="255" t="n"/>
      <c r="O426" s="255" t="n"/>
      <c r="P426" s="255" t="n"/>
      <c r="Q426" s="255" t="n"/>
      <c r="R426" s="255" t="n"/>
      <c r="S426" s="255" t="n"/>
      <c r="T426" s="255" t="n"/>
      <c r="U426" s="255" t="n"/>
      <c r="V426" s="255" t="n"/>
      <c r="W426" s="255" t="n"/>
      <c r="X426" s="255" t="n"/>
      <c r="Y426" s="255" t="n"/>
      <c r="Z426" s="255" t="n"/>
    </row>
    <row r="427" ht="12.75" customHeight="1">
      <c r="A427" s="333" t="n"/>
      <c r="B427" s="255" t="n"/>
      <c r="C427" s="255" t="n"/>
      <c r="D427" s="255" t="n"/>
      <c r="E427" s="255" t="n"/>
      <c r="F427" s="255" t="n"/>
      <c r="G427" s="255" t="n"/>
      <c r="H427" s="255" t="n"/>
      <c r="I427" s="255" t="n"/>
      <c r="J427" s="255" t="n"/>
      <c r="K427" s="255" t="n"/>
      <c r="L427" s="255" t="n"/>
      <c r="M427" s="255" t="n"/>
      <c r="N427" s="255" t="n"/>
      <c r="O427" s="255" t="n"/>
      <c r="P427" s="255" t="n"/>
      <c r="Q427" s="255" t="n"/>
      <c r="R427" s="255" t="n"/>
      <c r="S427" s="255" t="n"/>
      <c r="T427" s="255" t="n"/>
      <c r="U427" s="255" t="n"/>
      <c r="V427" s="255" t="n"/>
      <c r="W427" s="255" t="n"/>
      <c r="X427" s="255" t="n"/>
      <c r="Y427" s="255" t="n"/>
      <c r="Z427" s="255" t="n"/>
    </row>
    <row r="428" ht="12.75" customHeight="1">
      <c r="A428" s="333" t="n"/>
      <c r="B428" s="255" t="n"/>
      <c r="C428" s="255" t="n"/>
      <c r="D428" s="255" t="n"/>
      <c r="E428" s="255" t="n"/>
      <c r="F428" s="255" t="n"/>
      <c r="G428" s="255" t="n"/>
      <c r="H428" s="255" t="n"/>
      <c r="I428" s="255" t="n"/>
      <c r="J428" s="255" t="n"/>
      <c r="K428" s="255" t="n"/>
      <c r="L428" s="255" t="n"/>
      <c r="M428" s="255" t="n"/>
      <c r="N428" s="255" t="n"/>
      <c r="O428" s="255" t="n"/>
      <c r="P428" s="255" t="n"/>
      <c r="Q428" s="255" t="n"/>
      <c r="R428" s="255" t="n"/>
      <c r="S428" s="255" t="n"/>
      <c r="T428" s="255" t="n"/>
      <c r="U428" s="255" t="n"/>
      <c r="V428" s="255" t="n"/>
      <c r="W428" s="255" t="n"/>
      <c r="X428" s="255" t="n"/>
      <c r="Y428" s="255" t="n"/>
      <c r="Z428" s="255" t="n"/>
    </row>
    <row r="429" ht="12.75" customHeight="1">
      <c r="A429" s="333" t="n"/>
      <c r="B429" s="255" t="n"/>
      <c r="C429" s="255" t="n"/>
      <c r="D429" s="255" t="n"/>
      <c r="E429" s="255" t="n"/>
      <c r="F429" s="255" t="n"/>
      <c r="G429" s="255" t="n"/>
      <c r="H429" s="255" t="n"/>
      <c r="I429" s="255" t="n"/>
      <c r="J429" s="255" t="n"/>
      <c r="K429" s="255" t="n"/>
      <c r="L429" s="255" t="n"/>
      <c r="M429" s="255" t="n"/>
      <c r="N429" s="255" t="n"/>
      <c r="O429" s="255" t="n"/>
      <c r="P429" s="255" t="n"/>
      <c r="Q429" s="255" t="n"/>
      <c r="R429" s="255" t="n"/>
      <c r="S429" s="255" t="n"/>
      <c r="T429" s="255" t="n"/>
      <c r="U429" s="255" t="n"/>
      <c r="V429" s="255" t="n"/>
      <c r="W429" s="255" t="n"/>
      <c r="X429" s="255" t="n"/>
      <c r="Y429" s="255" t="n"/>
      <c r="Z429" s="255" t="n"/>
    </row>
    <row r="430" ht="12.75" customHeight="1">
      <c r="A430" s="333" t="n"/>
      <c r="B430" s="255" t="n"/>
      <c r="C430" s="255" t="n"/>
      <c r="D430" s="255" t="n"/>
      <c r="E430" s="255" t="n"/>
      <c r="F430" s="255" t="n"/>
      <c r="G430" s="255" t="n"/>
      <c r="H430" s="255" t="n"/>
      <c r="I430" s="255" t="n"/>
      <c r="J430" s="255" t="n"/>
      <c r="K430" s="255" t="n"/>
      <c r="L430" s="255" t="n"/>
      <c r="M430" s="255" t="n"/>
      <c r="N430" s="255" t="n"/>
      <c r="O430" s="255" t="n"/>
      <c r="P430" s="255" t="n"/>
      <c r="Q430" s="255" t="n"/>
      <c r="R430" s="255" t="n"/>
      <c r="S430" s="255" t="n"/>
      <c r="T430" s="255" t="n"/>
      <c r="U430" s="255" t="n"/>
      <c r="V430" s="255" t="n"/>
      <c r="W430" s="255" t="n"/>
      <c r="X430" s="255" t="n"/>
      <c r="Y430" s="255" t="n"/>
      <c r="Z430" s="255" t="n"/>
    </row>
    <row r="431" ht="12.75" customHeight="1">
      <c r="A431" s="333" t="n"/>
      <c r="B431" s="255" t="n"/>
      <c r="C431" s="255" t="n"/>
      <c r="D431" s="255" t="n"/>
      <c r="E431" s="255" t="n"/>
      <c r="F431" s="255" t="n"/>
      <c r="G431" s="255" t="n"/>
      <c r="H431" s="255" t="n"/>
      <c r="I431" s="255" t="n"/>
      <c r="J431" s="255" t="n"/>
      <c r="K431" s="255" t="n"/>
      <c r="L431" s="255" t="n"/>
      <c r="M431" s="255" t="n"/>
      <c r="N431" s="255" t="n"/>
      <c r="O431" s="255" t="n"/>
      <c r="P431" s="255" t="n"/>
      <c r="Q431" s="255" t="n"/>
      <c r="R431" s="255" t="n"/>
      <c r="S431" s="255" t="n"/>
      <c r="T431" s="255" t="n"/>
      <c r="U431" s="255" t="n"/>
      <c r="V431" s="255" t="n"/>
      <c r="W431" s="255" t="n"/>
      <c r="X431" s="255" t="n"/>
      <c r="Y431" s="255" t="n"/>
      <c r="Z431" s="255" t="n"/>
    </row>
    <row r="432" ht="12.75" customHeight="1">
      <c r="A432" s="333" t="n"/>
      <c r="B432" s="255" t="n"/>
      <c r="C432" s="255" t="n"/>
      <c r="D432" s="255" t="n"/>
      <c r="E432" s="255" t="n"/>
      <c r="F432" s="255" t="n"/>
      <c r="G432" s="255" t="n"/>
      <c r="H432" s="255" t="n"/>
      <c r="I432" s="255" t="n"/>
      <c r="J432" s="255" t="n"/>
      <c r="K432" s="255" t="n"/>
      <c r="L432" s="255" t="n"/>
      <c r="M432" s="255" t="n"/>
      <c r="N432" s="255" t="n"/>
      <c r="O432" s="255" t="n"/>
      <c r="P432" s="255" t="n"/>
      <c r="Q432" s="255" t="n"/>
      <c r="R432" s="255" t="n"/>
      <c r="S432" s="255" t="n"/>
      <c r="T432" s="255" t="n"/>
      <c r="U432" s="255" t="n"/>
      <c r="V432" s="255" t="n"/>
      <c r="W432" s="255" t="n"/>
      <c r="X432" s="255" t="n"/>
      <c r="Y432" s="255" t="n"/>
      <c r="Z432" s="255" t="n"/>
    </row>
    <row r="433" ht="12.75" customHeight="1">
      <c r="A433" s="333" t="n"/>
      <c r="B433" s="255" t="n"/>
      <c r="C433" s="255" t="n"/>
      <c r="D433" s="255" t="n"/>
      <c r="E433" s="255" t="n"/>
      <c r="F433" s="255" t="n"/>
      <c r="G433" s="255" t="n"/>
      <c r="H433" s="255" t="n"/>
      <c r="I433" s="255" t="n"/>
      <c r="J433" s="255" t="n"/>
      <c r="K433" s="255" t="n"/>
      <c r="L433" s="255" t="n"/>
      <c r="M433" s="255" t="n"/>
      <c r="N433" s="255" t="n"/>
      <c r="O433" s="255" t="n"/>
      <c r="P433" s="255" t="n"/>
      <c r="Q433" s="255" t="n"/>
      <c r="R433" s="255" t="n"/>
      <c r="S433" s="255" t="n"/>
      <c r="T433" s="255" t="n"/>
      <c r="U433" s="255" t="n"/>
      <c r="V433" s="255" t="n"/>
      <c r="W433" s="255" t="n"/>
      <c r="X433" s="255" t="n"/>
      <c r="Y433" s="255" t="n"/>
      <c r="Z433" s="255" t="n"/>
    </row>
    <row r="434" ht="12.75" customHeight="1">
      <c r="A434" s="333" t="n"/>
      <c r="B434" s="255" t="n"/>
      <c r="C434" s="255" t="n"/>
      <c r="D434" s="255" t="n"/>
      <c r="E434" s="255" t="n"/>
      <c r="F434" s="255" t="n"/>
      <c r="G434" s="255" t="n"/>
      <c r="H434" s="255" t="n"/>
      <c r="I434" s="255" t="n"/>
      <c r="J434" s="255" t="n"/>
      <c r="K434" s="255" t="n"/>
      <c r="L434" s="255" t="n"/>
      <c r="M434" s="255" t="n"/>
      <c r="N434" s="255" t="n"/>
      <c r="O434" s="255" t="n"/>
      <c r="P434" s="255" t="n"/>
      <c r="Q434" s="255" t="n"/>
      <c r="R434" s="255" t="n"/>
      <c r="S434" s="255" t="n"/>
      <c r="T434" s="255" t="n"/>
      <c r="U434" s="255" t="n"/>
      <c r="V434" s="255" t="n"/>
      <c r="W434" s="255" t="n"/>
      <c r="X434" s="255" t="n"/>
      <c r="Y434" s="255" t="n"/>
      <c r="Z434" s="255" t="n"/>
    </row>
    <row r="435" ht="12.75" customHeight="1">
      <c r="A435" s="333" t="n"/>
      <c r="B435" s="255" t="n"/>
      <c r="C435" s="255" t="n"/>
      <c r="D435" s="255" t="n"/>
      <c r="E435" s="255" t="n"/>
      <c r="F435" s="255" t="n"/>
      <c r="G435" s="255" t="n"/>
      <c r="H435" s="255" t="n"/>
      <c r="I435" s="255" t="n"/>
      <c r="J435" s="255" t="n"/>
      <c r="K435" s="255" t="n"/>
      <c r="L435" s="255" t="n"/>
      <c r="M435" s="255" t="n"/>
      <c r="N435" s="255" t="n"/>
      <c r="O435" s="255" t="n"/>
      <c r="P435" s="255" t="n"/>
      <c r="Q435" s="255" t="n"/>
      <c r="R435" s="255" t="n"/>
      <c r="S435" s="255" t="n"/>
      <c r="T435" s="255" t="n"/>
      <c r="U435" s="255" t="n"/>
      <c r="V435" s="255" t="n"/>
      <c r="W435" s="255" t="n"/>
      <c r="X435" s="255" t="n"/>
      <c r="Y435" s="255" t="n"/>
      <c r="Z435" s="255" t="n"/>
    </row>
    <row r="436" ht="12.75" customHeight="1">
      <c r="A436" s="333" t="n"/>
      <c r="B436" s="255" t="n"/>
      <c r="C436" s="255" t="n"/>
      <c r="D436" s="255" t="n"/>
      <c r="E436" s="255" t="n"/>
      <c r="F436" s="255" t="n"/>
      <c r="G436" s="255" t="n"/>
      <c r="H436" s="255" t="n"/>
      <c r="I436" s="255" t="n"/>
      <c r="J436" s="255" t="n"/>
      <c r="K436" s="255" t="n"/>
      <c r="L436" s="255" t="n"/>
      <c r="M436" s="255" t="n"/>
      <c r="N436" s="255" t="n"/>
      <c r="O436" s="255" t="n"/>
      <c r="P436" s="255" t="n"/>
      <c r="Q436" s="255" t="n"/>
      <c r="R436" s="255" t="n"/>
      <c r="S436" s="255" t="n"/>
      <c r="T436" s="255" t="n"/>
      <c r="U436" s="255" t="n"/>
      <c r="V436" s="255" t="n"/>
      <c r="W436" s="255" t="n"/>
      <c r="X436" s="255" t="n"/>
      <c r="Y436" s="255" t="n"/>
      <c r="Z436" s="255" t="n"/>
    </row>
    <row r="437" ht="12.75" customHeight="1">
      <c r="A437" s="333" t="n"/>
      <c r="B437" s="255" t="n"/>
      <c r="C437" s="255" t="n"/>
      <c r="D437" s="255" t="n"/>
      <c r="E437" s="255" t="n"/>
      <c r="F437" s="255" t="n"/>
      <c r="G437" s="255" t="n"/>
      <c r="H437" s="255" t="n"/>
      <c r="I437" s="255" t="n"/>
      <c r="J437" s="255" t="n"/>
      <c r="K437" s="255" t="n"/>
      <c r="L437" s="255" t="n"/>
      <c r="M437" s="255" t="n"/>
      <c r="N437" s="255" t="n"/>
      <c r="O437" s="255" t="n"/>
      <c r="P437" s="255" t="n"/>
      <c r="Q437" s="255" t="n"/>
      <c r="R437" s="255" t="n"/>
      <c r="S437" s="255" t="n"/>
      <c r="T437" s="255" t="n"/>
      <c r="U437" s="255" t="n"/>
      <c r="V437" s="255" t="n"/>
      <c r="W437" s="255" t="n"/>
      <c r="X437" s="255" t="n"/>
      <c r="Y437" s="255" t="n"/>
      <c r="Z437" s="255" t="n"/>
    </row>
    <row r="438" ht="12.75" customHeight="1">
      <c r="A438" s="333" t="n"/>
      <c r="B438" s="255" t="n"/>
      <c r="C438" s="255" t="n"/>
      <c r="D438" s="255" t="n"/>
      <c r="E438" s="255" t="n"/>
      <c r="F438" s="255" t="n"/>
      <c r="G438" s="255" t="n"/>
      <c r="H438" s="255" t="n"/>
      <c r="I438" s="255" t="n"/>
      <c r="J438" s="255" t="n"/>
      <c r="K438" s="255" t="n"/>
      <c r="L438" s="255" t="n"/>
      <c r="M438" s="255" t="n"/>
      <c r="N438" s="255" t="n"/>
      <c r="O438" s="255" t="n"/>
      <c r="P438" s="255" t="n"/>
      <c r="Q438" s="255" t="n"/>
      <c r="R438" s="255" t="n"/>
      <c r="S438" s="255" t="n"/>
      <c r="T438" s="255" t="n"/>
      <c r="U438" s="255" t="n"/>
      <c r="V438" s="255" t="n"/>
      <c r="W438" s="255" t="n"/>
      <c r="X438" s="255" t="n"/>
      <c r="Y438" s="255" t="n"/>
      <c r="Z438" s="255" t="n"/>
    </row>
    <row r="439" ht="12.75" customHeight="1">
      <c r="A439" s="333" t="n"/>
      <c r="B439" s="255" t="n"/>
      <c r="C439" s="255" t="n"/>
      <c r="D439" s="255" t="n"/>
      <c r="E439" s="255" t="n"/>
      <c r="F439" s="255" t="n"/>
      <c r="G439" s="255" t="n"/>
      <c r="H439" s="255" t="n"/>
      <c r="I439" s="255" t="n"/>
      <c r="J439" s="255" t="n"/>
      <c r="K439" s="255" t="n"/>
      <c r="L439" s="255" t="n"/>
      <c r="M439" s="255" t="n"/>
      <c r="N439" s="255" t="n"/>
      <c r="O439" s="255" t="n"/>
      <c r="P439" s="255" t="n"/>
      <c r="Q439" s="255" t="n"/>
      <c r="R439" s="255" t="n"/>
      <c r="S439" s="255" t="n"/>
      <c r="T439" s="255" t="n"/>
      <c r="U439" s="255" t="n"/>
      <c r="V439" s="255" t="n"/>
      <c r="W439" s="255" t="n"/>
      <c r="X439" s="255" t="n"/>
      <c r="Y439" s="255" t="n"/>
      <c r="Z439" s="255" t="n"/>
    </row>
    <row r="440" ht="12.75" customHeight="1">
      <c r="A440" s="333" t="n"/>
      <c r="B440" s="255" t="n"/>
      <c r="C440" s="255" t="n"/>
      <c r="D440" s="255" t="n"/>
      <c r="E440" s="255" t="n"/>
      <c r="F440" s="255" t="n"/>
      <c r="G440" s="255" t="n"/>
      <c r="H440" s="255" t="n"/>
      <c r="I440" s="255" t="n"/>
      <c r="J440" s="255" t="n"/>
      <c r="K440" s="255" t="n"/>
      <c r="L440" s="255" t="n"/>
      <c r="M440" s="255" t="n"/>
      <c r="N440" s="255" t="n"/>
      <c r="O440" s="255" t="n"/>
      <c r="P440" s="255" t="n"/>
      <c r="Q440" s="255" t="n"/>
      <c r="R440" s="255" t="n"/>
      <c r="S440" s="255" t="n"/>
      <c r="T440" s="255" t="n"/>
      <c r="U440" s="255" t="n"/>
      <c r="V440" s="255" t="n"/>
      <c r="W440" s="255" t="n"/>
      <c r="X440" s="255" t="n"/>
      <c r="Y440" s="255" t="n"/>
      <c r="Z440" s="255" t="n"/>
    </row>
    <row r="441" ht="12.75" customHeight="1">
      <c r="A441" s="333" t="n"/>
      <c r="B441" s="255" t="n"/>
      <c r="C441" s="255" t="n"/>
      <c r="D441" s="255" t="n"/>
      <c r="E441" s="255" t="n"/>
      <c r="F441" s="255" t="n"/>
      <c r="G441" s="255" t="n"/>
      <c r="H441" s="255" t="n"/>
      <c r="I441" s="255" t="n"/>
      <c r="J441" s="255" t="n"/>
      <c r="K441" s="255" t="n"/>
      <c r="L441" s="255" t="n"/>
      <c r="M441" s="255" t="n"/>
      <c r="N441" s="255" t="n"/>
      <c r="O441" s="255" t="n"/>
      <c r="P441" s="255" t="n"/>
      <c r="Q441" s="255" t="n"/>
      <c r="R441" s="255" t="n"/>
      <c r="S441" s="255" t="n"/>
      <c r="T441" s="255" t="n"/>
      <c r="U441" s="255" t="n"/>
      <c r="V441" s="255" t="n"/>
      <c r="W441" s="255" t="n"/>
      <c r="X441" s="255" t="n"/>
      <c r="Y441" s="255" t="n"/>
      <c r="Z441" s="255" t="n"/>
    </row>
    <row r="442" ht="12.75" customHeight="1">
      <c r="A442" s="333" t="n"/>
      <c r="B442" s="255" t="n"/>
      <c r="C442" s="255" t="n"/>
      <c r="D442" s="255" t="n"/>
      <c r="E442" s="255" t="n"/>
      <c r="F442" s="255" t="n"/>
      <c r="G442" s="255" t="n"/>
      <c r="H442" s="255" t="n"/>
      <c r="I442" s="255" t="n"/>
      <c r="J442" s="255" t="n"/>
      <c r="K442" s="255" t="n"/>
      <c r="L442" s="255" t="n"/>
      <c r="M442" s="255" t="n"/>
      <c r="N442" s="255" t="n"/>
      <c r="O442" s="255" t="n"/>
      <c r="P442" s="255" t="n"/>
      <c r="Q442" s="255" t="n"/>
      <c r="R442" s="255" t="n"/>
      <c r="S442" s="255" t="n"/>
      <c r="T442" s="255" t="n"/>
      <c r="U442" s="255" t="n"/>
      <c r="V442" s="255" t="n"/>
      <c r="W442" s="255" t="n"/>
      <c r="X442" s="255" t="n"/>
      <c r="Y442" s="255" t="n"/>
      <c r="Z442" s="255" t="n"/>
    </row>
    <row r="443" ht="12.75" customHeight="1">
      <c r="A443" s="333" t="n"/>
      <c r="B443" s="255" t="n"/>
      <c r="C443" s="255" t="n"/>
      <c r="D443" s="255" t="n"/>
      <c r="E443" s="255" t="n"/>
      <c r="F443" s="255" t="n"/>
      <c r="G443" s="255" t="n"/>
      <c r="H443" s="255" t="n"/>
      <c r="I443" s="255" t="n"/>
      <c r="J443" s="255" t="n"/>
      <c r="K443" s="255" t="n"/>
      <c r="L443" s="255" t="n"/>
      <c r="M443" s="255" t="n"/>
      <c r="N443" s="255" t="n"/>
      <c r="O443" s="255" t="n"/>
      <c r="P443" s="255" t="n"/>
      <c r="Q443" s="255" t="n"/>
      <c r="R443" s="255" t="n"/>
      <c r="S443" s="255" t="n"/>
      <c r="T443" s="255" t="n"/>
      <c r="U443" s="255" t="n"/>
      <c r="V443" s="255" t="n"/>
      <c r="W443" s="255" t="n"/>
      <c r="X443" s="255" t="n"/>
      <c r="Y443" s="255" t="n"/>
      <c r="Z443" s="255" t="n"/>
    </row>
    <row r="444" ht="12.75" customHeight="1">
      <c r="A444" s="333" t="n"/>
      <c r="B444" s="255" t="n"/>
      <c r="C444" s="255" t="n"/>
      <c r="D444" s="255" t="n"/>
      <c r="E444" s="255" t="n"/>
      <c r="F444" s="255" t="n"/>
      <c r="G444" s="255" t="n"/>
      <c r="H444" s="255" t="n"/>
      <c r="I444" s="255" t="n"/>
      <c r="J444" s="255" t="n"/>
      <c r="K444" s="255" t="n"/>
      <c r="L444" s="255" t="n"/>
      <c r="M444" s="255" t="n"/>
      <c r="N444" s="255" t="n"/>
      <c r="O444" s="255" t="n"/>
      <c r="P444" s="255" t="n"/>
      <c r="Q444" s="255" t="n"/>
      <c r="R444" s="255" t="n"/>
      <c r="S444" s="255" t="n"/>
      <c r="T444" s="255" t="n"/>
      <c r="U444" s="255" t="n"/>
      <c r="V444" s="255" t="n"/>
      <c r="W444" s="255" t="n"/>
      <c r="X444" s="255" t="n"/>
      <c r="Y444" s="255" t="n"/>
      <c r="Z444" s="255" t="n"/>
    </row>
    <row r="445" ht="12.75" customHeight="1">
      <c r="A445" s="333" t="n"/>
      <c r="B445" s="255" t="n"/>
      <c r="C445" s="255" t="n"/>
      <c r="D445" s="255" t="n"/>
      <c r="E445" s="255" t="n"/>
      <c r="F445" s="255" t="n"/>
      <c r="G445" s="255" t="n"/>
      <c r="H445" s="255" t="n"/>
      <c r="I445" s="255" t="n"/>
      <c r="J445" s="255" t="n"/>
      <c r="K445" s="255" t="n"/>
      <c r="L445" s="255" t="n"/>
      <c r="M445" s="255" t="n"/>
      <c r="N445" s="255" t="n"/>
      <c r="O445" s="255" t="n"/>
      <c r="P445" s="255" t="n"/>
      <c r="Q445" s="255" t="n"/>
      <c r="R445" s="255" t="n"/>
      <c r="S445" s="255" t="n"/>
      <c r="T445" s="255" t="n"/>
      <c r="U445" s="255" t="n"/>
      <c r="V445" s="255" t="n"/>
      <c r="W445" s="255" t="n"/>
      <c r="X445" s="255" t="n"/>
      <c r="Y445" s="255" t="n"/>
      <c r="Z445" s="255" t="n"/>
    </row>
    <row r="446" ht="12.75" customHeight="1">
      <c r="A446" s="333" t="n"/>
      <c r="B446" s="255" t="n"/>
      <c r="C446" s="255" t="n"/>
      <c r="D446" s="255" t="n"/>
      <c r="E446" s="255" t="n"/>
      <c r="F446" s="255" t="n"/>
      <c r="G446" s="255" t="n"/>
      <c r="H446" s="255" t="n"/>
      <c r="I446" s="255" t="n"/>
      <c r="J446" s="255" t="n"/>
      <c r="K446" s="255" t="n"/>
      <c r="L446" s="255" t="n"/>
      <c r="M446" s="255" t="n"/>
      <c r="N446" s="255" t="n"/>
      <c r="O446" s="255" t="n"/>
      <c r="P446" s="255" t="n"/>
      <c r="Q446" s="255" t="n"/>
      <c r="R446" s="255" t="n"/>
      <c r="S446" s="255" t="n"/>
      <c r="T446" s="255" t="n"/>
      <c r="U446" s="255" t="n"/>
      <c r="V446" s="255" t="n"/>
      <c r="W446" s="255" t="n"/>
      <c r="X446" s="255" t="n"/>
      <c r="Y446" s="255" t="n"/>
      <c r="Z446" s="255" t="n"/>
    </row>
    <row r="447" ht="12.75" customHeight="1">
      <c r="A447" s="333" t="n"/>
      <c r="B447" s="255" t="n"/>
      <c r="C447" s="255" t="n"/>
      <c r="D447" s="255" t="n"/>
      <c r="E447" s="255" t="n"/>
      <c r="F447" s="255" t="n"/>
      <c r="G447" s="255" t="n"/>
      <c r="H447" s="255" t="n"/>
      <c r="I447" s="255" t="n"/>
      <c r="J447" s="255" t="n"/>
      <c r="K447" s="255" t="n"/>
      <c r="L447" s="255" t="n"/>
      <c r="M447" s="255" t="n"/>
      <c r="N447" s="255" t="n"/>
      <c r="O447" s="255" t="n"/>
      <c r="P447" s="255" t="n"/>
      <c r="Q447" s="255" t="n"/>
      <c r="R447" s="255" t="n"/>
      <c r="S447" s="255" t="n"/>
      <c r="T447" s="255" t="n"/>
      <c r="U447" s="255" t="n"/>
      <c r="V447" s="255" t="n"/>
      <c r="W447" s="255" t="n"/>
      <c r="X447" s="255" t="n"/>
      <c r="Y447" s="255" t="n"/>
      <c r="Z447" s="255" t="n"/>
    </row>
    <row r="448" ht="12.75" customHeight="1">
      <c r="A448" s="333" t="n"/>
      <c r="B448" s="255" t="n"/>
      <c r="C448" s="255" t="n"/>
      <c r="D448" s="255" t="n"/>
      <c r="E448" s="255" t="n"/>
      <c r="F448" s="255" t="n"/>
      <c r="G448" s="255" t="n"/>
      <c r="H448" s="255" t="n"/>
      <c r="I448" s="255" t="n"/>
      <c r="J448" s="255" t="n"/>
      <c r="K448" s="255" t="n"/>
      <c r="L448" s="255" t="n"/>
      <c r="M448" s="255" t="n"/>
      <c r="N448" s="255" t="n"/>
      <c r="O448" s="255" t="n"/>
      <c r="P448" s="255" t="n"/>
      <c r="Q448" s="255" t="n"/>
      <c r="R448" s="255" t="n"/>
      <c r="S448" s="255" t="n"/>
      <c r="T448" s="255" t="n"/>
      <c r="U448" s="255" t="n"/>
      <c r="V448" s="255" t="n"/>
      <c r="W448" s="255" t="n"/>
      <c r="X448" s="255" t="n"/>
      <c r="Y448" s="255" t="n"/>
      <c r="Z448" s="255" t="n"/>
    </row>
    <row r="449" ht="12.75" customHeight="1">
      <c r="A449" s="333" t="n"/>
      <c r="B449" s="255" t="n"/>
      <c r="C449" s="255" t="n"/>
      <c r="D449" s="255" t="n"/>
      <c r="E449" s="255" t="n"/>
      <c r="F449" s="255" t="n"/>
      <c r="G449" s="255" t="n"/>
      <c r="H449" s="255" t="n"/>
      <c r="I449" s="255" t="n"/>
      <c r="J449" s="255" t="n"/>
      <c r="K449" s="255" t="n"/>
      <c r="L449" s="255" t="n"/>
      <c r="M449" s="255" t="n"/>
      <c r="N449" s="255" t="n"/>
      <c r="O449" s="255" t="n"/>
      <c r="P449" s="255" t="n"/>
      <c r="Q449" s="255" t="n"/>
      <c r="R449" s="255" t="n"/>
      <c r="S449" s="255" t="n"/>
      <c r="T449" s="255" t="n"/>
      <c r="U449" s="255" t="n"/>
      <c r="V449" s="255" t="n"/>
      <c r="W449" s="255" t="n"/>
      <c r="X449" s="255" t="n"/>
      <c r="Y449" s="255" t="n"/>
      <c r="Z449" s="255" t="n"/>
    </row>
    <row r="450" ht="12.75" customHeight="1">
      <c r="A450" s="333" t="n"/>
      <c r="B450" s="255" t="n"/>
      <c r="C450" s="255" t="n"/>
      <c r="D450" s="255" t="n"/>
      <c r="E450" s="255" t="n"/>
      <c r="F450" s="255" t="n"/>
      <c r="G450" s="255" t="n"/>
      <c r="H450" s="255" t="n"/>
      <c r="I450" s="255" t="n"/>
      <c r="J450" s="255" t="n"/>
      <c r="K450" s="255" t="n"/>
      <c r="L450" s="255" t="n"/>
      <c r="M450" s="255" t="n"/>
      <c r="N450" s="255" t="n"/>
      <c r="O450" s="255" t="n"/>
      <c r="P450" s="255" t="n"/>
      <c r="Q450" s="255" t="n"/>
      <c r="R450" s="255" t="n"/>
      <c r="S450" s="255" t="n"/>
      <c r="T450" s="255" t="n"/>
      <c r="U450" s="255" t="n"/>
      <c r="V450" s="255" t="n"/>
      <c r="W450" s="255" t="n"/>
      <c r="X450" s="255" t="n"/>
      <c r="Y450" s="255" t="n"/>
      <c r="Z450" s="255" t="n"/>
    </row>
    <row r="451" ht="12.75" customHeight="1">
      <c r="A451" s="333" t="n"/>
      <c r="B451" s="255" t="n"/>
      <c r="C451" s="255" t="n"/>
      <c r="D451" s="255" t="n"/>
      <c r="E451" s="255" t="n"/>
      <c r="F451" s="255" t="n"/>
      <c r="G451" s="255" t="n"/>
      <c r="H451" s="255" t="n"/>
      <c r="I451" s="255" t="n"/>
      <c r="J451" s="255" t="n"/>
      <c r="K451" s="255" t="n"/>
      <c r="L451" s="255" t="n"/>
      <c r="M451" s="255" t="n"/>
      <c r="N451" s="255" t="n"/>
      <c r="O451" s="255" t="n"/>
      <c r="P451" s="255" t="n"/>
      <c r="Q451" s="255" t="n"/>
      <c r="R451" s="255" t="n"/>
      <c r="S451" s="255" t="n"/>
      <c r="T451" s="255" t="n"/>
      <c r="U451" s="255" t="n"/>
      <c r="V451" s="255" t="n"/>
      <c r="W451" s="255" t="n"/>
      <c r="X451" s="255" t="n"/>
      <c r="Y451" s="255" t="n"/>
      <c r="Z451" s="255" t="n"/>
    </row>
    <row r="452" ht="12.75" customHeight="1">
      <c r="A452" s="333" t="n"/>
      <c r="B452" s="255" t="n"/>
      <c r="C452" s="255" t="n"/>
      <c r="D452" s="255" t="n"/>
      <c r="E452" s="255" t="n"/>
      <c r="F452" s="255" t="n"/>
      <c r="G452" s="255" t="n"/>
      <c r="H452" s="255" t="n"/>
      <c r="I452" s="255" t="n"/>
      <c r="J452" s="255" t="n"/>
      <c r="K452" s="255" t="n"/>
      <c r="L452" s="255" t="n"/>
      <c r="M452" s="255" t="n"/>
      <c r="N452" s="255" t="n"/>
      <c r="O452" s="255" t="n"/>
      <c r="P452" s="255" t="n"/>
      <c r="Q452" s="255" t="n"/>
      <c r="R452" s="255" t="n"/>
      <c r="S452" s="255" t="n"/>
      <c r="T452" s="255" t="n"/>
      <c r="U452" s="255" t="n"/>
      <c r="V452" s="255" t="n"/>
      <c r="W452" s="255" t="n"/>
      <c r="X452" s="255" t="n"/>
      <c r="Y452" s="255" t="n"/>
      <c r="Z452" s="255" t="n"/>
    </row>
    <row r="453" ht="12.75" customHeight="1">
      <c r="A453" s="333" t="n"/>
      <c r="B453" s="255" t="n"/>
      <c r="C453" s="255" t="n"/>
      <c r="D453" s="255" t="n"/>
      <c r="E453" s="255" t="n"/>
      <c r="F453" s="255" t="n"/>
      <c r="G453" s="255" t="n"/>
      <c r="H453" s="255" t="n"/>
      <c r="I453" s="255" t="n"/>
      <c r="J453" s="255" t="n"/>
      <c r="K453" s="255" t="n"/>
      <c r="L453" s="255" t="n"/>
      <c r="M453" s="255" t="n"/>
      <c r="N453" s="255" t="n"/>
      <c r="O453" s="255" t="n"/>
      <c r="P453" s="255" t="n"/>
      <c r="Q453" s="255" t="n"/>
      <c r="R453" s="255" t="n"/>
      <c r="S453" s="255" t="n"/>
      <c r="T453" s="255" t="n"/>
      <c r="U453" s="255" t="n"/>
      <c r="V453" s="255" t="n"/>
      <c r="W453" s="255" t="n"/>
      <c r="X453" s="255" t="n"/>
      <c r="Y453" s="255" t="n"/>
      <c r="Z453" s="255" t="n"/>
    </row>
    <row r="454" ht="12.75" customHeight="1">
      <c r="A454" s="333" t="n"/>
      <c r="B454" s="255" t="n"/>
      <c r="C454" s="255" t="n"/>
      <c r="D454" s="255" t="n"/>
      <c r="E454" s="255" t="n"/>
      <c r="F454" s="255" t="n"/>
      <c r="G454" s="255" t="n"/>
      <c r="H454" s="255" t="n"/>
      <c r="I454" s="255" t="n"/>
      <c r="J454" s="255" t="n"/>
      <c r="K454" s="255" t="n"/>
      <c r="L454" s="255" t="n"/>
      <c r="M454" s="255" t="n"/>
      <c r="N454" s="255" t="n"/>
      <c r="O454" s="255" t="n"/>
      <c r="P454" s="255" t="n"/>
      <c r="Q454" s="255" t="n"/>
      <c r="R454" s="255" t="n"/>
      <c r="S454" s="255" t="n"/>
      <c r="T454" s="255" t="n"/>
      <c r="U454" s="255" t="n"/>
      <c r="V454" s="255" t="n"/>
      <c r="W454" s="255" t="n"/>
      <c r="X454" s="255" t="n"/>
      <c r="Y454" s="255" t="n"/>
      <c r="Z454" s="255" t="n"/>
    </row>
    <row r="455" ht="12.75" customHeight="1">
      <c r="A455" s="333" t="n"/>
      <c r="B455" s="255" t="n"/>
      <c r="C455" s="255" t="n"/>
      <c r="D455" s="255" t="n"/>
      <c r="E455" s="255" t="n"/>
      <c r="F455" s="255" t="n"/>
      <c r="G455" s="255" t="n"/>
      <c r="H455" s="255" t="n"/>
      <c r="I455" s="255" t="n"/>
      <c r="J455" s="255" t="n"/>
      <c r="K455" s="255" t="n"/>
      <c r="L455" s="255" t="n"/>
      <c r="M455" s="255" t="n"/>
      <c r="N455" s="255" t="n"/>
      <c r="O455" s="255" t="n"/>
      <c r="P455" s="255" t="n"/>
      <c r="Q455" s="255" t="n"/>
      <c r="R455" s="255" t="n"/>
      <c r="S455" s="255" t="n"/>
      <c r="T455" s="255" t="n"/>
      <c r="U455" s="255" t="n"/>
      <c r="V455" s="255" t="n"/>
      <c r="W455" s="255" t="n"/>
      <c r="X455" s="255" t="n"/>
      <c r="Y455" s="255" t="n"/>
      <c r="Z455" s="255" t="n"/>
    </row>
    <row r="456" ht="12.75" customHeight="1">
      <c r="A456" s="333" t="n"/>
      <c r="B456" s="255" t="n"/>
      <c r="C456" s="255" t="n"/>
      <c r="D456" s="255" t="n"/>
      <c r="E456" s="255" t="n"/>
      <c r="F456" s="255" t="n"/>
      <c r="G456" s="255" t="n"/>
      <c r="H456" s="255" t="n"/>
      <c r="I456" s="255" t="n"/>
      <c r="J456" s="255" t="n"/>
      <c r="K456" s="255" t="n"/>
      <c r="L456" s="255" t="n"/>
      <c r="M456" s="255" t="n"/>
      <c r="N456" s="255" t="n"/>
      <c r="O456" s="255" t="n"/>
      <c r="P456" s="255" t="n"/>
      <c r="Q456" s="255" t="n"/>
      <c r="R456" s="255" t="n"/>
      <c r="S456" s="255" t="n"/>
      <c r="T456" s="255" t="n"/>
      <c r="U456" s="255" t="n"/>
      <c r="V456" s="255" t="n"/>
      <c r="W456" s="255" t="n"/>
      <c r="X456" s="255" t="n"/>
      <c r="Y456" s="255" t="n"/>
      <c r="Z456" s="255" t="n"/>
    </row>
    <row r="457" ht="12.75" customHeight="1">
      <c r="A457" s="333" t="n"/>
      <c r="B457" s="255" t="n"/>
      <c r="C457" s="255" t="n"/>
      <c r="D457" s="255" t="n"/>
      <c r="E457" s="255" t="n"/>
      <c r="F457" s="255" t="n"/>
      <c r="G457" s="255" t="n"/>
      <c r="H457" s="255" t="n"/>
      <c r="I457" s="255" t="n"/>
      <c r="J457" s="255" t="n"/>
      <c r="K457" s="255" t="n"/>
      <c r="L457" s="255" t="n"/>
      <c r="M457" s="255" t="n"/>
      <c r="N457" s="255" t="n"/>
      <c r="O457" s="255" t="n"/>
      <c r="P457" s="255" t="n"/>
      <c r="Q457" s="255" t="n"/>
      <c r="R457" s="255" t="n"/>
      <c r="S457" s="255" t="n"/>
      <c r="T457" s="255" t="n"/>
      <c r="U457" s="255" t="n"/>
      <c r="V457" s="255" t="n"/>
      <c r="W457" s="255" t="n"/>
      <c r="X457" s="255" t="n"/>
      <c r="Y457" s="255" t="n"/>
      <c r="Z457" s="255" t="n"/>
    </row>
    <row r="458" ht="12.75" customHeight="1">
      <c r="A458" s="333" t="n"/>
      <c r="B458" s="255" t="n"/>
      <c r="C458" s="255" t="n"/>
      <c r="D458" s="255" t="n"/>
      <c r="E458" s="255" t="n"/>
      <c r="F458" s="255" t="n"/>
      <c r="G458" s="255" t="n"/>
      <c r="H458" s="255" t="n"/>
      <c r="I458" s="255" t="n"/>
      <c r="J458" s="255" t="n"/>
      <c r="K458" s="255" t="n"/>
      <c r="L458" s="255" t="n"/>
      <c r="M458" s="255" t="n"/>
      <c r="N458" s="255" t="n"/>
      <c r="O458" s="255" t="n"/>
      <c r="P458" s="255" t="n"/>
      <c r="Q458" s="255" t="n"/>
      <c r="R458" s="255" t="n"/>
      <c r="S458" s="255" t="n"/>
      <c r="T458" s="255" t="n"/>
      <c r="U458" s="255" t="n"/>
      <c r="V458" s="255" t="n"/>
      <c r="W458" s="255" t="n"/>
      <c r="X458" s="255" t="n"/>
      <c r="Y458" s="255" t="n"/>
      <c r="Z458" s="255" t="n"/>
    </row>
    <row r="459" ht="12.75" customHeight="1">
      <c r="A459" s="333" t="n"/>
      <c r="B459" s="255" t="n"/>
      <c r="C459" s="255" t="n"/>
      <c r="D459" s="255" t="n"/>
      <c r="E459" s="255" t="n"/>
      <c r="F459" s="255" t="n"/>
      <c r="G459" s="255" t="n"/>
      <c r="H459" s="255" t="n"/>
      <c r="I459" s="255" t="n"/>
      <c r="J459" s="255" t="n"/>
      <c r="K459" s="255" t="n"/>
      <c r="L459" s="255" t="n"/>
      <c r="M459" s="255" t="n"/>
      <c r="N459" s="255" t="n"/>
      <c r="O459" s="255" t="n"/>
      <c r="P459" s="255" t="n"/>
      <c r="Q459" s="255" t="n"/>
      <c r="R459" s="255" t="n"/>
      <c r="S459" s="255" t="n"/>
      <c r="T459" s="255" t="n"/>
      <c r="U459" s="255" t="n"/>
      <c r="V459" s="255" t="n"/>
      <c r="W459" s="255" t="n"/>
      <c r="X459" s="255" t="n"/>
      <c r="Y459" s="255" t="n"/>
      <c r="Z459" s="255" t="n"/>
    </row>
    <row r="460" ht="12.75" customHeight="1">
      <c r="A460" s="333" t="n"/>
      <c r="B460" s="255" t="n"/>
      <c r="C460" s="255" t="n"/>
      <c r="D460" s="255" t="n"/>
      <c r="E460" s="255" t="n"/>
      <c r="F460" s="255" t="n"/>
      <c r="G460" s="255" t="n"/>
      <c r="H460" s="255" t="n"/>
      <c r="I460" s="255" t="n"/>
      <c r="J460" s="255" t="n"/>
      <c r="K460" s="255" t="n"/>
      <c r="L460" s="255" t="n"/>
      <c r="M460" s="255" t="n"/>
      <c r="N460" s="255" t="n"/>
      <c r="O460" s="255" t="n"/>
      <c r="P460" s="255" t="n"/>
      <c r="Q460" s="255" t="n"/>
      <c r="R460" s="255" t="n"/>
      <c r="S460" s="255" t="n"/>
      <c r="T460" s="255" t="n"/>
      <c r="U460" s="255" t="n"/>
      <c r="V460" s="255" t="n"/>
      <c r="W460" s="255" t="n"/>
      <c r="X460" s="255" t="n"/>
      <c r="Y460" s="255" t="n"/>
      <c r="Z460" s="255" t="n"/>
    </row>
    <row r="461" ht="12.75" customHeight="1">
      <c r="A461" s="333" t="n"/>
      <c r="B461" s="255" t="n"/>
      <c r="C461" s="255" t="n"/>
      <c r="D461" s="255" t="n"/>
      <c r="E461" s="255" t="n"/>
      <c r="F461" s="255" t="n"/>
      <c r="G461" s="255" t="n"/>
      <c r="H461" s="255" t="n"/>
      <c r="I461" s="255" t="n"/>
      <c r="J461" s="255" t="n"/>
      <c r="K461" s="255" t="n"/>
      <c r="L461" s="255" t="n"/>
      <c r="M461" s="255" t="n"/>
      <c r="N461" s="255" t="n"/>
      <c r="O461" s="255" t="n"/>
      <c r="P461" s="255" t="n"/>
      <c r="Q461" s="255" t="n"/>
      <c r="R461" s="255" t="n"/>
      <c r="S461" s="255" t="n"/>
      <c r="T461" s="255" t="n"/>
      <c r="U461" s="255" t="n"/>
      <c r="V461" s="255" t="n"/>
      <c r="W461" s="255" t="n"/>
      <c r="X461" s="255" t="n"/>
      <c r="Y461" s="255" t="n"/>
      <c r="Z461" s="255" t="n"/>
    </row>
    <row r="462" ht="12.75" customHeight="1">
      <c r="A462" s="333" t="n"/>
      <c r="B462" s="255" t="n"/>
      <c r="C462" s="255" t="n"/>
      <c r="D462" s="255" t="n"/>
      <c r="E462" s="255" t="n"/>
      <c r="F462" s="255" t="n"/>
      <c r="G462" s="255" t="n"/>
      <c r="H462" s="255" t="n"/>
      <c r="I462" s="255" t="n"/>
      <c r="J462" s="255" t="n"/>
      <c r="K462" s="255" t="n"/>
      <c r="L462" s="255" t="n"/>
      <c r="M462" s="255" t="n"/>
      <c r="N462" s="255" t="n"/>
      <c r="O462" s="255" t="n"/>
      <c r="P462" s="255" t="n"/>
      <c r="Q462" s="255" t="n"/>
      <c r="R462" s="255" t="n"/>
      <c r="S462" s="255" t="n"/>
      <c r="T462" s="255" t="n"/>
      <c r="U462" s="255" t="n"/>
      <c r="V462" s="255" t="n"/>
      <c r="W462" s="255" t="n"/>
      <c r="X462" s="255" t="n"/>
      <c r="Y462" s="255" t="n"/>
      <c r="Z462" s="255" t="n"/>
    </row>
    <row r="463" ht="12.75" customHeight="1">
      <c r="A463" s="333" t="n"/>
      <c r="B463" s="255" t="n"/>
      <c r="C463" s="255" t="n"/>
      <c r="D463" s="255" t="n"/>
      <c r="E463" s="255" t="n"/>
      <c r="F463" s="255" t="n"/>
      <c r="G463" s="255" t="n"/>
      <c r="H463" s="255" t="n"/>
      <c r="I463" s="255" t="n"/>
      <c r="J463" s="255" t="n"/>
      <c r="K463" s="255" t="n"/>
      <c r="L463" s="255" t="n"/>
      <c r="M463" s="255" t="n"/>
      <c r="N463" s="255" t="n"/>
      <c r="O463" s="255" t="n"/>
      <c r="P463" s="255" t="n"/>
      <c r="Q463" s="255" t="n"/>
      <c r="R463" s="255" t="n"/>
      <c r="S463" s="255" t="n"/>
      <c r="T463" s="255" t="n"/>
      <c r="U463" s="255" t="n"/>
      <c r="V463" s="255" t="n"/>
      <c r="W463" s="255" t="n"/>
      <c r="X463" s="255" t="n"/>
      <c r="Y463" s="255" t="n"/>
      <c r="Z463" s="255" t="n"/>
    </row>
    <row r="464" ht="12.75" customHeight="1">
      <c r="A464" s="333" t="n"/>
      <c r="B464" s="255" t="n"/>
      <c r="C464" s="255" t="n"/>
      <c r="D464" s="255" t="n"/>
      <c r="E464" s="255" t="n"/>
      <c r="F464" s="255" t="n"/>
      <c r="G464" s="255" t="n"/>
      <c r="H464" s="255" t="n"/>
      <c r="I464" s="255" t="n"/>
      <c r="J464" s="255" t="n"/>
      <c r="K464" s="255" t="n"/>
      <c r="L464" s="255" t="n"/>
      <c r="M464" s="255" t="n"/>
      <c r="N464" s="255" t="n"/>
      <c r="O464" s="255" t="n"/>
      <c r="P464" s="255" t="n"/>
      <c r="Q464" s="255" t="n"/>
      <c r="R464" s="255" t="n"/>
      <c r="S464" s="255" t="n"/>
      <c r="T464" s="255" t="n"/>
      <c r="U464" s="255" t="n"/>
      <c r="V464" s="255" t="n"/>
      <c r="W464" s="255" t="n"/>
      <c r="X464" s="255" t="n"/>
      <c r="Y464" s="255" t="n"/>
      <c r="Z464" s="255" t="n"/>
    </row>
    <row r="465" ht="12.75" customHeight="1">
      <c r="A465" s="333" t="n"/>
      <c r="B465" s="255" t="n"/>
      <c r="C465" s="255" t="n"/>
      <c r="D465" s="255" t="n"/>
      <c r="E465" s="255" t="n"/>
      <c r="F465" s="255" t="n"/>
      <c r="G465" s="255" t="n"/>
      <c r="H465" s="255" t="n"/>
      <c r="I465" s="255" t="n"/>
      <c r="J465" s="255" t="n"/>
      <c r="K465" s="255" t="n"/>
      <c r="L465" s="255" t="n"/>
      <c r="M465" s="255" t="n"/>
      <c r="N465" s="255" t="n"/>
      <c r="O465" s="255" t="n"/>
      <c r="P465" s="255" t="n"/>
      <c r="Q465" s="255" t="n"/>
      <c r="R465" s="255" t="n"/>
      <c r="S465" s="255" t="n"/>
      <c r="T465" s="255" t="n"/>
      <c r="U465" s="255" t="n"/>
      <c r="V465" s="255" t="n"/>
      <c r="W465" s="255" t="n"/>
      <c r="X465" s="255" t="n"/>
      <c r="Y465" s="255" t="n"/>
      <c r="Z465" s="255" t="n"/>
    </row>
    <row r="466" ht="12.75" customHeight="1">
      <c r="A466" s="333" t="n"/>
      <c r="B466" s="255" t="n"/>
      <c r="C466" s="255" t="n"/>
      <c r="D466" s="255" t="n"/>
      <c r="E466" s="255" t="n"/>
      <c r="F466" s="255" t="n"/>
      <c r="G466" s="255" t="n"/>
      <c r="H466" s="255" t="n"/>
      <c r="I466" s="255" t="n"/>
      <c r="J466" s="255" t="n"/>
      <c r="K466" s="255" t="n"/>
      <c r="L466" s="255" t="n"/>
      <c r="M466" s="255" t="n"/>
      <c r="N466" s="255" t="n"/>
      <c r="O466" s="255" t="n"/>
      <c r="P466" s="255" t="n"/>
      <c r="Q466" s="255" t="n"/>
      <c r="R466" s="255" t="n"/>
      <c r="S466" s="255" t="n"/>
      <c r="T466" s="255" t="n"/>
      <c r="U466" s="255" t="n"/>
      <c r="V466" s="255" t="n"/>
      <c r="W466" s="255" t="n"/>
      <c r="X466" s="255" t="n"/>
      <c r="Y466" s="255" t="n"/>
      <c r="Z466" s="255" t="n"/>
    </row>
    <row r="467" ht="12.75" customHeight="1">
      <c r="A467" s="333" t="n"/>
      <c r="B467" s="255" t="n"/>
      <c r="C467" s="255" t="n"/>
      <c r="D467" s="255" t="n"/>
      <c r="E467" s="255" t="n"/>
      <c r="F467" s="255" t="n"/>
      <c r="G467" s="255" t="n"/>
      <c r="H467" s="255" t="n"/>
      <c r="I467" s="255" t="n"/>
      <c r="J467" s="255" t="n"/>
      <c r="K467" s="255" t="n"/>
      <c r="L467" s="255" t="n"/>
      <c r="M467" s="255" t="n"/>
      <c r="N467" s="255" t="n"/>
      <c r="O467" s="255" t="n"/>
      <c r="P467" s="255" t="n"/>
      <c r="Q467" s="255" t="n"/>
      <c r="R467" s="255" t="n"/>
      <c r="S467" s="255" t="n"/>
      <c r="T467" s="255" t="n"/>
      <c r="U467" s="255" t="n"/>
      <c r="V467" s="255" t="n"/>
      <c r="W467" s="255" t="n"/>
      <c r="X467" s="255" t="n"/>
      <c r="Y467" s="255" t="n"/>
      <c r="Z467" s="255" t="n"/>
    </row>
    <row r="468" ht="12.75" customHeight="1">
      <c r="A468" s="333" t="n"/>
      <c r="B468" s="255" t="n"/>
      <c r="C468" s="255" t="n"/>
      <c r="D468" s="255" t="n"/>
      <c r="E468" s="255" t="n"/>
      <c r="F468" s="255" t="n"/>
      <c r="G468" s="255" t="n"/>
      <c r="H468" s="255" t="n"/>
      <c r="I468" s="255" t="n"/>
      <c r="J468" s="255" t="n"/>
      <c r="K468" s="255" t="n"/>
      <c r="L468" s="255" t="n"/>
      <c r="M468" s="255" t="n"/>
      <c r="N468" s="255" t="n"/>
      <c r="O468" s="255" t="n"/>
      <c r="P468" s="255" t="n"/>
      <c r="Q468" s="255" t="n"/>
      <c r="R468" s="255" t="n"/>
      <c r="S468" s="255" t="n"/>
      <c r="T468" s="255" t="n"/>
      <c r="U468" s="255" t="n"/>
      <c r="V468" s="255" t="n"/>
      <c r="W468" s="255" t="n"/>
      <c r="X468" s="255" t="n"/>
      <c r="Y468" s="255" t="n"/>
      <c r="Z468" s="255" t="n"/>
    </row>
    <row r="469" ht="12.75" customHeight="1">
      <c r="A469" s="333" t="n"/>
      <c r="B469" s="255" t="n"/>
      <c r="C469" s="255" t="n"/>
      <c r="D469" s="255" t="n"/>
      <c r="E469" s="255" t="n"/>
      <c r="F469" s="255" t="n"/>
      <c r="G469" s="255" t="n"/>
      <c r="H469" s="255" t="n"/>
      <c r="I469" s="255" t="n"/>
      <c r="J469" s="255" t="n"/>
      <c r="K469" s="255" t="n"/>
      <c r="L469" s="255" t="n"/>
      <c r="M469" s="255" t="n"/>
      <c r="N469" s="255" t="n"/>
      <c r="O469" s="255" t="n"/>
      <c r="P469" s="255" t="n"/>
      <c r="Q469" s="255" t="n"/>
      <c r="R469" s="255" t="n"/>
      <c r="S469" s="255" t="n"/>
      <c r="T469" s="255" t="n"/>
      <c r="U469" s="255" t="n"/>
      <c r="V469" s="255" t="n"/>
      <c r="W469" s="255" t="n"/>
      <c r="X469" s="255" t="n"/>
      <c r="Y469" s="255" t="n"/>
      <c r="Z469" s="255" t="n"/>
    </row>
    <row r="470" ht="12.75" customHeight="1">
      <c r="A470" s="333" t="n"/>
      <c r="B470" s="255" t="n"/>
      <c r="C470" s="255" t="n"/>
      <c r="D470" s="255" t="n"/>
      <c r="E470" s="255" t="n"/>
      <c r="F470" s="255" t="n"/>
      <c r="G470" s="255" t="n"/>
      <c r="H470" s="255" t="n"/>
      <c r="I470" s="255" t="n"/>
      <c r="J470" s="255" t="n"/>
      <c r="K470" s="255" t="n"/>
      <c r="L470" s="255" t="n"/>
      <c r="M470" s="255" t="n"/>
      <c r="N470" s="255" t="n"/>
      <c r="O470" s="255" t="n"/>
      <c r="P470" s="255" t="n"/>
      <c r="Q470" s="255" t="n"/>
      <c r="R470" s="255" t="n"/>
      <c r="S470" s="255" t="n"/>
      <c r="T470" s="255" t="n"/>
      <c r="U470" s="255" t="n"/>
      <c r="V470" s="255" t="n"/>
      <c r="W470" s="255" t="n"/>
      <c r="X470" s="255" t="n"/>
      <c r="Y470" s="255" t="n"/>
      <c r="Z470" s="255" t="n"/>
    </row>
    <row r="471" ht="12.75" customHeight="1">
      <c r="A471" s="333" t="n"/>
      <c r="B471" s="255" t="n"/>
      <c r="C471" s="255" t="n"/>
      <c r="D471" s="255" t="n"/>
      <c r="E471" s="255" t="n"/>
      <c r="F471" s="255" t="n"/>
      <c r="G471" s="255" t="n"/>
      <c r="H471" s="255" t="n"/>
      <c r="I471" s="255" t="n"/>
      <c r="J471" s="255" t="n"/>
      <c r="K471" s="255" t="n"/>
      <c r="L471" s="255" t="n"/>
      <c r="M471" s="255" t="n"/>
      <c r="N471" s="255" t="n"/>
      <c r="O471" s="255" t="n"/>
      <c r="P471" s="255" t="n"/>
      <c r="Q471" s="255" t="n"/>
      <c r="R471" s="255" t="n"/>
      <c r="S471" s="255" t="n"/>
      <c r="T471" s="255" t="n"/>
      <c r="U471" s="255" t="n"/>
      <c r="V471" s="255" t="n"/>
      <c r="W471" s="255" t="n"/>
      <c r="X471" s="255" t="n"/>
      <c r="Y471" s="255" t="n"/>
      <c r="Z471" s="255" t="n"/>
    </row>
    <row r="472" ht="12.75" customHeight="1">
      <c r="A472" s="333" t="n"/>
      <c r="B472" s="255" t="n"/>
      <c r="C472" s="255" t="n"/>
      <c r="D472" s="255" t="n"/>
      <c r="E472" s="255" t="n"/>
      <c r="F472" s="255" t="n"/>
      <c r="G472" s="255" t="n"/>
      <c r="H472" s="255" t="n"/>
      <c r="I472" s="255" t="n"/>
      <c r="J472" s="255" t="n"/>
      <c r="K472" s="255" t="n"/>
      <c r="L472" s="255" t="n"/>
      <c r="M472" s="255" t="n"/>
      <c r="N472" s="255" t="n"/>
      <c r="O472" s="255" t="n"/>
      <c r="P472" s="255" t="n"/>
      <c r="Q472" s="255" t="n"/>
      <c r="R472" s="255" t="n"/>
      <c r="S472" s="255" t="n"/>
      <c r="T472" s="255" t="n"/>
      <c r="U472" s="255" t="n"/>
      <c r="V472" s="255" t="n"/>
      <c r="W472" s="255" t="n"/>
      <c r="X472" s="255" t="n"/>
      <c r="Y472" s="255" t="n"/>
      <c r="Z472" s="255" t="n"/>
    </row>
    <row r="473" ht="12.75" customHeight="1">
      <c r="A473" s="333" t="n"/>
      <c r="B473" s="255" t="n"/>
      <c r="C473" s="255" t="n"/>
      <c r="D473" s="255" t="n"/>
      <c r="E473" s="255" t="n"/>
      <c r="F473" s="255" t="n"/>
      <c r="G473" s="255" t="n"/>
      <c r="H473" s="255" t="n"/>
      <c r="I473" s="255" t="n"/>
      <c r="J473" s="255" t="n"/>
      <c r="K473" s="255" t="n"/>
      <c r="L473" s="255" t="n"/>
      <c r="M473" s="255" t="n"/>
      <c r="N473" s="255" t="n"/>
      <c r="O473" s="255" t="n"/>
      <c r="P473" s="255" t="n"/>
      <c r="Q473" s="255" t="n"/>
      <c r="R473" s="255" t="n"/>
      <c r="S473" s="255" t="n"/>
      <c r="T473" s="255" t="n"/>
      <c r="U473" s="255" t="n"/>
      <c r="V473" s="255" t="n"/>
      <c r="W473" s="255" t="n"/>
      <c r="X473" s="255" t="n"/>
      <c r="Y473" s="255" t="n"/>
      <c r="Z473" s="255" t="n"/>
    </row>
    <row r="474" ht="12.75" customHeight="1">
      <c r="A474" s="333" t="n"/>
      <c r="B474" s="255" t="n"/>
      <c r="C474" s="255" t="n"/>
      <c r="D474" s="255" t="n"/>
      <c r="E474" s="255" t="n"/>
      <c r="F474" s="255" t="n"/>
      <c r="G474" s="255" t="n"/>
      <c r="H474" s="255" t="n"/>
      <c r="I474" s="255" t="n"/>
      <c r="J474" s="255" t="n"/>
      <c r="K474" s="255" t="n"/>
      <c r="L474" s="255" t="n"/>
      <c r="M474" s="255" t="n"/>
      <c r="N474" s="255" t="n"/>
      <c r="O474" s="255" t="n"/>
      <c r="P474" s="255" t="n"/>
      <c r="Q474" s="255" t="n"/>
      <c r="R474" s="255" t="n"/>
      <c r="S474" s="255" t="n"/>
      <c r="T474" s="255" t="n"/>
      <c r="U474" s="255" t="n"/>
      <c r="V474" s="255" t="n"/>
      <c r="W474" s="255" t="n"/>
      <c r="X474" s="255" t="n"/>
      <c r="Y474" s="255" t="n"/>
      <c r="Z474" s="255" t="n"/>
    </row>
    <row r="475" ht="12.75" customHeight="1">
      <c r="A475" s="333" t="n"/>
      <c r="B475" s="255" t="n"/>
      <c r="C475" s="255" t="n"/>
      <c r="D475" s="255" t="n"/>
      <c r="E475" s="255" t="n"/>
      <c r="F475" s="255" t="n"/>
      <c r="G475" s="255" t="n"/>
      <c r="H475" s="255" t="n"/>
      <c r="I475" s="255" t="n"/>
      <c r="J475" s="255" t="n"/>
      <c r="K475" s="255" t="n"/>
      <c r="L475" s="255" t="n"/>
      <c r="M475" s="255" t="n"/>
      <c r="N475" s="255" t="n"/>
      <c r="O475" s="255" t="n"/>
      <c r="P475" s="255" t="n"/>
      <c r="Q475" s="255" t="n"/>
      <c r="R475" s="255" t="n"/>
      <c r="S475" s="255" t="n"/>
      <c r="T475" s="255" t="n"/>
      <c r="U475" s="255" t="n"/>
      <c r="V475" s="255" t="n"/>
      <c r="W475" s="255" t="n"/>
      <c r="X475" s="255" t="n"/>
      <c r="Y475" s="255" t="n"/>
      <c r="Z475" s="255" t="n"/>
    </row>
    <row r="476" ht="12.75" customHeight="1">
      <c r="A476" s="333" t="n"/>
      <c r="B476" s="255" t="n"/>
      <c r="C476" s="255" t="n"/>
      <c r="D476" s="255" t="n"/>
      <c r="E476" s="255" t="n"/>
      <c r="F476" s="255" t="n"/>
      <c r="G476" s="255" t="n"/>
      <c r="H476" s="255" t="n"/>
      <c r="I476" s="255" t="n"/>
      <c r="J476" s="255" t="n"/>
      <c r="K476" s="255" t="n"/>
      <c r="L476" s="255" t="n"/>
      <c r="M476" s="255" t="n"/>
      <c r="N476" s="255" t="n"/>
      <c r="O476" s="255" t="n"/>
      <c r="P476" s="255" t="n"/>
      <c r="Q476" s="255" t="n"/>
      <c r="R476" s="255" t="n"/>
      <c r="S476" s="255" t="n"/>
      <c r="T476" s="255" t="n"/>
      <c r="U476" s="255" t="n"/>
      <c r="V476" s="255" t="n"/>
      <c r="W476" s="255" t="n"/>
      <c r="X476" s="255" t="n"/>
      <c r="Y476" s="255" t="n"/>
      <c r="Z476" s="255" t="n"/>
    </row>
    <row r="477" ht="12.75" customHeight="1">
      <c r="A477" s="333" t="n"/>
      <c r="B477" s="255" t="n"/>
      <c r="C477" s="255" t="n"/>
      <c r="D477" s="255" t="n"/>
      <c r="E477" s="255" t="n"/>
      <c r="F477" s="255" t="n"/>
      <c r="G477" s="255" t="n"/>
      <c r="H477" s="255" t="n"/>
      <c r="I477" s="255" t="n"/>
      <c r="J477" s="255" t="n"/>
      <c r="K477" s="255" t="n"/>
      <c r="L477" s="255" t="n"/>
      <c r="M477" s="255" t="n"/>
      <c r="N477" s="255" t="n"/>
      <c r="O477" s="255" t="n"/>
      <c r="P477" s="255" t="n"/>
      <c r="Q477" s="255" t="n"/>
      <c r="R477" s="255" t="n"/>
      <c r="S477" s="255" t="n"/>
      <c r="T477" s="255" t="n"/>
      <c r="U477" s="255" t="n"/>
      <c r="V477" s="255" t="n"/>
      <c r="W477" s="255" t="n"/>
      <c r="X477" s="255" t="n"/>
      <c r="Y477" s="255" t="n"/>
      <c r="Z477" s="255" t="n"/>
    </row>
    <row r="478" ht="12.75" customHeight="1">
      <c r="A478" s="333" t="n"/>
      <c r="B478" s="255" t="n"/>
      <c r="C478" s="255" t="n"/>
      <c r="D478" s="255" t="n"/>
      <c r="E478" s="255" t="n"/>
      <c r="F478" s="255" t="n"/>
      <c r="G478" s="255" t="n"/>
      <c r="H478" s="255" t="n"/>
      <c r="I478" s="255" t="n"/>
      <c r="J478" s="255" t="n"/>
      <c r="K478" s="255" t="n"/>
      <c r="L478" s="255" t="n"/>
      <c r="M478" s="255" t="n"/>
      <c r="N478" s="255" t="n"/>
      <c r="O478" s="255" t="n"/>
      <c r="P478" s="255" t="n"/>
      <c r="Q478" s="255" t="n"/>
      <c r="R478" s="255" t="n"/>
      <c r="S478" s="255" t="n"/>
      <c r="T478" s="255" t="n"/>
      <c r="U478" s="255" t="n"/>
      <c r="V478" s="255" t="n"/>
      <c r="W478" s="255" t="n"/>
      <c r="X478" s="255" t="n"/>
      <c r="Y478" s="255" t="n"/>
      <c r="Z478" s="255" t="n"/>
    </row>
    <row r="479" ht="12.75" customHeight="1">
      <c r="A479" s="333" t="n"/>
      <c r="B479" s="255" t="n"/>
      <c r="C479" s="255" t="n"/>
      <c r="D479" s="255" t="n"/>
      <c r="E479" s="255" t="n"/>
      <c r="F479" s="255" t="n"/>
      <c r="G479" s="255" t="n"/>
      <c r="H479" s="255" t="n"/>
      <c r="I479" s="255" t="n"/>
      <c r="J479" s="255" t="n"/>
      <c r="K479" s="255" t="n"/>
      <c r="L479" s="255" t="n"/>
      <c r="M479" s="255" t="n"/>
      <c r="N479" s="255" t="n"/>
      <c r="O479" s="255" t="n"/>
      <c r="P479" s="255" t="n"/>
      <c r="Q479" s="255" t="n"/>
      <c r="R479" s="255" t="n"/>
      <c r="S479" s="255" t="n"/>
      <c r="T479" s="255" t="n"/>
      <c r="U479" s="255" t="n"/>
      <c r="V479" s="255" t="n"/>
      <c r="W479" s="255" t="n"/>
      <c r="X479" s="255" t="n"/>
      <c r="Y479" s="255" t="n"/>
      <c r="Z479" s="255" t="n"/>
    </row>
    <row r="480" ht="12.75" customHeight="1">
      <c r="A480" s="333" t="n"/>
      <c r="B480" s="255" t="n"/>
      <c r="C480" s="255" t="n"/>
      <c r="D480" s="255" t="n"/>
      <c r="E480" s="255" t="n"/>
      <c r="F480" s="255" t="n"/>
      <c r="G480" s="255" t="n"/>
      <c r="H480" s="255" t="n"/>
      <c r="I480" s="255" t="n"/>
      <c r="J480" s="255" t="n"/>
      <c r="K480" s="255" t="n"/>
      <c r="L480" s="255" t="n"/>
      <c r="M480" s="255" t="n"/>
      <c r="N480" s="255" t="n"/>
      <c r="O480" s="255" t="n"/>
      <c r="P480" s="255" t="n"/>
      <c r="Q480" s="255" t="n"/>
      <c r="R480" s="255" t="n"/>
      <c r="S480" s="255" t="n"/>
      <c r="T480" s="255" t="n"/>
      <c r="U480" s="255" t="n"/>
      <c r="V480" s="255" t="n"/>
      <c r="W480" s="255" t="n"/>
      <c r="X480" s="255" t="n"/>
      <c r="Y480" s="255" t="n"/>
      <c r="Z480" s="255" t="n"/>
    </row>
    <row r="481" ht="12.75" customHeight="1">
      <c r="A481" s="333" t="n"/>
      <c r="B481" s="255" t="n"/>
      <c r="C481" s="255" t="n"/>
      <c r="D481" s="255" t="n"/>
      <c r="E481" s="255" t="n"/>
      <c r="F481" s="255" t="n"/>
      <c r="G481" s="255" t="n"/>
      <c r="H481" s="255" t="n"/>
      <c r="I481" s="255" t="n"/>
      <c r="J481" s="255" t="n"/>
      <c r="K481" s="255" t="n"/>
      <c r="L481" s="255" t="n"/>
      <c r="M481" s="255" t="n"/>
      <c r="N481" s="255" t="n"/>
      <c r="O481" s="255" t="n"/>
      <c r="P481" s="255" t="n"/>
      <c r="Q481" s="255" t="n"/>
      <c r="R481" s="255" t="n"/>
      <c r="S481" s="255" t="n"/>
      <c r="T481" s="255" t="n"/>
      <c r="U481" s="255" t="n"/>
      <c r="V481" s="255" t="n"/>
      <c r="W481" s="255" t="n"/>
      <c r="X481" s="255" t="n"/>
      <c r="Y481" s="255" t="n"/>
      <c r="Z481" s="255" t="n"/>
    </row>
    <row r="482" ht="12.75" customHeight="1">
      <c r="A482" s="333" t="n"/>
      <c r="B482" s="255" t="n"/>
      <c r="C482" s="255" t="n"/>
      <c r="D482" s="255" t="n"/>
      <c r="E482" s="255" t="n"/>
      <c r="F482" s="255" t="n"/>
      <c r="G482" s="255" t="n"/>
      <c r="H482" s="255" t="n"/>
      <c r="I482" s="255" t="n"/>
      <c r="J482" s="255" t="n"/>
      <c r="K482" s="255" t="n"/>
      <c r="L482" s="255" t="n"/>
      <c r="M482" s="255" t="n"/>
      <c r="N482" s="255" t="n"/>
      <c r="O482" s="255" t="n"/>
      <c r="P482" s="255" t="n"/>
      <c r="Q482" s="255" t="n"/>
      <c r="R482" s="255" t="n"/>
      <c r="S482" s="255" t="n"/>
      <c r="T482" s="255" t="n"/>
      <c r="U482" s="255" t="n"/>
      <c r="V482" s="255" t="n"/>
      <c r="W482" s="255" t="n"/>
      <c r="X482" s="255" t="n"/>
      <c r="Y482" s="255" t="n"/>
      <c r="Z482" s="255" t="n"/>
    </row>
    <row r="483" ht="12.75" customHeight="1">
      <c r="A483" s="333" t="n"/>
      <c r="B483" s="255" t="n"/>
      <c r="C483" s="255" t="n"/>
      <c r="D483" s="255" t="n"/>
      <c r="E483" s="255" t="n"/>
      <c r="F483" s="255" t="n"/>
      <c r="G483" s="255" t="n"/>
      <c r="H483" s="255" t="n"/>
      <c r="I483" s="255" t="n"/>
      <c r="J483" s="255" t="n"/>
      <c r="K483" s="255" t="n"/>
      <c r="L483" s="255" t="n"/>
      <c r="M483" s="255" t="n"/>
      <c r="N483" s="255" t="n"/>
      <c r="O483" s="255" t="n"/>
      <c r="P483" s="255" t="n"/>
      <c r="Q483" s="255" t="n"/>
      <c r="R483" s="255" t="n"/>
      <c r="S483" s="255" t="n"/>
      <c r="T483" s="255" t="n"/>
      <c r="U483" s="255" t="n"/>
      <c r="V483" s="255" t="n"/>
      <c r="W483" s="255" t="n"/>
      <c r="X483" s="255" t="n"/>
      <c r="Y483" s="255" t="n"/>
      <c r="Z483" s="255" t="n"/>
    </row>
    <row r="484" ht="12.75" customHeight="1">
      <c r="A484" s="333" t="n"/>
      <c r="B484" s="255" t="n"/>
      <c r="C484" s="255" t="n"/>
      <c r="D484" s="255" t="n"/>
      <c r="E484" s="255" t="n"/>
      <c r="F484" s="255" t="n"/>
      <c r="G484" s="255" t="n"/>
      <c r="H484" s="255" t="n"/>
      <c r="I484" s="255" t="n"/>
      <c r="J484" s="255" t="n"/>
      <c r="K484" s="255" t="n"/>
      <c r="L484" s="255" t="n"/>
      <c r="M484" s="255" t="n"/>
      <c r="N484" s="255" t="n"/>
      <c r="O484" s="255" t="n"/>
      <c r="P484" s="255" t="n"/>
      <c r="Q484" s="255" t="n"/>
      <c r="R484" s="255" t="n"/>
      <c r="S484" s="255" t="n"/>
      <c r="T484" s="255" t="n"/>
      <c r="U484" s="255" t="n"/>
      <c r="V484" s="255" t="n"/>
      <c r="W484" s="255" t="n"/>
      <c r="X484" s="255" t="n"/>
      <c r="Y484" s="255" t="n"/>
      <c r="Z484" s="255" t="n"/>
    </row>
    <row r="485" ht="12.75" customHeight="1">
      <c r="A485" s="333" t="n"/>
      <c r="B485" s="255" t="n"/>
      <c r="C485" s="255" t="n"/>
      <c r="D485" s="255" t="n"/>
      <c r="E485" s="255" t="n"/>
      <c r="F485" s="255" t="n"/>
      <c r="G485" s="255" t="n"/>
      <c r="H485" s="255" t="n"/>
      <c r="I485" s="255" t="n"/>
      <c r="J485" s="255" t="n"/>
      <c r="K485" s="255" t="n"/>
      <c r="L485" s="255" t="n"/>
      <c r="M485" s="255" t="n"/>
      <c r="N485" s="255" t="n"/>
      <c r="O485" s="255" t="n"/>
      <c r="P485" s="255" t="n"/>
      <c r="Q485" s="255" t="n"/>
      <c r="R485" s="255" t="n"/>
      <c r="S485" s="255" t="n"/>
      <c r="T485" s="255" t="n"/>
      <c r="U485" s="255" t="n"/>
      <c r="V485" s="255" t="n"/>
      <c r="W485" s="255" t="n"/>
      <c r="X485" s="255" t="n"/>
      <c r="Y485" s="255" t="n"/>
      <c r="Z485" s="255" t="n"/>
    </row>
    <row r="486" ht="12.75" customHeight="1">
      <c r="A486" s="333" t="n"/>
      <c r="B486" s="255" t="n"/>
      <c r="C486" s="255" t="n"/>
      <c r="D486" s="255" t="n"/>
      <c r="E486" s="255" t="n"/>
      <c r="F486" s="255" t="n"/>
      <c r="G486" s="255" t="n"/>
      <c r="H486" s="255" t="n"/>
      <c r="I486" s="255" t="n"/>
      <c r="J486" s="255" t="n"/>
      <c r="K486" s="255" t="n"/>
      <c r="L486" s="255" t="n"/>
      <c r="M486" s="255" t="n"/>
      <c r="N486" s="255" t="n"/>
      <c r="O486" s="255" t="n"/>
      <c r="P486" s="255" t="n"/>
      <c r="Q486" s="255" t="n"/>
      <c r="R486" s="255" t="n"/>
      <c r="S486" s="255" t="n"/>
      <c r="T486" s="255" t="n"/>
      <c r="U486" s="255" t="n"/>
      <c r="V486" s="255" t="n"/>
      <c r="W486" s="255" t="n"/>
      <c r="X486" s="255" t="n"/>
      <c r="Y486" s="255" t="n"/>
      <c r="Z486" s="255" t="n"/>
    </row>
    <row r="487" ht="12.75" customHeight="1">
      <c r="A487" s="333" t="n"/>
      <c r="B487" s="255" t="n"/>
      <c r="C487" s="255" t="n"/>
      <c r="D487" s="255" t="n"/>
      <c r="E487" s="255" t="n"/>
      <c r="F487" s="255" t="n"/>
      <c r="G487" s="255" t="n"/>
      <c r="H487" s="255" t="n"/>
      <c r="I487" s="255" t="n"/>
      <c r="J487" s="255" t="n"/>
      <c r="K487" s="255" t="n"/>
      <c r="L487" s="255" t="n"/>
      <c r="M487" s="255" t="n"/>
      <c r="N487" s="255" t="n"/>
      <c r="O487" s="255" t="n"/>
      <c r="P487" s="255" t="n"/>
      <c r="Q487" s="255" t="n"/>
      <c r="R487" s="255" t="n"/>
      <c r="S487" s="255" t="n"/>
      <c r="T487" s="255" t="n"/>
      <c r="U487" s="255" t="n"/>
      <c r="V487" s="255" t="n"/>
      <c r="W487" s="255" t="n"/>
      <c r="X487" s="255" t="n"/>
      <c r="Y487" s="255" t="n"/>
      <c r="Z487" s="255" t="n"/>
    </row>
    <row r="488" ht="12.75" customHeight="1">
      <c r="A488" s="333" t="n"/>
      <c r="B488" s="255" t="n"/>
      <c r="C488" s="255" t="n"/>
      <c r="D488" s="255" t="n"/>
      <c r="E488" s="255" t="n"/>
      <c r="F488" s="255" t="n"/>
      <c r="G488" s="255" t="n"/>
      <c r="H488" s="255" t="n"/>
      <c r="I488" s="255" t="n"/>
      <c r="J488" s="255" t="n"/>
      <c r="K488" s="255" t="n"/>
      <c r="L488" s="255" t="n"/>
      <c r="M488" s="255" t="n"/>
      <c r="N488" s="255" t="n"/>
      <c r="O488" s="255" t="n"/>
      <c r="P488" s="255" t="n"/>
      <c r="Q488" s="255" t="n"/>
      <c r="R488" s="255" t="n"/>
      <c r="S488" s="255" t="n"/>
      <c r="T488" s="255" t="n"/>
      <c r="U488" s="255" t="n"/>
      <c r="V488" s="255" t="n"/>
      <c r="W488" s="255" t="n"/>
      <c r="X488" s="255" t="n"/>
      <c r="Y488" s="255" t="n"/>
      <c r="Z488" s="255" t="n"/>
    </row>
    <row r="489" ht="12.75" customHeight="1">
      <c r="A489" s="333" t="n"/>
      <c r="B489" s="255" t="n"/>
      <c r="C489" s="255" t="n"/>
      <c r="D489" s="255" t="n"/>
      <c r="E489" s="255" t="n"/>
      <c r="F489" s="255" t="n"/>
      <c r="G489" s="255" t="n"/>
      <c r="H489" s="255" t="n"/>
      <c r="I489" s="255" t="n"/>
      <c r="J489" s="255" t="n"/>
      <c r="K489" s="255" t="n"/>
      <c r="L489" s="255" t="n"/>
      <c r="M489" s="255" t="n"/>
      <c r="N489" s="255" t="n"/>
      <c r="O489" s="255" t="n"/>
      <c r="P489" s="255" t="n"/>
      <c r="Q489" s="255" t="n"/>
      <c r="R489" s="255" t="n"/>
      <c r="S489" s="255" t="n"/>
      <c r="T489" s="255" t="n"/>
      <c r="U489" s="255" t="n"/>
      <c r="V489" s="255" t="n"/>
      <c r="W489" s="255" t="n"/>
      <c r="X489" s="255" t="n"/>
      <c r="Y489" s="255" t="n"/>
      <c r="Z489" s="255" t="n"/>
    </row>
    <row r="490" ht="12.75" customHeight="1">
      <c r="A490" s="333" t="n"/>
      <c r="B490" s="255" t="n"/>
      <c r="C490" s="255" t="n"/>
      <c r="D490" s="255" t="n"/>
      <c r="E490" s="255" t="n"/>
      <c r="F490" s="255" t="n"/>
      <c r="G490" s="255" t="n"/>
      <c r="H490" s="255" t="n"/>
      <c r="I490" s="255" t="n"/>
      <c r="J490" s="255" t="n"/>
      <c r="K490" s="255" t="n"/>
      <c r="L490" s="255" t="n"/>
      <c r="M490" s="255" t="n"/>
      <c r="N490" s="255" t="n"/>
      <c r="O490" s="255" t="n"/>
      <c r="P490" s="255" t="n"/>
      <c r="Q490" s="255" t="n"/>
      <c r="R490" s="255" t="n"/>
      <c r="S490" s="255" t="n"/>
      <c r="T490" s="255" t="n"/>
      <c r="U490" s="255" t="n"/>
      <c r="V490" s="255" t="n"/>
      <c r="W490" s="255" t="n"/>
      <c r="X490" s="255" t="n"/>
      <c r="Y490" s="255" t="n"/>
      <c r="Z490" s="255" t="n"/>
    </row>
    <row r="491" ht="12.75" customHeight="1">
      <c r="A491" s="333" t="n"/>
      <c r="B491" s="255" t="n"/>
      <c r="C491" s="255" t="n"/>
      <c r="D491" s="255" t="n"/>
      <c r="E491" s="255" t="n"/>
      <c r="F491" s="255" t="n"/>
      <c r="G491" s="255" t="n"/>
      <c r="H491" s="255" t="n"/>
      <c r="I491" s="255" t="n"/>
      <c r="J491" s="255" t="n"/>
      <c r="K491" s="255" t="n"/>
      <c r="L491" s="255" t="n"/>
      <c r="M491" s="255" t="n"/>
      <c r="N491" s="255" t="n"/>
      <c r="O491" s="255" t="n"/>
      <c r="P491" s="255" t="n"/>
      <c r="Q491" s="255" t="n"/>
      <c r="R491" s="255" t="n"/>
      <c r="S491" s="255" t="n"/>
      <c r="T491" s="255" t="n"/>
      <c r="U491" s="255" t="n"/>
      <c r="V491" s="255" t="n"/>
      <c r="W491" s="255" t="n"/>
      <c r="X491" s="255" t="n"/>
      <c r="Y491" s="255" t="n"/>
      <c r="Z491" s="255" t="n"/>
    </row>
    <row r="492" ht="12.75" customHeight="1">
      <c r="A492" s="333" t="n"/>
      <c r="B492" s="255" t="n"/>
      <c r="C492" s="255" t="n"/>
      <c r="D492" s="255" t="n"/>
      <c r="E492" s="255" t="n"/>
      <c r="F492" s="255" t="n"/>
      <c r="G492" s="255" t="n"/>
      <c r="H492" s="255" t="n"/>
      <c r="I492" s="255" t="n"/>
      <c r="J492" s="255" t="n"/>
      <c r="K492" s="255" t="n"/>
      <c r="L492" s="255" t="n"/>
      <c r="M492" s="255" t="n"/>
      <c r="N492" s="255" t="n"/>
      <c r="O492" s="255" t="n"/>
      <c r="P492" s="255" t="n"/>
      <c r="Q492" s="255" t="n"/>
      <c r="R492" s="255" t="n"/>
      <c r="S492" s="255" t="n"/>
      <c r="T492" s="255" t="n"/>
      <c r="U492" s="255" t="n"/>
      <c r="V492" s="255" t="n"/>
      <c r="W492" s="255" t="n"/>
      <c r="X492" s="255" t="n"/>
      <c r="Y492" s="255" t="n"/>
      <c r="Z492" s="255" t="n"/>
    </row>
    <row r="493" ht="12.75" customHeight="1">
      <c r="A493" s="333" t="n"/>
      <c r="B493" s="255" t="n"/>
      <c r="C493" s="255" t="n"/>
      <c r="D493" s="255" t="n"/>
      <c r="E493" s="255" t="n"/>
      <c r="F493" s="255" t="n"/>
      <c r="G493" s="255" t="n"/>
      <c r="H493" s="255" t="n"/>
      <c r="I493" s="255" t="n"/>
      <c r="J493" s="255" t="n"/>
      <c r="K493" s="255" t="n"/>
      <c r="L493" s="255" t="n"/>
      <c r="M493" s="255" t="n"/>
      <c r="N493" s="255" t="n"/>
      <c r="O493" s="255" t="n"/>
      <c r="P493" s="255" t="n"/>
      <c r="Q493" s="255" t="n"/>
      <c r="R493" s="255" t="n"/>
      <c r="S493" s="255" t="n"/>
      <c r="T493" s="255" t="n"/>
      <c r="U493" s="255" t="n"/>
      <c r="V493" s="255" t="n"/>
      <c r="W493" s="255" t="n"/>
      <c r="X493" s="255" t="n"/>
      <c r="Y493" s="255" t="n"/>
      <c r="Z493" s="255" t="n"/>
    </row>
    <row r="494" ht="12.75" customHeight="1">
      <c r="A494" s="333" t="n"/>
      <c r="B494" s="255" t="n"/>
      <c r="C494" s="255" t="n"/>
      <c r="D494" s="255" t="n"/>
      <c r="E494" s="255" t="n"/>
      <c r="F494" s="255" t="n"/>
      <c r="G494" s="255" t="n"/>
      <c r="H494" s="255" t="n"/>
      <c r="I494" s="255" t="n"/>
      <c r="J494" s="255" t="n"/>
      <c r="K494" s="255" t="n"/>
      <c r="L494" s="255" t="n"/>
      <c r="M494" s="255" t="n"/>
      <c r="N494" s="255" t="n"/>
      <c r="O494" s="255" t="n"/>
      <c r="P494" s="255" t="n"/>
      <c r="Q494" s="255" t="n"/>
      <c r="R494" s="255" t="n"/>
      <c r="S494" s="255" t="n"/>
      <c r="T494" s="255" t="n"/>
      <c r="U494" s="255" t="n"/>
      <c r="V494" s="255" t="n"/>
      <c r="W494" s="255" t="n"/>
      <c r="X494" s="255" t="n"/>
      <c r="Y494" s="255" t="n"/>
      <c r="Z494" s="255" t="n"/>
    </row>
    <row r="495" ht="12.75" customHeight="1">
      <c r="A495" s="333" t="n"/>
      <c r="B495" s="255" t="n"/>
      <c r="C495" s="255" t="n"/>
      <c r="D495" s="255" t="n"/>
      <c r="E495" s="255" t="n"/>
      <c r="F495" s="255" t="n"/>
      <c r="G495" s="255" t="n"/>
      <c r="H495" s="255" t="n"/>
      <c r="I495" s="255" t="n"/>
      <c r="J495" s="255" t="n"/>
      <c r="K495" s="255" t="n"/>
      <c r="L495" s="255" t="n"/>
      <c r="M495" s="255" t="n"/>
      <c r="N495" s="255" t="n"/>
      <c r="O495" s="255" t="n"/>
      <c r="P495" s="255" t="n"/>
      <c r="Q495" s="255" t="n"/>
      <c r="R495" s="255" t="n"/>
      <c r="S495" s="255" t="n"/>
      <c r="T495" s="255" t="n"/>
      <c r="U495" s="255" t="n"/>
      <c r="V495" s="255" t="n"/>
      <c r="W495" s="255" t="n"/>
      <c r="X495" s="255" t="n"/>
      <c r="Y495" s="255" t="n"/>
      <c r="Z495" s="255" t="n"/>
    </row>
    <row r="496" ht="12.75" customHeight="1">
      <c r="A496" s="333" t="n"/>
      <c r="B496" s="255" t="n"/>
      <c r="C496" s="255" t="n"/>
      <c r="D496" s="255" t="n"/>
      <c r="E496" s="255" t="n"/>
      <c r="F496" s="255" t="n"/>
      <c r="G496" s="255" t="n"/>
      <c r="H496" s="255" t="n"/>
      <c r="I496" s="255" t="n"/>
      <c r="J496" s="255" t="n"/>
      <c r="K496" s="255" t="n"/>
      <c r="L496" s="255" t="n"/>
      <c r="M496" s="255" t="n"/>
      <c r="N496" s="255" t="n"/>
      <c r="O496" s="255" t="n"/>
      <c r="P496" s="255" t="n"/>
      <c r="Q496" s="255" t="n"/>
      <c r="R496" s="255" t="n"/>
      <c r="S496" s="255" t="n"/>
      <c r="T496" s="255" t="n"/>
      <c r="U496" s="255" t="n"/>
      <c r="V496" s="255" t="n"/>
      <c r="W496" s="255" t="n"/>
      <c r="X496" s="255" t="n"/>
      <c r="Y496" s="255" t="n"/>
      <c r="Z496" s="255" t="n"/>
    </row>
    <row r="497" ht="12.75" customHeight="1">
      <c r="A497" s="333" t="n"/>
      <c r="B497" s="255" t="n"/>
      <c r="C497" s="255" t="n"/>
      <c r="D497" s="255" t="n"/>
      <c r="E497" s="255" t="n"/>
      <c r="F497" s="255" t="n"/>
      <c r="G497" s="255" t="n"/>
      <c r="H497" s="255" t="n"/>
      <c r="I497" s="255" t="n"/>
      <c r="J497" s="255" t="n"/>
      <c r="K497" s="255" t="n"/>
      <c r="L497" s="255" t="n"/>
      <c r="M497" s="255" t="n"/>
      <c r="N497" s="255" t="n"/>
      <c r="O497" s="255" t="n"/>
      <c r="P497" s="255" t="n"/>
      <c r="Q497" s="255" t="n"/>
      <c r="R497" s="255" t="n"/>
      <c r="S497" s="255" t="n"/>
      <c r="T497" s="255" t="n"/>
      <c r="U497" s="255" t="n"/>
      <c r="V497" s="255" t="n"/>
      <c r="W497" s="255" t="n"/>
      <c r="X497" s="255" t="n"/>
      <c r="Y497" s="255" t="n"/>
      <c r="Z497" s="255" t="n"/>
    </row>
    <row r="498" ht="12.75" customHeight="1">
      <c r="A498" s="333" t="n"/>
      <c r="B498" s="255" t="n"/>
      <c r="C498" s="255" t="n"/>
      <c r="D498" s="255" t="n"/>
      <c r="E498" s="255" t="n"/>
      <c r="F498" s="255" t="n"/>
      <c r="G498" s="255" t="n"/>
      <c r="H498" s="255" t="n"/>
      <c r="I498" s="255" t="n"/>
      <c r="J498" s="255" t="n"/>
      <c r="K498" s="255" t="n"/>
      <c r="L498" s="255" t="n"/>
      <c r="M498" s="255" t="n"/>
      <c r="N498" s="255" t="n"/>
      <c r="O498" s="255" t="n"/>
      <c r="P498" s="255" t="n"/>
      <c r="Q498" s="255" t="n"/>
      <c r="R498" s="255" t="n"/>
      <c r="S498" s="255" t="n"/>
      <c r="T498" s="255" t="n"/>
      <c r="U498" s="255" t="n"/>
      <c r="V498" s="255" t="n"/>
      <c r="W498" s="255" t="n"/>
      <c r="X498" s="255" t="n"/>
      <c r="Y498" s="255" t="n"/>
      <c r="Z498" s="255" t="n"/>
    </row>
    <row r="499" ht="12.75" customHeight="1">
      <c r="A499" s="333" t="n"/>
      <c r="B499" s="255" t="n"/>
      <c r="C499" s="255" t="n"/>
      <c r="D499" s="255" t="n"/>
      <c r="E499" s="255" t="n"/>
      <c r="F499" s="255" t="n"/>
      <c r="G499" s="255" t="n"/>
      <c r="H499" s="255" t="n"/>
      <c r="I499" s="255" t="n"/>
      <c r="J499" s="255" t="n"/>
      <c r="K499" s="255" t="n"/>
      <c r="L499" s="255" t="n"/>
      <c r="M499" s="255" t="n"/>
      <c r="N499" s="255" t="n"/>
      <c r="O499" s="255" t="n"/>
      <c r="P499" s="255" t="n"/>
      <c r="Q499" s="255" t="n"/>
      <c r="R499" s="255" t="n"/>
      <c r="S499" s="255" t="n"/>
      <c r="T499" s="255" t="n"/>
      <c r="U499" s="255" t="n"/>
      <c r="V499" s="255" t="n"/>
      <c r="W499" s="255" t="n"/>
      <c r="X499" s="255" t="n"/>
      <c r="Y499" s="255" t="n"/>
      <c r="Z499" s="255" t="n"/>
    </row>
    <row r="500" ht="12.75" customHeight="1">
      <c r="A500" s="333" t="n"/>
      <c r="B500" s="255" t="n"/>
      <c r="C500" s="255" t="n"/>
      <c r="D500" s="255" t="n"/>
      <c r="E500" s="255" t="n"/>
      <c r="F500" s="255" t="n"/>
      <c r="G500" s="255" t="n"/>
      <c r="H500" s="255" t="n"/>
      <c r="I500" s="255" t="n"/>
      <c r="J500" s="255" t="n"/>
      <c r="K500" s="255" t="n"/>
      <c r="L500" s="255" t="n"/>
      <c r="M500" s="255" t="n"/>
      <c r="N500" s="255" t="n"/>
      <c r="O500" s="255" t="n"/>
      <c r="P500" s="255" t="n"/>
      <c r="Q500" s="255" t="n"/>
      <c r="R500" s="255" t="n"/>
      <c r="S500" s="255" t="n"/>
      <c r="T500" s="255" t="n"/>
      <c r="U500" s="255" t="n"/>
      <c r="V500" s="255" t="n"/>
      <c r="W500" s="255" t="n"/>
      <c r="X500" s="255" t="n"/>
      <c r="Y500" s="255" t="n"/>
      <c r="Z500" s="255" t="n"/>
    </row>
    <row r="501" ht="12.75" customHeight="1">
      <c r="A501" s="333" t="n"/>
      <c r="B501" s="255" t="n"/>
      <c r="C501" s="255" t="n"/>
      <c r="D501" s="255" t="n"/>
      <c r="E501" s="255" t="n"/>
      <c r="F501" s="255" t="n"/>
      <c r="G501" s="255" t="n"/>
      <c r="H501" s="255" t="n"/>
      <c r="I501" s="255" t="n"/>
      <c r="J501" s="255" t="n"/>
      <c r="K501" s="255" t="n"/>
      <c r="L501" s="255" t="n"/>
      <c r="M501" s="255" t="n"/>
      <c r="N501" s="255" t="n"/>
      <c r="O501" s="255" t="n"/>
      <c r="P501" s="255" t="n"/>
      <c r="Q501" s="255" t="n"/>
      <c r="R501" s="255" t="n"/>
      <c r="S501" s="255" t="n"/>
      <c r="T501" s="255" t="n"/>
      <c r="U501" s="255" t="n"/>
      <c r="V501" s="255" t="n"/>
      <c r="W501" s="255" t="n"/>
      <c r="X501" s="255" t="n"/>
      <c r="Y501" s="255" t="n"/>
      <c r="Z501" s="255" t="n"/>
    </row>
    <row r="502" ht="12.75" customHeight="1">
      <c r="A502" s="333" t="n"/>
      <c r="B502" s="255" t="n"/>
      <c r="C502" s="255" t="n"/>
      <c r="D502" s="255" t="n"/>
      <c r="E502" s="255" t="n"/>
      <c r="F502" s="255" t="n"/>
      <c r="G502" s="255" t="n"/>
      <c r="H502" s="255" t="n"/>
      <c r="I502" s="255" t="n"/>
      <c r="J502" s="255" t="n"/>
      <c r="K502" s="255" t="n"/>
      <c r="L502" s="255" t="n"/>
      <c r="M502" s="255" t="n"/>
      <c r="N502" s="255" t="n"/>
      <c r="O502" s="255" t="n"/>
      <c r="P502" s="255" t="n"/>
      <c r="Q502" s="255" t="n"/>
      <c r="R502" s="255" t="n"/>
      <c r="S502" s="255" t="n"/>
      <c r="T502" s="255" t="n"/>
      <c r="U502" s="255" t="n"/>
      <c r="V502" s="255" t="n"/>
      <c r="W502" s="255" t="n"/>
      <c r="X502" s="255" t="n"/>
      <c r="Y502" s="255" t="n"/>
      <c r="Z502" s="255" t="n"/>
    </row>
    <row r="503" ht="12.75" customHeight="1">
      <c r="A503" s="333" t="n"/>
      <c r="B503" s="255" t="n"/>
      <c r="C503" s="255" t="n"/>
      <c r="D503" s="255" t="n"/>
      <c r="E503" s="255" t="n"/>
      <c r="F503" s="255" t="n"/>
      <c r="G503" s="255" t="n"/>
      <c r="H503" s="255" t="n"/>
      <c r="I503" s="255" t="n"/>
      <c r="J503" s="255" t="n"/>
      <c r="K503" s="255" t="n"/>
      <c r="L503" s="255" t="n"/>
      <c r="M503" s="255" t="n"/>
      <c r="N503" s="255" t="n"/>
      <c r="O503" s="255" t="n"/>
      <c r="P503" s="255" t="n"/>
      <c r="Q503" s="255" t="n"/>
      <c r="R503" s="255" t="n"/>
      <c r="S503" s="255" t="n"/>
      <c r="T503" s="255" t="n"/>
      <c r="U503" s="255" t="n"/>
      <c r="V503" s="255" t="n"/>
      <c r="W503" s="255" t="n"/>
      <c r="X503" s="255" t="n"/>
      <c r="Y503" s="255" t="n"/>
      <c r="Z503" s="255" t="n"/>
    </row>
    <row r="504" ht="12.75" customHeight="1">
      <c r="A504" s="333" t="n"/>
      <c r="B504" s="255" t="n"/>
      <c r="C504" s="255" t="n"/>
      <c r="D504" s="255" t="n"/>
      <c r="E504" s="255" t="n"/>
      <c r="F504" s="255" t="n"/>
      <c r="G504" s="255" t="n"/>
      <c r="H504" s="255" t="n"/>
      <c r="I504" s="255" t="n"/>
      <c r="J504" s="255" t="n"/>
      <c r="K504" s="255" t="n"/>
      <c r="L504" s="255" t="n"/>
      <c r="M504" s="255" t="n"/>
      <c r="N504" s="255" t="n"/>
      <c r="O504" s="255" t="n"/>
      <c r="P504" s="255" t="n"/>
      <c r="Q504" s="255" t="n"/>
      <c r="R504" s="255" t="n"/>
      <c r="S504" s="255" t="n"/>
      <c r="T504" s="255" t="n"/>
      <c r="U504" s="255" t="n"/>
      <c r="V504" s="255" t="n"/>
      <c r="W504" s="255" t="n"/>
      <c r="X504" s="255" t="n"/>
      <c r="Y504" s="255" t="n"/>
      <c r="Z504" s="255" t="n"/>
    </row>
    <row r="505" ht="12.75" customHeight="1">
      <c r="A505" s="333" t="n"/>
      <c r="B505" s="255" t="n"/>
      <c r="C505" s="255" t="n"/>
      <c r="D505" s="255" t="n"/>
      <c r="E505" s="255" t="n"/>
      <c r="F505" s="255" t="n"/>
      <c r="G505" s="255" t="n"/>
      <c r="H505" s="255" t="n"/>
      <c r="I505" s="255" t="n"/>
      <c r="J505" s="255" t="n"/>
      <c r="K505" s="255" t="n"/>
      <c r="L505" s="255" t="n"/>
      <c r="M505" s="255" t="n"/>
      <c r="N505" s="255" t="n"/>
      <c r="O505" s="255" t="n"/>
      <c r="P505" s="255" t="n"/>
      <c r="Q505" s="255" t="n"/>
      <c r="R505" s="255" t="n"/>
      <c r="S505" s="255" t="n"/>
      <c r="T505" s="255" t="n"/>
      <c r="U505" s="255" t="n"/>
      <c r="V505" s="255" t="n"/>
      <c r="W505" s="255" t="n"/>
      <c r="X505" s="255" t="n"/>
      <c r="Y505" s="255" t="n"/>
      <c r="Z505" s="255" t="n"/>
    </row>
    <row r="506" ht="12.75" customHeight="1">
      <c r="A506" s="333" t="n"/>
      <c r="B506" s="255" t="n"/>
      <c r="C506" s="255" t="n"/>
      <c r="D506" s="255" t="n"/>
      <c r="E506" s="255" t="n"/>
      <c r="F506" s="255" t="n"/>
      <c r="G506" s="255" t="n"/>
      <c r="H506" s="255" t="n"/>
      <c r="I506" s="255" t="n"/>
      <c r="J506" s="255" t="n"/>
      <c r="K506" s="255" t="n"/>
      <c r="L506" s="255" t="n"/>
      <c r="M506" s="255" t="n"/>
      <c r="N506" s="255" t="n"/>
      <c r="O506" s="255" t="n"/>
      <c r="P506" s="255" t="n"/>
      <c r="Q506" s="255" t="n"/>
      <c r="R506" s="255" t="n"/>
      <c r="S506" s="255" t="n"/>
      <c r="T506" s="255" t="n"/>
      <c r="U506" s="255" t="n"/>
      <c r="V506" s="255" t="n"/>
      <c r="W506" s="255" t="n"/>
      <c r="X506" s="255" t="n"/>
      <c r="Y506" s="255" t="n"/>
      <c r="Z506" s="255" t="n"/>
    </row>
    <row r="507" ht="12.75" customHeight="1">
      <c r="A507" s="333" t="n"/>
      <c r="B507" s="255" t="n"/>
      <c r="C507" s="255" t="n"/>
      <c r="D507" s="255" t="n"/>
      <c r="E507" s="255" t="n"/>
      <c r="F507" s="255" t="n"/>
      <c r="G507" s="255" t="n"/>
      <c r="H507" s="255" t="n"/>
      <c r="I507" s="255" t="n"/>
      <c r="J507" s="255" t="n"/>
      <c r="K507" s="255" t="n"/>
      <c r="L507" s="255" t="n"/>
      <c r="M507" s="255" t="n"/>
      <c r="N507" s="255" t="n"/>
      <c r="O507" s="255" t="n"/>
      <c r="P507" s="255" t="n"/>
      <c r="Q507" s="255" t="n"/>
      <c r="R507" s="255" t="n"/>
      <c r="S507" s="255" t="n"/>
      <c r="T507" s="255" t="n"/>
      <c r="U507" s="255" t="n"/>
      <c r="V507" s="255" t="n"/>
      <c r="W507" s="255" t="n"/>
      <c r="X507" s="255" t="n"/>
      <c r="Y507" s="255" t="n"/>
      <c r="Z507" s="255" t="n"/>
    </row>
    <row r="508" ht="12.75" customHeight="1">
      <c r="A508" s="333" t="n"/>
      <c r="B508" s="255" t="n"/>
      <c r="C508" s="255" t="n"/>
      <c r="D508" s="255" t="n"/>
      <c r="E508" s="255" t="n"/>
      <c r="F508" s="255" t="n"/>
      <c r="G508" s="255" t="n"/>
      <c r="H508" s="255" t="n"/>
      <c r="I508" s="255" t="n"/>
      <c r="J508" s="255" t="n"/>
      <c r="K508" s="255" t="n"/>
      <c r="L508" s="255" t="n"/>
      <c r="M508" s="255" t="n"/>
      <c r="N508" s="255" t="n"/>
      <c r="O508" s="255" t="n"/>
      <c r="P508" s="255" t="n"/>
      <c r="Q508" s="255" t="n"/>
      <c r="R508" s="255" t="n"/>
      <c r="S508" s="255" t="n"/>
      <c r="T508" s="255" t="n"/>
      <c r="U508" s="255" t="n"/>
      <c r="V508" s="255" t="n"/>
      <c r="W508" s="255" t="n"/>
      <c r="X508" s="255" t="n"/>
      <c r="Y508" s="255" t="n"/>
      <c r="Z508" s="255" t="n"/>
    </row>
    <row r="509" ht="12.75" customHeight="1">
      <c r="A509" s="333" t="n"/>
      <c r="B509" s="255" t="n"/>
      <c r="C509" s="255" t="n"/>
      <c r="D509" s="255" t="n"/>
      <c r="E509" s="255" t="n"/>
      <c r="F509" s="255" t="n"/>
      <c r="G509" s="255" t="n"/>
      <c r="H509" s="255" t="n"/>
      <c r="I509" s="255" t="n"/>
      <c r="J509" s="255" t="n"/>
      <c r="K509" s="255" t="n"/>
      <c r="L509" s="255" t="n"/>
      <c r="M509" s="255" t="n"/>
      <c r="N509" s="255" t="n"/>
      <c r="O509" s="255" t="n"/>
      <c r="P509" s="255" t="n"/>
      <c r="Q509" s="255" t="n"/>
      <c r="R509" s="255" t="n"/>
      <c r="S509" s="255" t="n"/>
      <c r="T509" s="255" t="n"/>
      <c r="U509" s="255" t="n"/>
      <c r="V509" s="255" t="n"/>
      <c r="W509" s="255" t="n"/>
      <c r="X509" s="255" t="n"/>
      <c r="Y509" s="255" t="n"/>
      <c r="Z509" s="255" t="n"/>
    </row>
    <row r="510" ht="12.75" customHeight="1">
      <c r="A510" s="333" t="n"/>
      <c r="B510" s="255" t="n"/>
      <c r="C510" s="255" t="n"/>
      <c r="D510" s="255" t="n"/>
      <c r="E510" s="255" t="n"/>
      <c r="F510" s="255" t="n"/>
      <c r="G510" s="255" t="n"/>
      <c r="H510" s="255" t="n"/>
      <c r="I510" s="255" t="n"/>
      <c r="J510" s="255" t="n"/>
      <c r="K510" s="255" t="n"/>
      <c r="L510" s="255" t="n"/>
      <c r="M510" s="255" t="n"/>
      <c r="N510" s="255" t="n"/>
      <c r="O510" s="255" t="n"/>
      <c r="P510" s="255" t="n"/>
      <c r="Q510" s="255" t="n"/>
      <c r="R510" s="255" t="n"/>
      <c r="S510" s="255" t="n"/>
      <c r="T510" s="255" t="n"/>
      <c r="U510" s="255" t="n"/>
      <c r="V510" s="255" t="n"/>
      <c r="W510" s="255" t="n"/>
      <c r="X510" s="255" t="n"/>
      <c r="Y510" s="255" t="n"/>
      <c r="Z510" s="255" t="n"/>
    </row>
    <row r="511" ht="12.75" customHeight="1">
      <c r="A511" s="333" t="n"/>
      <c r="B511" s="255" t="n"/>
      <c r="C511" s="255" t="n"/>
      <c r="D511" s="255" t="n"/>
      <c r="E511" s="255" t="n"/>
      <c r="F511" s="255" t="n"/>
      <c r="G511" s="255" t="n"/>
      <c r="H511" s="255" t="n"/>
      <c r="I511" s="255" t="n"/>
      <c r="J511" s="255" t="n"/>
      <c r="K511" s="255" t="n"/>
      <c r="L511" s="255" t="n"/>
      <c r="M511" s="255" t="n"/>
      <c r="N511" s="255" t="n"/>
      <c r="O511" s="255" t="n"/>
      <c r="P511" s="255" t="n"/>
      <c r="Q511" s="255" t="n"/>
      <c r="R511" s="255" t="n"/>
      <c r="S511" s="255" t="n"/>
      <c r="T511" s="255" t="n"/>
      <c r="U511" s="255" t="n"/>
      <c r="V511" s="255" t="n"/>
      <c r="W511" s="255" t="n"/>
      <c r="X511" s="255" t="n"/>
      <c r="Y511" s="255" t="n"/>
      <c r="Z511" s="255" t="n"/>
    </row>
    <row r="512" ht="12.75" customHeight="1">
      <c r="A512" s="333" t="n"/>
      <c r="B512" s="255" t="n"/>
      <c r="C512" s="255" t="n"/>
      <c r="D512" s="255" t="n"/>
      <c r="E512" s="255" t="n"/>
      <c r="F512" s="255" t="n"/>
      <c r="G512" s="255" t="n"/>
      <c r="H512" s="255" t="n"/>
      <c r="I512" s="255" t="n"/>
      <c r="J512" s="255" t="n"/>
      <c r="K512" s="255" t="n"/>
      <c r="L512" s="255" t="n"/>
      <c r="M512" s="255" t="n"/>
      <c r="N512" s="255" t="n"/>
      <c r="O512" s="255" t="n"/>
      <c r="P512" s="255" t="n"/>
      <c r="Q512" s="255" t="n"/>
      <c r="R512" s="255" t="n"/>
      <c r="S512" s="255" t="n"/>
      <c r="T512" s="255" t="n"/>
      <c r="U512" s="255" t="n"/>
      <c r="V512" s="255" t="n"/>
      <c r="W512" s="255" t="n"/>
      <c r="X512" s="255" t="n"/>
      <c r="Y512" s="255" t="n"/>
      <c r="Z512" s="255" t="n"/>
    </row>
    <row r="513" ht="12.75" customHeight="1">
      <c r="A513" s="333" t="n"/>
      <c r="B513" s="255" t="n"/>
      <c r="C513" s="255" t="n"/>
      <c r="D513" s="255" t="n"/>
      <c r="E513" s="255" t="n"/>
      <c r="F513" s="255" t="n"/>
      <c r="G513" s="255" t="n"/>
      <c r="H513" s="255" t="n"/>
      <c r="I513" s="255" t="n"/>
      <c r="J513" s="255" t="n"/>
      <c r="K513" s="255" t="n"/>
      <c r="L513" s="255" t="n"/>
      <c r="M513" s="255" t="n"/>
      <c r="N513" s="255" t="n"/>
      <c r="O513" s="255" t="n"/>
      <c r="P513" s="255" t="n"/>
      <c r="Q513" s="255" t="n"/>
      <c r="R513" s="255" t="n"/>
      <c r="S513" s="255" t="n"/>
      <c r="T513" s="255" t="n"/>
      <c r="U513" s="255" t="n"/>
      <c r="V513" s="255" t="n"/>
      <c r="W513" s="255" t="n"/>
      <c r="X513" s="255" t="n"/>
      <c r="Y513" s="255" t="n"/>
      <c r="Z513" s="255" t="n"/>
    </row>
    <row r="514" ht="12.75" customHeight="1">
      <c r="A514" s="333" t="n"/>
      <c r="B514" s="255" t="n"/>
      <c r="C514" s="255" t="n"/>
      <c r="D514" s="255" t="n"/>
      <c r="E514" s="255" t="n"/>
      <c r="F514" s="255" t="n"/>
      <c r="G514" s="255" t="n"/>
      <c r="H514" s="255" t="n"/>
      <c r="I514" s="255" t="n"/>
      <c r="J514" s="255" t="n"/>
      <c r="K514" s="255" t="n"/>
      <c r="L514" s="255" t="n"/>
      <c r="M514" s="255" t="n"/>
      <c r="N514" s="255" t="n"/>
      <c r="O514" s="255" t="n"/>
      <c r="P514" s="255" t="n"/>
      <c r="Q514" s="255" t="n"/>
      <c r="R514" s="255" t="n"/>
      <c r="S514" s="255" t="n"/>
      <c r="T514" s="255" t="n"/>
      <c r="U514" s="255" t="n"/>
      <c r="V514" s="255" t="n"/>
      <c r="W514" s="255" t="n"/>
      <c r="X514" s="255" t="n"/>
      <c r="Y514" s="255" t="n"/>
      <c r="Z514" s="255" t="n"/>
    </row>
    <row r="515" ht="12.75" customHeight="1">
      <c r="A515" s="333" t="n"/>
      <c r="B515" s="255" t="n"/>
      <c r="C515" s="255" t="n"/>
      <c r="D515" s="255" t="n"/>
      <c r="E515" s="255" t="n"/>
      <c r="F515" s="255" t="n"/>
      <c r="G515" s="255" t="n"/>
      <c r="H515" s="255" t="n"/>
      <c r="I515" s="255" t="n"/>
      <c r="J515" s="255" t="n"/>
      <c r="K515" s="255" t="n"/>
      <c r="L515" s="255" t="n"/>
      <c r="M515" s="255" t="n"/>
      <c r="N515" s="255" t="n"/>
      <c r="O515" s="255" t="n"/>
      <c r="P515" s="255" t="n"/>
      <c r="Q515" s="255" t="n"/>
      <c r="R515" s="255" t="n"/>
      <c r="S515" s="255" t="n"/>
      <c r="T515" s="255" t="n"/>
      <c r="U515" s="255" t="n"/>
      <c r="V515" s="255" t="n"/>
      <c r="W515" s="255" t="n"/>
      <c r="X515" s="255" t="n"/>
      <c r="Y515" s="255" t="n"/>
      <c r="Z515" s="255" t="n"/>
    </row>
    <row r="516" ht="12.75" customHeight="1">
      <c r="A516" s="333" t="n"/>
      <c r="B516" s="255" t="n"/>
      <c r="C516" s="255" t="n"/>
      <c r="D516" s="255" t="n"/>
      <c r="E516" s="255" t="n"/>
      <c r="F516" s="255" t="n"/>
      <c r="G516" s="255" t="n"/>
      <c r="H516" s="255" t="n"/>
      <c r="I516" s="255" t="n"/>
      <c r="J516" s="255" t="n"/>
      <c r="K516" s="255" t="n"/>
      <c r="L516" s="255" t="n"/>
      <c r="M516" s="255" t="n"/>
      <c r="N516" s="255" t="n"/>
      <c r="O516" s="255" t="n"/>
      <c r="P516" s="255" t="n"/>
      <c r="Q516" s="255" t="n"/>
      <c r="R516" s="255" t="n"/>
      <c r="S516" s="255" t="n"/>
      <c r="T516" s="255" t="n"/>
      <c r="U516" s="255" t="n"/>
      <c r="V516" s="255" t="n"/>
      <c r="W516" s="255" t="n"/>
      <c r="X516" s="255" t="n"/>
      <c r="Y516" s="255" t="n"/>
      <c r="Z516" s="255" t="n"/>
    </row>
    <row r="517" ht="12.75" customHeight="1">
      <c r="A517" s="333" t="n"/>
      <c r="B517" s="255" t="n"/>
      <c r="C517" s="255" t="n"/>
      <c r="D517" s="255" t="n"/>
      <c r="E517" s="255" t="n"/>
      <c r="F517" s="255" t="n"/>
      <c r="G517" s="255" t="n"/>
      <c r="H517" s="255" t="n"/>
      <c r="I517" s="255" t="n"/>
      <c r="J517" s="255" t="n"/>
      <c r="K517" s="255" t="n"/>
      <c r="L517" s="255" t="n"/>
      <c r="M517" s="255" t="n"/>
      <c r="N517" s="255" t="n"/>
      <c r="O517" s="255" t="n"/>
      <c r="P517" s="255" t="n"/>
      <c r="Q517" s="255" t="n"/>
      <c r="R517" s="255" t="n"/>
      <c r="S517" s="255" t="n"/>
      <c r="T517" s="255" t="n"/>
      <c r="U517" s="255" t="n"/>
      <c r="V517" s="255" t="n"/>
      <c r="W517" s="255" t="n"/>
      <c r="X517" s="255" t="n"/>
      <c r="Y517" s="255" t="n"/>
      <c r="Z517" s="255" t="n"/>
    </row>
    <row r="518" ht="12.75" customHeight="1">
      <c r="A518" s="333" t="n"/>
      <c r="B518" s="255" t="n"/>
      <c r="C518" s="255" t="n"/>
      <c r="D518" s="255" t="n"/>
      <c r="E518" s="255" t="n"/>
      <c r="F518" s="255" t="n"/>
      <c r="G518" s="255" t="n"/>
      <c r="H518" s="255" t="n"/>
      <c r="I518" s="255" t="n"/>
      <c r="J518" s="255" t="n"/>
      <c r="K518" s="255" t="n"/>
      <c r="L518" s="255" t="n"/>
      <c r="M518" s="255" t="n"/>
      <c r="N518" s="255" t="n"/>
      <c r="O518" s="255" t="n"/>
      <c r="P518" s="255" t="n"/>
      <c r="Q518" s="255" t="n"/>
      <c r="R518" s="255" t="n"/>
      <c r="S518" s="255" t="n"/>
      <c r="T518" s="255" t="n"/>
      <c r="U518" s="255" t="n"/>
      <c r="V518" s="255" t="n"/>
      <c r="W518" s="255" t="n"/>
      <c r="X518" s="255" t="n"/>
      <c r="Y518" s="255" t="n"/>
      <c r="Z518" s="255" t="n"/>
    </row>
    <row r="519" ht="12.75" customHeight="1">
      <c r="A519" s="333" t="n"/>
      <c r="B519" s="255" t="n"/>
      <c r="C519" s="255" t="n"/>
      <c r="D519" s="255" t="n"/>
      <c r="E519" s="255" t="n"/>
      <c r="F519" s="255" t="n"/>
      <c r="G519" s="255" t="n"/>
      <c r="H519" s="255" t="n"/>
      <c r="I519" s="255" t="n"/>
      <c r="J519" s="255" t="n"/>
      <c r="K519" s="255" t="n"/>
      <c r="L519" s="255" t="n"/>
      <c r="M519" s="255" t="n"/>
      <c r="N519" s="255" t="n"/>
      <c r="O519" s="255" t="n"/>
      <c r="P519" s="255" t="n"/>
      <c r="Q519" s="255" t="n"/>
      <c r="R519" s="255" t="n"/>
      <c r="S519" s="255" t="n"/>
      <c r="T519" s="255" t="n"/>
      <c r="U519" s="255" t="n"/>
      <c r="V519" s="255" t="n"/>
      <c r="W519" s="255" t="n"/>
      <c r="X519" s="255" t="n"/>
      <c r="Y519" s="255" t="n"/>
      <c r="Z519" s="255" t="n"/>
    </row>
    <row r="520" ht="12.75" customHeight="1">
      <c r="A520" s="333" t="n"/>
      <c r="B520" s="255" t="n"/>
      <c r="C520" s="255" t="n"/>
      <c r="D520" s="255" t="n"/>
      <c r="E520" s="255" t="n"/>
      <c r="F520" s="255" t="n"/>
      <c r="G520" s="255" t="n"/>
      <c r="H520" s="255" t="n"/>
      <c r="I520" s="255" t="n"/>
      <c r="J520" s="255" t="n"/>
      <c r="K520" s="255" t="n"/>
      <c r="L520" s="255" t="n"/>
      <c r="M520" s="255" t="n"/>
      <c r="N520" s="255" t="n"/>
      <c r="O520" s="255" t="n"/>
      <c r="P520" s="255" t="n"/>
      <c r="Q520" s="255" t="n"/>
      <c r="R520" s="255" t="n"/>
      <c r="S520" s="255" t="n"/>
      <c r="T520" s="255" t="n"/>
      <c r="U520" s="255" t="n"/>
      <c r="V520" s="255" t="n"/>
      <c r="W520" s="255" t="n"/>
      <c r="X520" s="255" t="n"/>
      <c r="Y520" s="255" t="n"/>
      <c r="Z520" s="255" t="n"/>
    </row>
    <row r="521" ht="12.75" customHeight="1">
      <c r="A521" s="333" t="n"/>
      <c r="B521" s="255" t="n"/>
      <c r="C521" s="255" t="n"/>
      <c r="D521" s="255" t="n"/>
      <c r="E521" s="255" t="n"/>
      <c r="F521" s="255" t="n"/>
      <c r="G521" s="255" t="n"/>
      <c r="H521" s="255" t="n"/>
      <c r="I521" s="255" t="n"/>
      <c r="J521" s="255" t="n"/>
      <c r="K521" s="255" t="n"/>
      <c r="L521" s="255" t="n"/>
      <c r="M521" s="255" t="n"/>
      <c r="N521" s="255" t="n"/>
      <c r="O521" s="255" t="n"/>
      <c r="P521" s="255" t="n"/>
      <c r="Q521" s="255" t="n"/>
      <c r="R521" s="255" t="n"/>
      <c r="S521" s="255" t="n"/>
      <c r="T521" s="255" t="n"/>
      <c r="U521" s="255" t="n"/>
      <c r="V521" s="255" t="n"/>
      <c r="W521" s="255" t="n"/>
      <c r="X521" s="255" t="n"/>
      <c r="Y521" s="255" t="n"/>
      <c r="Z521" s="255" t="n"/>
    </row>
    <row r="522" ht="12.75" customHeight="1">
      <c r="A522" s="333" t="n"/>
      <c r="B522" s="255" t="n"/>
      <c r="C522" s="255" t="n"/>
      <c r="D522" s="255" t="n"/>
      <c r="E522" s="255" t="n"/>
      <c r="F522" s="255" t="n"/>
      <c r="G522" s="255" t="n"/>
      <c r="H522" s="255" t="n"/>
      <c r="I522" s="255" t="n"/>
      <c r="J522" s="255" t="n"/>
      <c r="K522" s="255" t="n"/>
      <c r="L522" s="255" t="n"/>
      <c r="M522" s="255" t="n"/>
      <c r="N522" s="255" t="n"/>
      <c r="O522" s="255" t="n"/>
      <c r="P522" s="255" t="n"/>
      <c r="Q522" s="255" t="n"/>
      <c r="R522" s="255" t="n"/>
      <c r="S522" s="255" t="n"/>
      <c r="T522" s="255" t="n"/>
      <c r="U522" s="255" t="n"/>
      <c r="V522" s="255" t="n"/>
      <c r="W522" s="255" t="n"/>
      <c r="X522" s="255" t="n"/>
      <c r="Y522" s="255" t="n"/>
      <c r="Z522" s="255" t="n"/>
    </row>
    <row r="523" ht="12.75" customHeight="1">
      <c r="A523" s="333" t="n"/>
      <c r="B523" s="255" t="n"/>
      <c r="C523" s="255" t="n"/>
      <c r="D523" s="255" t="n"/>
      <c r="E523" s="255" t="n"/>
      <c r="F523" s="255" t="n"/>
      <c r="G523" s="255" t="n"/>
      <c r="H523" s="255" t="n"/>
      <c r="I523" s="255" t="n"/>
      <c r="J523" s="255" t="n"/>
      <c r="K523" s="255" t="n"/>
      <c r="L523" s="255" t="n"/>
      <c r="M523" s="255" t="n"/>
      <c r="N523" s="255" t="n"/>
      <c r="O523" s="255" t="n"/>
      <c r="P523" s="255" t="n"/>
      <c r="Q523" s="255" t="n"/>
      <c r="R523" s="255" t="n"/>
      <c r="S523" s="255" t="n"/>
      <c r="T523" s="255" t="n"/>
      <c r="U523" s="255" t="n"/>
      <c r="V523" s="255" t="n"/>
      <c r="W523" s="255" t="n"/>
      <c r="X523" s="255" t="n"/>
      <c r="Y523" s="255" t="n"/>
      <c r="Z523" s="255" t="n"/>
    </row>
    <row r="524" ht="12.75" customHeight="1">
      <c r="A524" s="333" t="n"/>
      <c r="B524" s="255" t="n"/>
      <c r="C524" s="255" t="n"/>
      <c r="D524" s="255" t="n"/>
      <c r="E524" s="255" t="n"/>
      <c r="F524" s="255" t="n"/>
      <c r="G524" s="255" t="n"/>
      <c r="H524" s="255" t="n"/>
      <c r="I524" s="255" t="n"/>
      <c r="J524" s="255" t="n"/>
      <c r="K524" s="255" t="n"/>
      <c r="L524" s="255" t="n"/>
      <c r="M524" s="255" t="n"/>
      <c r="N524" s="255" t="n"/>
      <c r="O524" s="255" t="n"/>
      <c r="P524" s="255" t="n"/>
      <c r="Q524" s="255" t="n"/>
      <c r="R524" s="255" t="n"/>
      <c r="S524" s="255" t="n"/>
      <c r="T524" s="255" t="n"/>
      <c r="U524" s="255" t="n"/>
      <c r="V524" s="255" t="n"/>
      <c r="W524" s="255" t="n"/>
      <c r="X524" s="255" t="n"/>
      <c r="Y524" s="255" t="n"/>
      <c r="Z524" s="255" t="n"/>
    </row>
    <row r="525" ht="12.75" customHeight="1">
      <c r="A525" s="333" t="n"/>
      <c r="B525" s="255" t="n"/>
      <c r="C525" s="255" t="n"/>
      <c r="D525" s="255" t="n"/>
      <c r="E525" s="255" t="n"/>
      <c r="F525" s="255" t="n"/>
      <c r="G525" s="255" t="n"/>
      <c r="H525" s="255" t="n"/>
      <c r="I525" s="255" t="n"/>
      <c r="J525" s="255" t="n"/>
      <c r="K525" s="255" t="n"/>
      <c r="L525" s="255" t="n"/>
      <c r="M525" s="255" t="n"/>
      <c r="N525" s="255" t="n"/>
      <c r="O525" s="255" t="n"/>
      <c r="P525" s="255" t="n"/>
      <c r="Q525" s="255" t="n"/>
      <c r="R525" s="255" t="n"/>
      <c r="S525" s="255" t="n"/>
      <c r="T525" s="255" t="n"/>
      <c r="U525" s="255" t="n"/>
      <c r="V525" s="255" t="n"/>
      <c r="W525" s="255" t="n"/>
      <c r="X525" s="255" t="n"/>
      <c r="Y525" s="255" t="n"/>
      <c r="Z525" s="255" t="n"/>
    </row>
    <row r="526" ht="12.75" customHeight="1">
      <c r="A526" s="333" t="n"/>
      <c r="B526" s="255" t="n"/>
      <c r="C526" s="255" t="n"/>
      <c r="D526" s="255" t="n"/>
      <c r="E526" s="255" t="n"/>
      <c r="F526" s="255" t="n"/>
      <c r="G526" s="255" t="n"/>
      <c r="H526" s="255" t="n"/>
      <c r="I526" s="255" t="n"/>
      <c r="J526" s="255" t="n"/>
      <c r="K526" s="255" t="n"/>
      <c r="L526" s="255" t="n"/>
      <c r="M526" s="255" t="n"/>
      <c r="N526" s="255" t="n"/>
      <c r="O526" s="255" t="n"/>
      <c r="P526" s="255" t="n"/>
      <c r="Q526" s="255" t="n"/>
      <c r="R526" s="255" t="n"/>
      <c r="S526" s="255" t="n"/>
      <c r="T526" s="255" t="n"/>
      <c r="U526" s="255" t="n"/>
      <c r="V526" s="255" t="n"/>
      <c r="W526" s="255" t="n"/>
      <c r="X526" s="255" t="n"/>
      <c r="Y526" s="255" t="n"/>
      <c r="Z526" s="255" t="n"/>
    </row>
    <row r="527" ht="12.75" customHeight="1">
      <c r="A527" s="333" t="n"/>
      <c r="B527" s="255" t="n"/>
      <c r="C527" s="255" t="n"/>
      <c r="D527" s="255" t="n"/>
      <c r="E527" s="255" t="n"/>
      <c r="F527" s="255" t="n"/>
      <c r="G527" s="255" t="n"/>
      <c r="H527" s="255" t="n"/>
      <c r="I527" s="255" t="n"/>
      <c r="J527" s="255" t="n"/>
      <c r="K527" s="255" t="n"/>
      <c r="L527" s="255" t="n"/>
      <c r="M527" s="255" t="n"/>
      <c r="N527" s="255" t="n"/>
      <c r="O527" s="255" t="n"/>
      <c r="P527" s="255" t="n"/>
      <c r="Q527" s="255" t="n"/>
      <c r="R527" s="255" t="n"/>
      <c r="S527" s="255" t="n"/>
      <c r="T527" s="255" t="n"/>
      <c r="U527" s="255" t="n"/>
      <c r="V527" s="255" t="n"/>
      <c r="W527" s="255" t="n"/>
      <c r="X527" s="255" t="n"/>
      <c r="Y527" s="255" t="n"/>
      <c r="Z527" s="255" t="n"/>
    </row>
    <row r="528" ht="12.75" customHeight="1">
      <c r="A528" s="333" t="n"/>
      <c r="B528" s="255" t="n"/>
      <c r="C528" s="255" t="n"/>
      <c r="D528" s="255" t="n"/>
      <c r="E528" s="255" t="n"/>
      <c r="F528" s="255" t="n"/>
      <c r="G528" s="255" t="n"/>
      <c r="H528" s="255" t="n"/>
      <c r="I528" s="255" t="n"/>
      <c r="J528" s="255" t="n"/>
      <c r="K528" s="255" t="n"/>
      <c r="L528" s="255" t="n"/>
      <c r="M528" s="255" t="n"/>
      <c r="N528" s="255" t="n"/>
      <c r="O528" s="255" t="n"/>
      <c r="P528" s="255" t="n"/>
      <c r="Q528" s="255" t="n"/>
      <c r="R528" s="255" t="n"/>
      <c r="S528" s="255" t="n"/>
      <c r="T528" s="255" t="n"/>
      <c r="U528" s="255" t="n"/>
      <c r="V528" s="255" t="n"/>
      <c r="W528" s="255" t="n"/>
      <c r="X528" s="255" t="n"/>
      <c r="Y528" s="255" t="n"/>
      <c r="Z528" s="255" t="n"/>
    </row>
    <row r="529" ht="12.75" customHeight="1">
      <c r="A529" s="333" t="n"/>
      <c r="B529" s="255" t="n"/>
      <c r="C529" s="255" t="n"/>
      <c r="D529" s="255" t="n"/>
      <c r="E529" s="255" t="n"/>
      <c r="F529" s="255" t="n"/>
      <c r="G529" s="255" t="n"/>
      <c r="H529" s="255" t="n"/>
      <c r="I529" s="255" t="n"/>
      <c r="J529" s="255" t="n"/>
      <c r="K529" s="255" t="n"/>
      <c r="L529" s="255" t="n"/>
      <c r="M529" s="255" t="n"/>
      <c r="N529" s="255" t="n"/>
      <c r="O529" s="255" t="n"/>
      <c r="P529" s="255" t="n"/>
      <c r="Q529" s="255" t="n"/>
      <c r="R529" s="255" t="n"/>
      <c r="S529" s="255" t="n"/>
      <c r="T529" s="255" t="n"/>
      <c r="U529" s="255" t="n"/>
      <c r="V529" s="255" t="n"/>
      <c r="W529" s="255" t="n"/>
      <c r="X529" s="255" t="n"/>
      <c r="Y529" s="255" t="n"/>
      <c r="Z529" s="255" t="n"/>
    </row>
    <row r="530" ht="12.75" customHeight="1">
      <c r="A530" s="333" t="n"/>
      <c r="B530" s="255" t="n"/>
      <c r="C530" s="255" t="n"/>
      <c r="D530" s="255" t="n"/>
      <c r="E530" s="255" t="n"/>
      <c r="F530" s="255" t="n"/>
      <c r="G530" s="255" t="n"/>
      <c r="H530" s="255" t="n"/>
      <c r="I530" s="255" t="n"/>
      <c r="J530" s="255" t="n"/>
      <c r="K530" s="255" t="n"/>
      <c r="L530" s="255" t="n"/>
      <c r="M530" s="255" t="n"/>
      <c r="N530" s="255" t="n"/>
      <c r="O530" s="255" t="n"/>
      <c r="P530" s="255" t="n"/>
      <c r="Q530" s="255" t="n"/>
      <c r="R530" s="255" t="n"/>
      <c r="S530" s="255" t="n"/>
      <c r="T530" s="255" t="n"/>
      <c r="U530" s="255" t="n"/>
      <c r="V530" s="255" t="n"/>
      <c r="W530" s="255" t="n"/>
      <c r="X530" s="255" t="n"/>
      <c r="Y530" s="255" t="n"/>
      <c r="Z530" s="255" t="n"/>
    </row>
    <row r="531" ht="12.75" customHeight="1">
      <c r="A531" s="333" t="n"/>
      <c r="B531" s="255" t="n"/>
      <c r="C531" s="255" t="n"/>
      <c r="D531" s="255" t="n"/>
      <c r="E531" s="255" t="n"/>
      <c r="F531" s="255" t="n"/>
      <c r="G531" s="255" t="n"/>
      <c r="H531" s="255" t="n"/>
      <c r="I531" s="255" t="n"/>
      <c r="J531" s="255" t="n"/>
      <c r="K531" s="255" t="n"/>
      <c r="L531" s="255" t="n"/>
      <c r="M531" s="255" t="n"/>
      <c r="N531" s="255" t="n"/>
      <c r="O531" s="255" t="n"/>
      <c r="P531" s="255" t="n"/>
      <c r="Q531" s="255" t="n"/>
      <c r="R531" s="255" t="n"/>
      <c r="S531" s="255" t="n"/>
      <c r="T531" s="255" t="n"/>
      <c r="U531" s="255" t="n"/>
      <c r="V531" s="255" t="n"/>
      <c r="W531" s="255" t="n"/>
      <c r="X531" s="255" t="n"/>
      <c r="Y531" s="255" t="n"/>
      <c r="Z531" s="255" t="n"/>
    </row>
    <row r="532" ht="12.75" customHeight="1">
      <c r="A532" s="333" t="n"/>
      <c r="B532" s="255" t="n"/>
      <c r="C532" s="255" t="n"/>
      <c r="D532" s="255" t="n"/>
      <c r="E532" s="255" t="n"/>
      <c r="F532" s="255" t="n"/>
      <c r="G532" s="255" t="n"/>
      <c r="H532" s="255" t="n"/>
      <c r="I532" s="255" t="n"/>
      <c r="J532" s="255" t="n"/>
      <c r="K532" s="255" t="n"/>
      <c r="L532" s="255" t="n"/>
      <c r="M532" s="255" t="n"/>
      <c r="N532" s="255" t="n"/>
      <c r="O532" s="255" t="n"/>
      <c r="P532" s="255" t="n"/>
      <c r="Q532" s="255" t="n"/>
      <c r="R532" s="255" t="n"/>
      <c r="S532" s="255" t="n"/>
      <c r="T532" s="255" t="n"/>
      <c r="U532" s="255" t="n"/>
      <c r="V532" s="255" t="n"/>
      <c r="W532" s="255" t="n"/>
      <c r="X532" s="255" t="n"/>
      <c r="Y532" s="255" t="n"/>
      <c r="Z532" s="255" t="n"/>
    </row>
    <row r="533" ht="12.75" customHeight="1">
      <c r="A533" s="333" t="n"/>
      <c r="B533" s="255" t="n"/>
      <c r="C533" s="255" t="n"/>
      <c r="D533" s="255" t="n"/>
      <c r="E533" s="255" t="n"/>
      <c r="F533" s="255" t="n"/>
      <c r="G533" s="255" t="n"/>
      <c r="H533" s="255" t="n"/>
      <c r="I533" s="255" t="n"/>
      <c r="J533" s="255" t="n"/>
      <c r="K533" s="255" t="n"/>
      <c r="L533" s="255" t="n"/>
      <c r="M533" s="255" t="n"/>
      <c r="N533" s="255" t="n"/>
      <c r="O533" s="255" t="n"/>
      <c r="P533" s="255" t="n"/>
      <c r="Q533" s="255" t="n"/>
      <c r="R533" s="255" t="n"/>
      <c r="S533" s="255" t="n"/>
      <c r="T533" s="255" t="n"/>
      <c r="U533" s="255" t="n"/>
      <c r="V533" s="255" t="n"/>
      <c r="W533" s="255" t="n"/>
      <c r="X533" s="255" t="n"/>
      <c r="Y533" s="255" t="n"/>
      <c r="Z533" s="255" t="n"/>
    </row>
    <row r="534" ht="12.75" customHeight="1">
      <c r="A534" s="333" t="n"/>
      <c r="B534" s="255" t="n"/>
      <c r="C534" s="255" t="n"/>
      <c r="D534" s="255" t="n"/>
      <c r="E534" s="255" t="n"/>
      <c r="F534" s="255" t="n"/>
      <c r="G534" s="255" t="n"/>
      <c r="H534" s="255" t="n"/>
      <c r="I534" s="255" t="n"/>
      <c r="J534" s="255" t="n"/>
      <c r="K534" s="255" t="n"/>
      <c r="L534" s="255" t="n"/>
      <c r="M534" s="255" t="n"/>
      <c r="N534" s="255" t="n"/>
      <c r="O534" s="255" t="n"/>
      <c r="P534" s="255" t="n"/>
      <c r="Q534" s="255" t="n"/>
      <c r="R534" s="255" t="n"/>
      <c r="S534" s="255" t="n"/>
      <c r="T534" s="255" t="n"/>
      <c r="U534" s="255" t="n"/>
      <c r="V534" s="255" t="n"/>
      <c r="W534" s="255" t="n"/>
      <c r="X534" s="255" t="n"/>
      <c r="Y534" s="255" t="n"/>
      <c r="Z534" s="255" t="n"/>
    </row>
    <row r="535" ht="12.75" customHeight="1">
      <c r="A535" s="333" t="n"/>
      <c r="B535" s="255" t="n"/>
      <c r="C535" s="255" t="n"/>
      <c r="D535" s="255" t="n"/>
      <c r="E535" s="255" t="n"/>
      <c r="F535" s="255" t="n"/>
      <c r="G535" s="255" t="n"/>
      <c r="H535" s="255" t="n"/>
      <c r="I535" s="255" t="n"/>
      <c r="J535" s="255" t="n"/>
      <c r="K535" s="255" t="n"/>
      <c r="L535" s="255" t="n"/>
      <c r="M535" s="255" t="n"/>
      <c r="N535" s="255" t="n"/>
      <c r="O535" s="255" t="n"/>
      <c r="P535" s="255" t="n"/>
      <c r="Q535" s="255" t="n"/>
      <c r="R535" s="255" t="n"/>
      <c r="S535" s="255" t="n"/>
      <c r="T535" s="255" t="n"/>
      <c r="U535" s="255" t="n"/>
      <c r="V535" s="255" t="n"/>
      <c r="W535" s="255" t="n"/>
      <c r="X535" s="255" t="n"/>
      <c r="Y535" s="255" t="n"/>
      <c r="Z535" s="255" t="n"/>
    </row>
    <row r="536" ht="12.75" customHeight="1">
      <c r="A536" s="333" t="n"/>
      <c r="B536" s="255" t="n"/>
      <c r="C536" s="255" t="n"/>
      <c r="D536" s="255" t="n"/>
      <c r="E536" s="255" t="n"/>
      <c r="F536" s="255" t="n"/>
      <c r="G536" s="255" t="n"/>
      <c r="H536" s="255" t="n"/>
      <c r="I536" s="255" t="n"/>
      <c r="J536" s="255" t="n"/>
      <c r="K536" s="255" t="n"/>
      <c r="L536" s="255" t="n"/>
      <c r="M536" s="255" t="n"/>
      <c r="N536" s="255" t="n"/>
      <c r="O536" s="255" t="n"/>
      <c r="P536" s="255" t="n"/>
      <c r="Q536" s="255" t="n"/>
      <c r="R536" s="255" t="n"/>
      <c r="S536" s="255" t="n"/>
      <c r="T536" s="255" t="n"/>
      <c r="U536" s="255" t="n"/>
      <c r="V536" s="255" t="n"/>
      <c r="W536" s="255" t="n"/>
      <c r="X536" s="255" t="n"/>
      <c r="Y536" s="255" t="n"/>
      <c r="Z536" s="255" t="n"/>
    </row>
    <row r="537" ht="12.75" customHeight="1">
      <c r="A537" s="333" t="n"/>
      <c r="B537" s="255" t="n"/>
      <c r="C537" s="255" t="n"/>
      <c r="D537" s="255" t="n"/>
      <c r="E537" s="255" t="n"/>
      <c r="F537" s="255" t="n"/>
      <c r="G537" s="255" t="n"/>
      <c r="H537" s="255" t="n"/>
      <c r="I537" s="255" t="n"/>
      <c r="J537" s="255" t="n"/>
      <c r="K537" s="255" t="n"/>
      <c r="L537" s="255" t="n"/>
      <c r="M537" s="255" t="n"/>
      <c r="N537" s="255" t="n"/>
      <c r="O537" s="255" t="n"/>
      <c r="P537" s="255" t="n"/>
      <c r="Q537" s="255" t="n"/>
      <c r="R537" s="255" t="n"/>
      <c r="S537" s="255" t="n"/>
      <c r="T537" s="255" t="n"/>
      <c r="U537" s="255" t="n"/>
      <c r="V537" s="255" t="n"/>
      <c r="W537" s="255" t="n"/>
      <c r="X537" s="255" t="n"/>
      <c r="Y537" s="255" t="n"/>
      <c r="Z537" s="255" t="n"/>
    </row>
    <row r="538" ht="12.75" customHeight="1">
      <c r="A538" s="333" t="n"/>
      <c r="B538" s="255" t="n"/>
      <c r="C538" s="255" t="n"/>
      <c r="D538" s="255" t="n"/>
      <c r="E538" s="255" t="n"/>
      <c r="F538" s="255" t="n"/>
      <c r="G538" s="255" t="n"/>
      <c r="H538" s="255" t="n"/>
      <c r="I538" s="255" t="n"/>
      <c r="J538" s="255" t="n"/>
      <c r="K538" s="255" t="n"/>
      <c r="L538" s="255" t="n"/>
      <c r="M538" s="255" t="n"/>
      <c r="N538" s="255" t="n"/>
      <c r="O538" s="255" t="n"/>
      <c r="P538" s="255" t="n"/>
      <c r="Q538" s="255" t="n"/>
      <c r="R538" s="255" t="n"/>
      <c r="S538" s="255" t="n"/>
      <c r="T538" s="255" t="n"/>
      <c r="U538" s="255" t="n"/>
      <c r="V538" s="255" t="n"/>
      <c r="W538" s="255" t="n"/>
      <c r="X538" s="255" t="n"/>
      <c r="Y538" s="255" t="n"/>
      <c r="Z538" s="255" t="n"/>
    </row>
    <row r="539" ht="12.75" customHeight="1">
      <c r="A539" s="333" t="n"/>
      <c r="B539" s="255" t="n"/>
      <c r="C539" s="255" t="n"/>
      <c r="D539" s="255" t="n"/>
      <c r="E539" s="255" t="n"/>
      <c r="F539" s="255" t="n"/>
      <c r="G539" s="255" t="n"/>
      <c r="H539" s="255" t="n"/>
      <c r="I539" s="255" t="n"/>
      <c r="J539" s="255" t="n"/>
      <c r="K539" s="255" t="n"/>
      <c r="L539" s="255" t="n"/>
      <c r="M539" s="255" t="n"/>
      <c r="N539" s="255" t="n"/>
      <c r="O539" s="255" t="n"/>
      <c r="P539" s="255" t="n"/>
      <c r="Q539" s="255" t="n"/>
      <c r="R539" s="255" t="n"/>
      <c r="S539" s="255" t="n"/>
      <c r="T539" s="255" t="n"/>
      <c r="U539" s="255" t="n"/>
      <c r="V539" s="255" t="n"/>
      <c r="W539" s="255" t="n"/>
      <c r="X539" s="255" t="n"/>
      <c r="Y539" s="255" t="n"/>
      <c r="Z539" s="255" t="n"/>
    </row>
    <row r="540" ht="12.75" customHeight="1">
      <c r="A540" s="333" t="n"/>
      <c r="B540" s="255" t="n"/>
      <c r="C540" s="255" t="n"/>
      <c r="D540" s="255" t="n"/>
      <c r="E540" s="255" t="n"/>
      <c r="F540" s="255" t="n"/>
      <c r="G540" s="255" t="n"/>
      <c r="H540" s="255" t="n"/>
      <c r="I540" s="255" t="n"/>
      <c r="J540" s="255" t="n"/>
      <c r="K540" s="255" t="n"/>
      <c r="L540" s="255" t="n"/>
      <c r="M540" s="255" t="n"/>
      <c r="N540" s="255" t="n"/>
      <c r="O540" s="255" t="n"/>
      <c r="P540" s="255" t="n"/>
      <c r="Q540" s="255" t="n"/>
      <c r="R540" s="255" t="n"/>
      <c r="S540" s="255" t="n"/>
      <c r="T540" s="255" t="n"/>
      <c r="U540" s="255" t="n"/>
      <c r="V540" s="255" t="n"/>
      <c r="W540" s="255" t="n"/>
      <c r="X540" s="255" t="n"/>
      <c r="Y540" s="255" t="n"/>
      <c r="Z540" s="255" t="n"/>
    </row>
    <row r="541" ht="12.75" customHeight="1">
      <c r="A541" s="333" t="n"/>
      <c r="B541" s="255" t="n"/>
      <c r="C541" s="255" t="n"/>
      <c r="D541" s="255" t="n"/>
      <c r="E541" s="255" t="n"/>
      <c r="F541" s="255" t="n"/>
      <c r="G541" s="255" t="n"/>
      <c r="H541" s="255" t="n"/>
      <c r="I541" s="255" t="n"/>
      <c r="J541" s="255" t="n"/>
      <c r="K541" s="255" t="n"/>
      <c r="L541" s="255" t="n"/>
      <c r="M541" s="255" t="n"/>
      <c r="N541" s="255" t="n"/>
      <c r="O541" s="255" t="n"/>
      <c r="P541" s="255" t="n"/>
      <c r="Q541" s="255" t="n"/>
      <c r="R541" s="255" t="n"/>
      <c r="S541" s="255" t="n"/>
      <c r="T541" s="255" t="n"/>
      <c r="U541" s="255" t="n"/>
      <c r="V541" s="255" t="n"/>
      <c r="W541" s="255" t="n"/>
      <c r="X541" s="255" t="n"/>
      <c r="Y541" s="255" t="n"/>
      <c r="Z541" s="255" t="n"/>
    </row>
    <row r="542" ht="12.75" customHeight="1">
      <c r="A542" s="333" t="n"/>
      <c r="B542" s="255" t="n"/>
      <c r="C542" s="255" t="n"/>
      <c r="D542" s="255" t="n"/>
      <c r="E542" s="255" t="n"/>
      <c r="F542" s="255" t="n"/>
      <c r="G542" s="255" t="n"/>
      <c r="H542" s="255" t="n"/>
      <c r="I542" s="255" t="n"/>
      <c r="J542" s="255" t="n"/>
      <c r="K542" s="255" t="n"/>
      <c r="L542" s="255" t="n"/>
      <c r="M542" s="255" t="n"/>
      <c r="N542" s="255" t="n"/>
      <c r="O542" s="255" t="n"/>
      <c r="P542" s="255" t="n"/>
      <c r="Q542" s="255" t="n"/>
      <c r="R542" s="255" t="n"/>
      <c r="S542" s="255" t="n"/>
      <c r="T542" s="255" t="n"/>
      <c r="U542" s="255" t="n"/>
      <c r="V542" s="255" t="n"/>
      <c r="W542" s="255" t="n"/>
      <c r="X542" s="255" t="n"/>
      <c r="Y542" s="255" t="n"/>
      <c r="Z542" s="255" t="n"/>
    </row>
    <row r="543" ht="12.75" customHeight="1">
      <c r="A543" s="333" t="n"/>
      <c r="B543" s="255" t="n"/>
      <c r="C543" s="255" t="n"/>
      <c r="D543" s="255" t="n"/>
      <c r="E543" s="255" t="n"/>
      <c r="F543" s="255" t="n"/>
      <c r="G543" s="255" t="n"/>
      <c r="H543" s="255" t="n"/>
      <c r="I543" s="255" t="n"/>
      <c r="J543" s="255" t="n"/>
      <c r="K543" s="255" t="n"/>
      <c r="L543" s="255" t="n"/>
      <c r="M543" s="255" t="n"/>
      <c r="N543" s="255" t="n"/>
      <c r="O543" s="255" t="n"/>
      <c r="P543" s="255" t="n"/>
      <c r="Q543" s="255" t="n"/>
      <c r="R543" s="255" t="n"/>
      <c r="S543" s="255" t="n"/>
      <c r="T543" s="255" t="n"/>
      <c r="U543" s="255" t="n"/>
      <c r="V543" s="255" t="n"/>
      <c r="W543" s="255" t="n"/>
      <c r="X543" s="255" t="n"/>
      <c r="Y543" s="255" t="n"/>
      <c r="Z543" s="255" t="n"/>
    </row>
    <row r="544" ht="12.75" customHeight="1">
      <c r="A544" s="333" t="n"/>
      <c r="B544" s="255" t="n"/>
      <c r="C544" s="255" t="n"/>
      <c r="D544" s="255" t="n"/>
      <c r="E544" s="255" t="n"/>
      <c r="F544" s="255" t="n"/>
      <c r="G544" s="255" t="n"/>
      <c r="H544" s="255" t="n"/>
      <c r="I544" s="255" t="n"/>
      <c r="J544" s="255" t="n"/>
      <c r="K544" s="255" t="n"/>
      <c r="L544" s="255" t="n"/>
      <c r="M544" s="255" t="n"/>
      <c r="N544" s="255" t="n"/>
      <c r="O544" s="255" t="n"/>
      <c r="P544" s="255" t="n"/>
      <c r="Q544" s="255" t="n"/>
      <c r="R544" s="255" t="n"/>
      <c r="S544" s="255" t="n"/>
      <c r="T544" s="255" t="n"/>
      <c r="U544" s="255" t="n"/>
      <c r="V544" s="255" t="n"/>
      <c r="W544" s="255" t="n"/>
      <c r="X544" s="255" t="n"/>
      <c r="Y544" s="255" t="n"/>
      <c r="Z544" s="255" t="n"/>
    </row>
    <row r="545" ht="12.75" customHeight="1">
      <c r="A545" s="333" t="n"/>
      <c r="B545" s="255" t="n"/>
      <c r="C545" s="255" t="n"/>
      <c r="D545" s="255" t="n"/>
      <c r="E545" s="255" t="n"/>
      <c r="F545" s="255" t="n"/>
      <c r="G545" s="255" t="n"/>
      <c r="H545" s="255" t="n"/>
      <c r="I545" s="255" t="n"/>
      <c r="J545" s="255" t="n"/>
      <c r="K545" s="255" t="n"/>
      <c r="L545" s="255" t="n"/>
      <c r="M545" s="255" t="n"/>
      <c r="N545" s="255" t="n"/>
      <c r="O545" s="255" t="n"/>
      <c r="P545" s="255" t="n"/>
      <c r="Q545" s="255" t="n"/>
      <c r="R545" s="255" t="n"/>
      <c r="S545" s="255" t="n"/>
      <c r="T545" s="255" t="n"/>
      <c r="U545" s="255" t="n"/>
      <c r="V545" s="255" t="n"/>
      <c r="W545" s="255" t="n"/>
      <c r="X545" s="255" t="n"/>
      <c r="Y545" s="255" t="n"/>
      <c r="Z545" s="255" t="n"/>
    </row>
    <row r="546" ht="12.75" customHeight="1">
      <c r="A546" s="333" t="n"/>
      <c r="B546" s="255" t="n"/>
      <c r="C546" s="255" t="n"/>
      <c r="D546" s="255" t="n"/>
      <c r="E546" s="255" t="n"/>
      <c r="F546" s="255" t="n"/>
      <c r="G546" s="255" t="n"/>
      <c r="H546" s="255" t="n"/>
      <c r="I546" s="255" t="n"/>
      <c r="J546" s="255" t="n"/>
      <c r="K546" s="255" t="n"/>
      <c r="L546" s="255" t="n"/>
      <c r="M546" s="255" t="n"/>
      <c r="N546" s="255" t="n"/>
      <c r="O546" s="255" t="n"/>
      <c r="P546" s="255" t="n"/>
      <c r="Q546" s="255" t="n"/>
      <c r="R546" s="255" t="n"/>
      <c r="S546" s="255" t="n"/>
      <c r="T546" s="255" t="n"/>
      <c r="U546" s="255" t="n"/>
      <c r="V546" s="255" t="n"/>
      <c r="W546" s="255" t="n"/>
      <c r="X546" s="255" t="n"/>
      <c r="Y546" s="255" t="n"/>
      <c r="Z546" s="255" t="n"/>
    </row>
    <row r="547" ht="12.75" customHeight="1">
      <c r="A547" s="333" t="n"/>
      <c r="B547" s="255" t="n"/>
      <c r="C547" s="255" t="n"/>
      <c r="D547" s="255" t="n"/>
      <c r="E547" s="255" t="n"/>
      <c r="F547" s="255" t="n"/>
      <c r="G547" s="255" t="n"/>
      <c r="H547" s="255" t="n"/>
      <c r="I547" s="255" t="n"/>
      <c r="J547" s="255" t="n"/>
      <c r="K547" s="255" t="n"/>
      <c r="L547" s="255" t="n"/>
      <c r="M547" s="255" t="n"/>
      <c r="N547" s="255" t="n"/>
      <c r="O547" s="255" t="n"/>
      <c r="P547" s="255" t="n"/>
      <c r="Q547" s="255" t="n"/>
      <c r="R547" s="255" t="n"/>
      <c r="S547" s="255" t="n"/>
      <c r="T547" s="255" t="n"/>
      <c r="U547" s="255" t="n"/>
      <c r="V547" s="255" t="n"/>
      <c r="W547" s="255" t="n"/>
      <c r="X547" s="255" t="n"/>
      <c r="Y547" s="255" t="n"/>
      <c r="Z547" s="255" t="n"/>
    </row>
    <row r="548" ht="12.75" customHeight="1">
      <c r="A548" s="333" t="n"/>
      <c r="B548" s="255" t="n"/>
      <c r="C548" s="255" t="n"/>
      <c r="D548" s="255" t="n"/>
      <c r="E548" s="255" t="n"/>
      <c r="F548" s="255" t="n"/>
      <c r="G548" s="255" t="n"/>
      <c r="H548" s="255" t="n"/>
      <c r="I548" s="255" t="n"/>
      <c r="J548" s="255" t="n"/>
      <c r="K548" s="255" t="n"/>
      <c r="L548" s="255" t="n"/>
      <c r="M548" s="255" t="n"/>
      <c r="N548" s="255" t="n"/>
      <c r="O548" s="255" t="n"/>
      <c r="P548" s="255" t="n"/>
      <c r="Q548" s="255" t="n"/>
      <c r="R548" s="255" t="n"/>
      <c r="S548" s="255" t="n"/>
      <c r="T548" s="255" t="n"/>
      <c r="U548" s="255" t="n"/>
      <c r="V548" s="255" t="n"/>
      <c r="W548" s="255" t="n"/>
      <c r="X548" s="255" t="n"/>
      <c r="Y548" s="255" t="n"/>
      <c r="Z548" s="255" t="n"/>
    </row>
    <row r="549" ht="12.75" customHeight="1">
      <c r="A549" s="333" t="n"/>
      <c r="B549" s="255" t="n"/>
      <c r="C549" s="255" t="n"/>
      <c r="D549" s="255" t="n"/>
      <c r="E549" s="255" t="n"/>
      <c r="F549" s="255" t="n"/>
      <c r="G549" s="255" t="n"/>
      <c r="H549" s="255" t="n"/>
      <c r="I549" s="255" t="n"/>
      <c r="J549" s="255" t="n"/>
      <c r="K549" s="255" t="n"/>
      <c r="L549" s="255" t="n"/>
      <c r="M549" s="255" t="n"/>
      <c r="N549" s="255" t="n"/>
      <c r="O549" s="255" t="n"/>
      <c r="P549" s="255" t="n"/>
      <c r="Q549" s="255" t="n"/>
      <c r="R549" s="255" t="n"/>
      <c r="S549" s="255" t="n"/>
      <c r="T549" s="255" t="n"/>
      <c r="U549" s="255" t="n"/>
      <c r="V549" s="255" t="n"/>
      <c r="W549" s="255" t="n"/>
      <c r="X549" s="255" t="n"/>
      <c r="Y549" s="255" t="n"/>
      <c r="Z549" s="255" t="n"/>
    </row>
    <row r="550" ht="12.75" customHeight="1">
      <c r="A550" s="333" t="n"/>
      <c r="B550" s="255" t="n"/>
      <c r="C550" s="255" t="n"/>
      <c r="D550" s="255" t="n"/>
      <c r="E550" s="255" t="n"/>
      <c r="F550" s="255" t="n"/>
      <c r="G550" s="255" t="n"/>
      <c r="H550" s="255" t="n"/>
      <c r="I550" s="255" t="n"/>
      <c r="J550" s="255" t="n"/>
      <c r="K550" s="255" t="n"/>
      <c r="L550" s="255" t="n"/>
      <c r="M550" s="255" t="n"/>
      <c r="N550" s="255" t="n"/>
      <c r="O550" s="255" t="n"/>
      <c r="P550" s="255" t="n"/>
      <c r="Q550" s="255" t="n"/>
      <c r="R550" s="255" t="n"/>
      <c r="S550" s="255" t="n"/>
      <c r="T550" s="255" t="n"/>
      <c r="U550" s="255" t="n"/>
      <c r="V550" s="255" t="n"/>
      <c r="W550" s="255" t="n"/>
      <c r="X550" s="255" t="n"/>
      <c r="Y550" s="255" t="n"/>
      <c r="Z550" s="255" t="n"/>
    </row>
    <row r="551" ht="12.75" customHeight="1">
      <c r="A551" s="333" t="n"/>
      <c r="B551" s="255" t="n"/>
      <c r="C551" s="255" t="n"/>
      <c r="D551" s="255" t="n"/>
      <c r="E551" s="255" t="n"/>
      <c r="F551" s="255" t="n"/>
      <c r="G551" s="255" t="n"/>
      <c r="H551" s="255" t="n"/>
      <c r="I551" s="255" t="n"/>
      <c r="J551" s="255" t="n"/>
      <c r="K551" s="255" t="n"/>
      <c r="L551" s="255" t="n"/>
      <c r="M551" s="255" t="n"/>
      <c r="N551" s="255" t="n"/>
      <c r="O551" s="255" t="n"/>
      <c r="P551" s="255" t="n"/>
      <c r="Q551" s="255" t="n"/>
      <c r="R551" s="255" t="n"/>
      <c r="S551" s="255" t="n"/>
      <c r="T551" s="255" t="n"/>
      <c r="U551" s="255" t="n"/>
      <c r="V551" s="255" t="n"/>
      <c r="W551" s="255" t="n"/>
      <c r="X551" s="255" t="n"/>
      <c r="Y551" s="255" t="n"/>
      <c r="Z551" s="255" t="n"/>
    </row>
    <row r="552" ht="12.75" customHeight="1">
      <c r="A552" s="333" t="n"/>
      <c r="B552" s="255" t="n"/>
      <c r="C552" s="255" t="n"/>
      <c r="D552" s="255" t="n"/>
      <c r="E552" s="255" t="n"/>
      <c r="F552" s="255" t="n"/>
      <c r="G552" s="255" t="n"/>
      <c r="H552" s="255" t="n"/>
      <c r="I552" s="255" t="n"/>
      <c r="J552" s="255" t="n"/>
      <c r="K552" s="255" t="n"/>
      <c r="L552" s="255" t="n"/>
      <c r="M552" s="255" t="n"/>
      <c r="N552" s="255" t="n"/>
      <c r="O552" s="255" t="n"/>
      <c r="P552" s="255" t="n"/>
      <c r="Q552" s="255" t="n"/>
      <c r="R552" s="255" t="n"/>
      <c r="S552" s="255" t="n"/>
      <c r="T552" s="255" t="n"/>
      <c r="U552" s="255" t="n"/>
      <c r="V552" s="255" t="n"/>
      <c r="W552" s="255" t="n"/>
      <c r="X552" s="255" t="n"/>
      <c r="Y552" s="255" t="n"/>
      <c r="Z552" s="255" t="n"/>
    </row>
    <row r="553" ht="12.75" customHeight="1">
      <c r="A553" s="333" t="n"/>
      <c r="B553" s="255" t="n"/>
      <c r="C553" s="255" t="n"/>
      <c r="D553" s="255" t="n"/>
      <c r="E553" s="255" t="n"/>
      <c r="F553" s="255" t="n"/>
      <c r="G553" s="255" t="n"/>
      <c r="H553" s="255" t="n"/>
      <c r="I553" s="255" t="n"/>
      <c r="J553" s="255" t="n"/>
      <c r="K553" s="255" t="n"/>
      <c r="L553" s="255" t="n"/>
      <c r="M553" s="255" t="n"/>
      <c r="N553" s="255" t="n"/>
      <c r="O553" s="255" t="n"/>
      <c r="P553" s="255" t="n"/>
      <c r="Q553" s="255" t="n"/>
      <c r="R553" s="255" t="n"/>
      <c r="S553" s="255" t="n"/>
      <c r="T553" s="255" t="n"/>
      <c r="U553" s="255" t="n"/>
      <c r="V553" s="255" t="n"/>
      <c r="W553" s="255" t="n"/>
      <c r="X553" s="255" t="n"/>
      <c r="Y553" s="255" t="n"/>
      <c r="Z553" s="255" t="n"/>
    </row>
    <row r="554" ht="12.75" customHeight="1">
      <c r="A554" s="333" t="n"/>
      <c r="B554" s="255" t="n"/>
      <c r="C554" s="255" t="n"/>
      <c r="D554" s="255" t="n"/>
      <c r="E554" s="255" t="n"/>
      <c r="F554" s="255" t="n"/>
      <c r="G554" s="255" t="n"/>
      <c r="H554" s="255" t="n"/>
      <c r="I554" s="255" t="n"/>
      <c r="J554" s="255" t="n"/>
      <c r="K554" s="255" t="n"/>
      <c r="L554" s="255" t="n"/>
      <c r="M554" s="255" t="n"/>
      <c r="N554" s="255" t="n"/>
      <c r="O554" s="255" t="n"/>
      <c r="P554" s="255" t="n"/>
      <c r="Q554" s="255" t="n"/>
      <c r="R554" s="255" t="n"/>
      <c r="S554" s="255" t="n"/>
      <c r="T554" s="255" t="n"/>
      <c r="U554" s="255" t="n"/>
      <c r="V554" s="255" t="n"/>
      <c r="W554" s="255" t="n"/>
      <c r="X554" s="255" t="n"/>
      <c r="Y554" s="255" t="n"/>
      <c r="Z554" s="255" t="n"/>
    </row>
    <row r="555" ht="12.75" customHeight="1">
      <c r="A555" s="333" t="n"/>
      <c r="B555" s="255" t="n"/>
      <c r="C555" s="255" t="n"/>
      <c r="D555" s="255" t="n"/>
      <c r="E555" s="255" t="n"/>
      <c r="F555" s="255" t="n"/>
      <c r="G555" s="255" t="n"/>
      <c r="H555" s="255" t="n"/>
      <c r="I555" s="255" t="n"/>
      <c r="J555" s="255" t="n"/>
      <c r="K555" s="255" t="n"/>
      <c r="L555" s="255" t="n"/>
      <c r="M555" s="255" t="n"/>
      <c r="N555" s="255" t="n"/>
      <c r="O555" s="255" t="n"/>
      <c r="P555" s="255" t="n"/>
      <c r="Q555" s="255" t="n"/>
      <c r="R555" s="255" t="n"/>
      <c r="S555" s="255" t="n"/>
      <c r="T555" s="255" t="n"/>
      <c r="U555" s="255" t="n"/>
      <c r="V555" s="255" t="n"/>
      <c r="W555" s="255" t="n"/>
      <c r="X555" s="255" t="n"/>
      <c r="Y555" s="255" t="n"/>
      <c r="Z555" s="255" t="n"/>
    </row>
    <row r="556" ht="12.75" customHeight="1">
      <c r="A556" s="333" t="n"/>
      <c r="B556" s="255" t="n"/>
      <c r="C556" s="255" t="n"/>
      <c r="D556" s="255" t="n"/>
      <c r="E556" s="255" t="n"/>
      <c r="F556" s="255" t="n"/>
      <c r="G556" s="255" t="n"/>
      <c r="H556" s="255" t="n"/>
      <c r="I556" s="255" t="n"/>
      <c r="J556" s="255" t="n"/>
      <c r="K556" s="255" t="n"/>
      <c r="L556" s="255" t="n"/>
      <c r="M556" s="255" t="n"/>
      <c r="N556" s="255" t="n"/>
      <c r="O556" s="255" t="n"/>
      <c r="P556" s="255" t="n"/>
      <c r="Q556" s="255" t="n"/>
      <c r="R556" s="255" t="n"/>
      <c r="S556" s="255" t="n"/>
      <c r="T556" s="255" t="n"/>
      <c r="U556" s="255" t="n"/>
      <c r="V556" s="255" t="n"/>
      <c r="W556" s="255" t="n"/>
      <c r="X556" s="255" t="n"/>
      <c r="Y556" s="255" t="n"/>
      <c r="Z556" s="255" t="n"/>
    </row>
    <row r="557" ht="12.75" customHeight="1">
      <c r="A557" s="333" t="n"/>
      <c r="B557" s="255" t="n"/>
      <c r="C557" s="255" t="n"/>
      <c r="D557" s="255" t="n"/>
      <c r="E557" s="255" t="n"/>
      <c r="F557" s="255" t="n"/>
      <c r="G557" s="255" t="n"/>
      <c r="H557" s="255" t="n"/>
      <c r="I557" s="255" t="n"/>
      <c r="J557" s="255" t="n"/>
      <c r="K557" s="255" t="n"/>
      <c r="L557" s="255" t="n"/>
      <c r="M557" s="255" t="n"/>
      <c r="N557" s="255" t="n"/>
      <c r="O557" s="255" t="n"/>
      <c r="P557" s="255" t="n"/>
      <c r="Q557" s="255" t="n"/>
      <c r="R557" s="255" t="n"/>
      <c r="S557" s="255" t="n"/>
      <c r="T557" s="255" t="n"/>
      <c r="U557" s="255" t="n"/>
      <c r="V557" s="255" t="n"/>
      <c r="W557" s="255" t="n"/>
      <c r="X557" s="255" t="n"/>
      <c r="Y557" s="255" t="n"/>
      <c r="Z557" s="255" t="n"/>
    </row>
    <row r="558" ht="12.75" customHeight="1">
      <c r="A558" s="333" t="n"/>
      <c r="B558" s="255" t="n"/>
      <c r="C558" s="255" t="n"/>
      <c r="D558" s="255" t="n"/>
      <c r="E558" s="255" t="n"/>
      <c r="F558" s="255" t="n"/>
      <c r="G558" s="255" t="n"/>
      <c r="H558" s="255" t="n"/>
      <c r="I558" s="255" t="n"/>
      <c r="J558" s="255" t="n"/>
      <c r="K558" s="255" t="n"/>
      <c r="L558" s="255" t="n"/>
      <c r="M558" s="255" t="n"/>
      <c r="N558" s="255" t="n"/>
      <c r="O558" s="255" t="n"/>
      <c r="P558" s="255" t="n"/>
      <c r="Q558" s="255" t="n"/>
      <c r="R558" s="255" t="n"/>
      <c r="S558" s="255" t="n"/>
      <c r="T558" s="255" t="n"/>
      <c r="U558" s="255" t="n"/>
      <c r="V558" s="255" t="n"/>
      <c r="W558" s="255" t="n"/>
      <c r="X558" s="255" t="n"/>
      <c r="Y558" s="255" t="n"/>
      <c r="Z558" s="255" t="n"/>
    </row>
    <row r="559" ht="12.75" customHeight="1">
      <c r="A559" s="333" t="n"/>
      <c r="B559" s="255" t="n"/>
      <c r="C559" s="255" t="n"/>
      <c r="D559" s="255" t="n"/>
      <c r="E559" s="255" t="n"/>
      <c r="F559" s="255" t="n"/>
      <c r="G559" s="255" t="n"/>
      <c r="H559" s="255" t="n"/>
      <c r="I559" s="255" t="n"/>
      <c r="J559" s="255" t="n"/>
      <c r="K559" s="255" t="n"/>
      <c r="L559" s="255" t="n"/>
      <c r="M559" s="255" t="n"/>
      <c r="N559" s="255" t="n"/>
      <c r="O559" s="255" t="n"/>
      <c r="P559" s="255" t="n"/>
      <c r="Q559" s="255" t="n"/>
      <c r="R559" s="255" t="n"/>
      <c r="S559" s="255" t="n"/>
      <c r="T559" s="255" t="n"/>
      <c r="U559" s="255" t="n"/>
      <c r="V559" s="255" t="n"/>
      <c r="W559" s="255" t="n"/>
      <c r="X559" s="255" t="n"/>
      <c r="Y559" s="255" t="n"/>
      <c r="Z559" s="255" t="n"/>
    </row>
    <row r="560" ht="12.75" customHeight="1">
      <c r="A560" s="333" t="n"/>
      <c r="B560" s="255" t="n"/>
      <c r="C560" s="255" t="n"/>
      <c r="D560" s="255" t="n"/>
      <c r="E560" s="255" t="n"/>
      <c r="F560" s="255" t="n"/>
      <c r="G560" s="255" t="n"/>
      <c r="H560" s="255" t="n"/>
      <c r="I560" s="255" t="n"/>
      <c r="J560" s="255" t="n"/>
      <c r="K560" s="255" t="n"/>
      <c r="L560" s="255" t="n"/>
      <c r="M560" s="255" t="n"/>
      <c r="N560" s="255" t="n"/>
      <c r="O560" s="255" t="n"/>
      <c r="P560" s="255" t="n"/>
      <c r="Q560" s="255" t="n"/>
      <c r="R560" s="255" t="n"/>
      <c r="S560" s="255" t="n"/>
      <c r="T560" s="255" t="n"/>
      <c r="U560" s="255" t="n"/>
      <c r="V560" s="255" t="n"/>
      <c r="W560" s="255" t="n"/>
      <c r="X560" s="255" t="n"/>
      <c r="Y560" s="255" t="n"/>
      <c r="Z560" s="255" t="n"/>
    </row>
    <row r="561" ht="12.75" customHeight="1">
      <c r="A561" s="333" t="n"/>
      <c r="B561" s="255" t="n"/>
      <c r="C561" s="255" t="n"/>
      <c r="D561" s="255" t="n"/>
      <c r="E561" s="255" t="n"/>
      <c r="F561" s="255" t="n"/>
      <c r="G561" s="255" t="n"/>
      <c r="H561" s="255" t="n"/>
      <c r="I561" s="255" t="n"/>
      <c r="J561" s="255" t="n"/>
      <c r="K561" s="255" t="n"/>
      <c r="L561" s="255" t="n"/>
      <c r="M561" s="255" t="n"/>
      <c r="N561" s="255" t="n"/>
      <c r="O561" s="255" t="n"/>
      <c r="P561" s="255" t="n"/>
      <c r="Q561" s="255" t="n"/>
      <c r="R561" s="255" t="n"/>
      <c r="S561" s="255" t="n"/>
      <c r="T561" s="255" t="n"/>
      <c r="U561" s="255" t="n"/>
      <c r="V561" s="255" t="n"/>
      <c r="W561" s="255" t="n"/>
      <c r="X561" s="255" t="n"/>
      <c r="Y561" s="255" t="n"/>
      <c r="Z561" s="255" t="n"/>
    </row>
    <row r="562" ht="12.75" customHeight="1">
      <c r="A562" s="333" t="n"/>
      <c r="B562" s="255" t="n"/>
      <c r="C562" s="255" t="n"/>
      <c r="D562" s="255" t="n"/>
      <c r="E562" s="255" t="n"/>
      <c r="F562" s="255" t="n"/>
      <c r="G562" s="255" t="n"/>
      <c r="H562" s="255" t="n"/>
      <c r="I562" s="255" t="n"/>
      <c r="J562" s="255" t="n"/>
      <c r="K562" s="255" t="n"/>
      <c r="L562" s="255" t="n"/>
      <c r="M562" s="255" t="n"/>
      <c r="N562" s="255" t="n"/>
      <c r="O562" s="255" t="n"/>
      <c r="P562" s="255" t="n"/>
      <c r="Q562" s="255" t="n"/>
      <c r="R562" s="255" t="n"/>
      <c r="S562" s="255" t="n"/>
      <c r="T562" s="255" t="n"/>
      <c r="U562" s="255" t="n"/>
      <c r="V562" s="255" t="n"/>
      <c r="W562" s="255" t="n"/>
      <c r="X562" s="255" t="n"/>
      <c r="Y562" s="255" t="n"/>
      <c r="Z562" s="255" t="n"/>
    </row>
    <row r="563" ht="12.75" customHeight="1">
      <c r="A563" s="333" t="n"/>
      <c r="B563" s="255" t="n"/>
      <c r="C563" s="255" t="n"/>
      <c r="D563" s="255" t="n"/>
      <c r="E563" s="255" t="n"/>
      <c r="F563" s="255" t="n"/>
      <c r="G563" s="255" t="n"/>
      <c r="H563" s="255" t="n"/>
      <c r="I563" s="255" t="n"/>
      <c r="J563" s="255" t="n"/>
      <c r="K563" s="255" t="n"/>
      <c r="L563" s="255" t="n"/>
      <c r="M563" s="255" t="n"/>
      <c r="N563" s="255" t="n"/>
      <c r="O563" s="255" t="n"/>
      <c r="P563" s="255" t="n"/>
      <c r="Q563" s="255" t="n"/>
      <c r="R563" s="255" t="n"/>
      <c r="S563" s="255" t="n"/>
      <c r="T563" s="255" t="n"/>
      <c r="U563" s="255" t="n"/>
      <c r="V563" s="255" t="n"/>
      <c r="W563" s="255" t="n"/>
      <c r="X563" s="255" t="n"/>
      <c r="Y563" s="255" t="n"/>
      <c r="Z563" s="255" t="n"/>
    </row>
    <row r="564" ht="12.75" customHeight="1">
      <c r="A564" s="333" t="n"/>
      <c r="B564" s="255" t="n"/>
      <c r="C564" s="255" t="n"/>
      <c r="D564" s="255" t="n"/>
      <c r="E564" s="255" t="n"/>
      <c r="F564" s="255" t="n"/>
      <c r="G564" s="255" t="n"/>
      <c r="H564" s="255" t="n"/>
      <c r="I564" s="255" t="n"/>
      <c r="J564" s="255" t="n"/>
      <c r="K564" s="255" t="n"/>
      <c r="L564" s="255" t="n"/>
      <c r="M564" s="255" t="n"/>
      <c r="N564" s="255" t="n"/>
      <c r="O564" s="255" t="n"/>
      <c r="P564" s="255" t="n"/>
      <c r="Q564" s="255" t="n"/>
      <c r="R564" s="255" t="n"/>
      <c r="S564" s="255" t="n"/>
      <c r="T564" s="255" t="n"/>
      <c r="U564" s="255" t="n"/>
      <c r="V564" s="255" t="n"/>
      <c r="W564" s="255" t="n"/>
      <c r="X564" s="255" t="n"/>
      <c r="Y564" s="255" t="n"/>
      <c r="Z564" s="255" t="n"/>
    </row>
    <row r="565" ht="12.75" customHeight="1">
      <c r="A565" s="333" t="n"/>
      <c r="B565" s="255" t="n"/>
      <c r="C565" s="255" t="n"/>
      <c r="D565" s="255" t="n"/>
      <c r="E565" s="255" t="n"/>
      <c r="F565" s="255" t="n"/>
      <c r="G565" s="255" t="n"/>
      <c r="H565" s="255" t="n"/>
      <c r="I565" s="255" t="n"/>
      <c r="J565" s="255" t="n"/>
      <c r="K565" s="255" t="n"/>
      <c r="L565" s="255" t="n"/>
      <c r="M565" s="255" t="n"/>
      <c r="N565" s="255" t="n"/>
      <c r="O565" s="255" t="n"/>
      <c r="P565" s="255" t="n"/>
      <c r="Q565" s="255" t="n"/>
      <c r="R565" s="255" t="n"/>
      <c r="S565" s="255" t="n"/>
      <c r="T565" s="255" t="n"/>
      <c r="U565" s="255" t="n"/>
      <c r="V565" s="255" t="n"/>
      <c r="W565" s="255" t="n"/>
      <c r="X565" s="255" t="n"/>
      <c r="Y565" s="255" t="n"/>
      <c r="Z565" s="255" t="n"/>
    </row>
    <row r="566" ht="12.75" customHeight="1">
      <c r="A566" s="333" t="n"/>
      <c r="B566" s="255" t="n"/>
      <c r="C566" s="255" t="n"/>
      <c r="D566" s="255" t="n"/>
      <c r="E566" s="255" t="n"/>
      <c r="F566" s="255" t="n"/>
      <c r="G566" s="255" t="n"/>
      <c r="H566" s="255" t="n"/>
      <c r="I566" s="255" t="n"/>
      <c r="J566" s="255" t="n"/>
      <c r="K566" s="255" t="n"/>
      <c r="L566" s="255" t="n"/>
      <c r="M566" s="255" t="n"/>
      <c r="N566" s="255" t="n"/>
      <c r="O566" s="255" t="n"/>
      <c r="P566" s="255" t="n"/>
      <c r="Q566" s="255" t="n"/>
      <c r="R566" s="255" t="n"/>
      <c r="S566" s="255" t="n"/>
      <c r="T566" s="255" t="n"/>
      <c r="U566" s="255" t="n"/>
      <c r="V566" s="255" t="n"/>
      <c r="W566" s="255" t="n"/>
      <c r="X566" s="255" t="n"/>
      <c r="Y566" s="255" t="n"/>
      <c r="Z566" s="255" t="n"/>
    </row>
    <row r="567" ht="12.75" customHeight="1">
      <c r="A567" s="333" t="n"/>
      <c r="B567" s="255" t="n"/>
      <c r="C567" s="255" t="n"/>
      <c r="D567" s="255" t="n"/>
      <c r="E567" s="255" t="n"/>
      <c r="F567" s="255" t="n"/>
      <c r="G567" s="255" t="n"/>
      <c r="H567" s="255" t="n"/>
      <c r="I567" s="255" t="n"/>
      <c r="J567" s="255" t="n"/>
      <c r="K567" s="255" t="n"/>
      <c r="L567" s="255" t="n"/>
      <c r="M567" s="255" t="n"/>
      <c r="N567" s="255" t="n"/>
      <c r="O567" s="255" t="n"/>
      <c r="P567" s="255" t="n"/>
      <c r="Q567" s="255" t="n"/>
      <c r="R567" s="255" t="n"/>
      <c r="S567" s="255" t="n"/>
      <c r="T567" s="255" t="n"/>
      <c r="U567" s="255" t="n"/>
      <c r="V567" s="255" t="n"/>
      <c r="W567" s="255" t="n"/>
      <c r="X567" s="255" t="n"/>
      <c r="Y567" s="255" t="n"/>
      <c r="Z567" s="255" t="n"/>
    </row>
    <row r="568" ht="12.75" customHeight="1">
      <c r="A568" s="333" t="n"/>
      <c r="B568" s="255" t="n"/>
      <c r="C568" s="255" t="n"/>
      <c r="D568" s="255" t="n"/>
      <c r="E568" s="255" t="n"/>
      <c r="F568" s="255" t="n"/>
      <c r="G568" s="255" t="n"/>
      <c r="H568" s="255" t="n"/>
      <c r="I568" s="255" t="n"/>
      <c r="J568" s="255" t="n"/>
      <c r="K568" s="255" t="n"/>
      <c r="L568" s="255" t="n"/>
      <c r="M568" s="255" t="n"/>
      <c r="N568" s="255" t="n"/>
      <c r="O568" s="255" t="n"/>
      <c r="P568" s="255" t="n"/>
      <c r="Q568" s="255" t="n"/>
      <c r="R568" s="255" t="n"/>
      <c r="S568" s="255" t="n"/>
      <c r="T568" s="255" t="n"/>
      <c r="U568" s="255" t="n"/>
      <c r="V568" s="255" t="n"/>
      <c r="W568" s="255" t="n"/>
      <c r="X568" s="255" t="n"/>
      <c r="Y568" s="255" t="n"/>
      <c r="Z568" s="255" t="n"/>
    </row>
    <row r="569" ht="12.75" customHeight="1">
      <c r="A569" s="333" t="n"/>
      <c r="B569" s="255" t="n"/>
      <c r="C569" s="255" t="n"/>
      <c r="D569" s="255" t="n"/>
      <c r="E569" s="255" t="n"/>
      <c r="F569" s="255" t="n"/>
      <c r="G569" s="255" t="n"/>
      <c r="H569" s="255" t="n"/>
      <c r="I569" s="255" t="n"/>
      <c r="J569" s="255" t="n"/>
      <c r="K569" s="255" t="n"/>
      <c r="L569" s="255" t="n"/>
      <c r="M569" s="255" t="n"/>
      <c r="N569" s="255" t="n"/>
      <c r="O569" s="255" t="n"/>
      <c r="P569" s="255" t="n"/>
      <c r="Q569" s="255" t="n"/>
      <c r="R569" s="255" t="n"/>
      <c r="S569" s="255" t="n"/>
      <c r="T569" s="255" t="n"/>
      <c r="U569" s="255" t="n"/>
      <c r="V569" s="255" t="n"/>
      <c r="W569" s="255" t="n"/>
      <c r="X569" s="255" t="n"/>
      <c r="Y569" s="255" t="n"/>
      <c r="Z569" s="255" t="n"/>
    </row>
    <row r="570" ht="12.75" customHeight="1">
      <c r="A570" s="333" t="n"/>
      <c r="B570" s="255" t="n"/>
      <c r="C570" s="255" t="n"/>
      <c r="D570" s="255" t="n"/>
      <c r="E570" s="255" t="n"/>
      <c r="F570" s="255" t="n"/>
      <c r="G570" s="255" t="n"/>
      <c r="H570" s="255" t="n"/>
      <c r="I570" s="255" t="n"/>
      <c r="J570" s="255" t="n"/>
      <c r="K570" s="255" t="n"/>
      <c r="L570" s="255" t="n"/>
      <c r="M570" s="255" t="n"/>
      <c r="N570" s="255" t="n"/>
      <c r="O570" s="255" t="n"/>
      <c r="P570" s="255" t="n"/>
      <c r="Q570" s="255" t="n"/>
      <c r="R570" s="255" t="n"/>
      <c r="S570" s="255" t="n"/>
      <c r="T570" s="255" t="n"/>
      <c r="U570" s="255" t="n"/>
      <c r="V570" s="255" t="n"/>
      <c r="W570" s="255" t="n"/>
      <c r="X570" s="255" t="n"/>
      <c r="Y570" s="255" t="n"/>
      <c r="Z570" s="255" t="n"/>
    </row>
    <row r="571" ht="12.75" customHeight="1">
      <c r="A571" s="333" t="n"/>
      <c r="B571" s="255" t="n"/>
      <c r="C571" s="255" t="n"/>
      <c r="D571" s="255" t="n"/>
      <c r="E571" s="255" t="n"/>
      <c r="F571" s="255" t="n"/>
      <c r="G571" s="255" t="n"/>
      <c r="H571" s="255" t="n"/>
      <c r="I571" s="255" t="n"/>
      <c r="J571" s="255" t="n"/>
      <c r="K571" s="255" t="n"/>
      <c r="L571" s="255" t="n"/>
      <c r="M571" s="255" t="n"/>
      <c r="N571" s="255" t="n"/>
      <c r="O571" s="255" t="n"/>
      <c r="P571" s="255" t="n"/>
      <c r="Q571" s="255" t="n"/>
      <c r="R571" s="255" t="n"/>
      <c r="S571" s="255" t="n"/>
      <c r="T571" s="255" t="n"/>
      <c r="U571" s="255" t="n"/>
      <c r="V571" s="255" t="n"/>
      <c r="W571" s="255" t="n"/>
      <c r="X571" s="255" t="n"/>
      <c r="Y571" s="255" t="n"/>
      <c r="Z571" s="255" t="n"/>
    </row>
    <row r="572" ht="12.75" customHeight="1">
      <c r="A572" s="333" t="n"/>
      <c r="B572" s="255" t="n"/>
      <c r="C572" s="255" t="n"/>
      <c r="D572" s="255" t="n"/>
      <c r="E572" s="255" t="n"/>
      <c r="F572" s="255" t="n"/>
      <c r="G572" s="255" t="n"/>
      <c r="H572" s="255" t="n"/>
      <c r="I572" s="255" t="n"/>
      <c r="J572" s="255" t="n"/>
      <c r="K572" s="255" t="n"/>
      <c r="L572" s="255" t="n"/>
      <c r="M572" s="255" t="n"/>
      <c r="N572" s="255" t="n"/>
      <c r="O572" s="255" t="n"/>
      <c r="P572" s="255" t="n"/>
      <c r="Q572" s="255" t="n"/>
      <c r="R572" s="255" t="n"/>
      <c r="S572" s="255" t="n"/>
      <c r="T572" s="255" t="n"/>
      <c r="U572" s="255" t="n"/>
      <c r="V572" s="255" t="n"/>
      <c r="W572" s="255" t="n"/>
      <c r="X572" s="255" t="n"/>
      <c r="Y572" s="255" t="n"/>
      <c r="Z572" s="255" t="n"/>
    </row>
    <row r="573" ht="12.75" customHeight="1">
      <c r="A573" s="333" t="n"/>
      <c r="B573" s="255" t="n"/>
      <c r="C573" s="255" t="n"/>
      <c r="D573" s="255" t="n"/>
      <c r="E573" s="255" t="n"/>
      <c r="F573" s="255" t="n"/>
      <c r="G573" s="255" t="n"/>
      <c r="H573" s="255" t="n"/>
      <c r="I573" s="255" t="n"/>
      <c r="J573" s="255" t="n"/>
      <c r="K573" s="255" t="n"/>
      <c r="L573" s="255" t="n"/>
      <c r="M573" s="255" t="n"/>
      <c r="N573" s="255" t="n"/>
      <c r="O573" s="255" t="n"/>
      <c r="P573" s="255" t="n"/>
      <c r="Q573" s="255" t="n"/>
      <c r="R573" s="255" t="n"/>
      <c r="S573" s="255" t="n"/>
      <c r="T573" s="255" t="n"/>
      <c r="U573" s="255" t="n"/>
      <c r="V573" s="255" t="n"/>
      <c r="W573" s="255" t="n"/>
      <c r="X573" s="255" t="n"/>
      <c r="Y573" s="255" t="n"/>
      <c r="Z573" s="255" t="n"/>
    </row>
    <row r="574" ht="12.75" customHeight="1">
      <c r="A574" s="333" t="n"/>
      <c r="B574" s="255" t="n"/>
      <c r="C574" s="255" t="n"/>
      <c r="D574" s="255" t="n"/>
      <c r="E574" s="255" t="n"/>
      <c r="F574" s="255" t="n"/>
      <c r="G574" s="255" t="n"/>
      <c r="H574" s="255" t="n"/>
      <c r="I574" s="255" t="n"/>
      <c r="J574" s="255" t="n"/>
      <c r="K574" s="255" t="n"/>
      <c r="L574" s="255" t="n"/>
      <c r="M574" s="255" t="n"/>
      <c r="N574" s="255" t="n"/>
      <c r="O574" s="255" t="n"/>
      <c r="P574" s="255" t="n"/>
      <c r="Q574" s="255" t="n"/>
      <c r="R574" s="255" t="n"/>
      <c r="S574" s="255" t="n"/>
      <c r="T574" s="255" t="n"/>
      <c r="U574" s="255" t="n"/>
      <c r="V574" s="255" t="n"/>
      <c r="W574" s="255" t="n"/>
      <c r="X574" s="255" t="n"/>
      <c r="Y574" s="255" t="n"/>
      <c r="Z574" s="255" t="n"/>
    </row>
    <row r="575" ht="12.75" customHeight="1">
      <c r="A575" s="333" t="n"/>
      <c r="B575" s="255" t="n"/>
      <c r="C575" s="255" t="n"/>
      <c r="D575" s="255" t="n"/>
      <c r="E575" s="255" t="n"/>
      <c r="F575" s="255" t="n"/>
      <c r="G575" s="255" t="n"/>
      <c r="H575" s="255" t="n"/>
      <c r="I575" s="255" t="n"/>
      <c r="J575" s="255" t="n"/>
      <c r="K575" s="255" t="n"/>
      <c r="L575" s="255" t="n"/>
      <c r="M575" s="255" t="n"/>
      <c r="N575" s="255" t="n"/>
      <c r="O575" s="255" t="n"/>
      <c r="P575" s="255" t="n"/>
      <c r="Q575" s="255" t="n"/>
      <c r="R575" s="255" t="n"/>
      <c r="S575" s="255" t="n"/>
      <c r="T575" s="255" t="n"/>
      <c r="U575" s="255" t="n"/>
      <c r="V575" s="255" t="n"/>
      <c r="W575" s="255" t="n"/>
      <c r="X575" s="255" t="n"/>
      <c r="Y575" s="255" t="n"/>
      <c r="Z575" s="255" t="n"/>
    </row>
    <row r="576" ht="12.75" customHeight="1">
      <c r="A576" s="333" t="n"/>
      <c r="B576" s="255" t="n"/>
      <c r="C576" s="255" t="n"/>
      <c r="D576" s="255" t="n"/>
      <c r="E576" s="255" t="n"/>
      <c r="F576" s="255" t="n"/>
      <c r="G576" s="255" t="n"/>
      <c r="H576" s="255" t="n"/>
      <c r="I576" s="255" t="n"/>
      <c r="J576" s="255" t="n"/>
      <c r="K576" s="255" t="n"/>
      <c r="L576" s="255" t="n"/>
      <c r="M576" s="255" t="n"/>
      <c r="N576" s="255" t="n"/>
      <c r="O576" s="255" t="n"/>
      <c r="P576" s="255" t="n"/>
      <c r="Q576" s="255" t="n"/>
      <c r="R576" s="255" t="n"/>
      <c r="S576" s="255" t="n"/>
      <c r="T576" s="255" t="n"/>
      <c r="U576" s="255" t="n"/>
      <c r="V576" s="255" t="n"/>
      <c r="W576" s="255" t="n"/>
      <c r="X576" s="255" t="n"/>
      <c r="Y576" s="255" t="n"/>
      <c r="Z576" s="255" t="n"/>
    </row>
    <row r="577" ht="12.75" customHeight="1">
      <c r="A577" s="333" t="n"/>
      <c r="B577" s="255" t="n"/>
      <c r="C577" s="255" t="n"/>
      <c r="D577" s="255" t="n"/>
      <c r="E577" s="255" t="n"/>
      <c r="F577" s="255" t="n"/>
      <c r="G577" s="255" t="n"/>
      <c r="H577" s="255" t="n"/>
      <c r="I577" s="255" t="n"/>
      <c r="J577" s="255" t="n"/>
      <c r="K577" s="255" t="n"/>
      <c r="L577" s="255" t="n"/>
      <c r="M577" s="255" t="n"/>
      <c r="N577" s="255" t="n"/>
      <c r="O577" s="255" t="n"/>
      <c r="P577" s="255" t="n"/>
      <c r="Q577" s="255" t="n"/>
      <c r="R577" s="255" t="n"/>
      <c r="S577" s="255" t="n"/>
      <c r="T577" s="255" t="n"/>
      <c r="U577" s="255" t="n"/>
      <c r="V577" s="255" t="n"/>
      <c r="W577" s="255" t="n"/>
      <c r="X577" s="255" t="n"/>
      <c r="Y577" s="255" t="n"/>
      <c r="Z577" s="255" t="n"/>
    </row>
    <row r="578" ht="12.75" customHeight="1">
      <c r="A578" s="333" t="n"/>
      <c r="B578" s="255" t="n"/>
      <c r="C578" s="255" t="n"/>
      <c r="D578" s="255" t="n"/>
      <c r="E578" s="255" t="n"/>
      <c r="F578" s="255" t="n"/>
      <c r="G578" s="255" t="n"/>
      <c r="H578" s="255" t="n"/>
      <c r="I578" s="255" t="n"/>
      <c r="J578" s="255" t="n"/>
      <c r="K578" s="255" t="n"/>
      <c r="L578" s="255" t="n"/>
      <c r="M578" s="255" t="n"/>
      <c r="N578" s="255" t="n"/>
      <c r="O578" s="255" t="n"/>
      <c r="P578" s="255" t="n"/>
      <c r="Q578" s="255" t="n"/>
      <c r="R578" s="255" t="n"/>
      <c r="S578" s="255" t="n"/>
      <c r="T578" s="255" t="n"/>
      <c r="U578" s="255" t="n"/>
      <c r="V578" s="255" t="n"/>
      <c r="W578" s="255" t="n"/>
      <c r="X578" s="255" t="n"/>
      <c r="Y578" s="255" t="n"/>
      <c r="Z578" s="255" t="n"/>
    </row>
    <row r="579" ht="12.75" customHeight="1">
      <c r="A579" s="333" t="n"/>
      <c r="B579" s="255" t="n"/>
      <c r="C579" s="255" t="n"/>
      <c r="D579" s="255" t="n"/>
      <c r="E579" s="255" t="n"/>
      <c r="F579" s="255" t="n"/>
      <c r="G579" s="255" t="n"/>
      <c r="H579" s="255" t="n"/>
      <c r="I579" s="255" t="n"/>
      <c r="J579" s="255" t="n"/>
      <c r="K579" s="255" t="n"/>
      <c r="L579" s="255" t="n"/>
      <c r="M579" s="255" t="n"/>
      <c r="N579" s="255" t="n"/>
      <c r="O579" s="255" t="n"/>
      <c r="P579" s="255" t="n"/>
      <c r="Q579" s="255" t="n"/>
      <c r="R579" s="255" t="n"/>
      <c r="S579" s="255" t="n"/>
      <c r="T579" s="255" t="n"/>
      <c r="U579" s="255" t="n"/>
      <c r="V579" s="255" t="n"/>
      <c r="W579" s="255" t="n"/>
      <c r="X579" s="255" t="n"/>
      <c r="Y579" s="255" t="n"/>
      <c r="Z579" s="255" t="n"/>
    </row>
    <row r="580" ht="12.75" customHeight="1">
      <c r="A580" s="333" t="n"/>
      <c r="B580" s="255" t="n"/>
      <c r="C580" s="255" t="n"/>
      <c r="D580" s="255" t="n"/>
      <c r="E580" s="255" t="n"/>
      <c r="F580" s="255" t="n"/>
      <c r="G580" s="255" t="n"/>
      <c r="H580" s="255" t="n"/>
      <c r="I580" s="255" t="n"/>
      <c r="J580" s="255" t="n"/>
      <c r="K580" s="255" t="n"/>
      <c r="L580" s="255" t="n"/>
      <c r="M580" s="255" t="n"/>
      <c r="N580" s="255" t="n"/>
      <c r="O580" s="255" t="n"/>
      <c r="P580" s="255" t="n"/>
      <c r="Q580" s="255" t="n"/>
      <c r="R580" s="255" t="n"/>
      <c r="S580" s="255" t="n"/>
      <c r="T580" s="255" t="n"/>
      <c r="U580" s="255" t="n"/>
      <c r="V580" s="255" t="n"/>
      <c r="W580" s="255" t="n"/>
      <c r="X580" s="255" t="n"/>
      <c r="Y580" s="255" t="n"/>
      <c r="Z580" s="255" t="n"/>
    </row>
    <row r="581" ht="12.75" customHeight="1">
      <c r="A581" s="333" t="n"/>
      <c r="B581" s="255" t="n"/>
      <c r="C581" s="255" t="n"/>
      <c r="D581" s="255" t="n"/>
      <c r="E581" s="255" t="n"/>
      <c r="F581" s="255" t="n"/>
      <c r="G581" s="255" t="n"/>
      <c r="H581" s="255" t="n"/>
      <c r="I581" s="255" t="n"/>
      <c r="J581" s="255" t="n"/>
      <c r="K581" s="255" t="n"/>
      <c r="L581" s="255" t="n"/>
      <c r="M581" s="255" t="n"/>
      <c r="N581" s="255" t="n"/>
      <c r="O581" s="255" t="n"/>
      <c r="P581" s="255" t="n"/>
      <c r="Q581" s="255" t="n"/>
      <c r="R581" s="255" t="n"/>
      <c r="S581" s="255" t="n"/>
      <c r="T581" s="255" t="n"/>
      <c r="U581" s="255" t="n"/>
      <c r="V581" s="255" t="n"/>
      <c r="W581" s="255" t="n"/>
      <c r="X581" s="255" t="n"/>
      <c r="Y581" s="255" t="n"/>
      <c r="Z581" s="255" t="n"/>
    </row>
    <row r="582" ht="12.75" customHeight="1">
      <c r="A582" s="333" t="n"/>
      <c r="B582" s="255" t="n"/>
      <c r="C582" s="255" t="n"/>
      <c r="D582" s="255" t="n"/>
      <c r="E582" s="255" t="n"/>
      <c r="F582" s="255" t="n"/>
      <c r="G582" s="255" t="n"/>
      <c r="H582" s="255" t="n"/>
      <c r="I582" s="255" t="n"/>
      <c r="J582" s="255" t="n"/>
      <c r="K582" s="255" t="n"/>
      <c r="L582" s="255" t="n"/>
      <c r="M582" s="255" t="n"/>
      <c r="N582" s="255" t="n"/>
      <c r="O582" s="255" t="n"/>
      <c r="P582" s="255" t="n"/>
      <c r="Q582" s="255" t="n"/>
      <c r="R582" s="255" t="n"/>
      <c r="S582" s="255" t="n"/>
      <c r="T582" s="255" t="n"/>
      <c r="U582" s="255" t="n"/>
      <c r="V582" s="255" t="n"/>
      <c r="W582" s="255" t="n"/>
      <c r="X582" s="255" t="n"/>
      <c r="Y582" s="255" t="n"/>
      <c r="Z582" s="255" t="n"/>
    </row>
    <row r="583" ht="12.75" customHeight="1">
      <c r="A583" s="333" t="n"/>
      <c r="B583" s="255" t="n"/>
      <c r="C583" s="255" t="n"/>
      <c r="D583" s="255" t="n"/>
      <c r="E583" s="255" t="n"/>
      <c r="F583" s="255" t="n"/>
      <c r="G583" s="255" t="n"/>
      <c r="H583" s="255" t="n"/>
      <c r="I583" s="255" t="n"/>
      <c r="J583" s="255" t="n"/>
      <c r="K583" s="255" t="n"/>
      <c r="L583" s="255" t="n"/>
      <c r="M583" s="255" t="n"/>
      <c r="N583" s="255" t="n"/>
      <c r="O583" s="255" t="n"/>
      <c r="P583" s="255" t="n"/>
      <c r="Q583" s="255" t="n"/>
      <c r="R583" s="255" t="n"/>
      <c r="S583" s="255" t="n"/>
      <c r="T583" s="255" t="n"/>
      <c r="U583" s="255" t="n"/>
      <c r="V583" s="255" t="n"/>
      <c r="W583" s="255" t="n"/>
      <c r="X583" s="255" t="n"/>
      <c r="Y583" s="255" t="n"/>
      <c r="Z583" s="255" t="n"/>
    </row>
    <row r="584" ht="12.75" customHeight="1">
      <c r="A584" s="333" t="n"/>
      <c r="B584" s="255" t="n"/>
      <c r="C584" s="255" t="n"/>
      <c r="D584" s="255" t="n"/>
      <c r="E584" s="255" t="n"/>
      <c r="F584" s="255" t="n"/>
      <c r="G584" s="255" t="n"/>
      <c r="H584" s="255" t="n"/>
      <c r="I584" s="255" t="n"/>
      <c r="J584" s="255" t="n"/>
      <c r="K584" s="255" t="n"/>
      <c r="L584" s="255" t="n"/>
      <c r="M584" s="255" t="n"/>
      <c r="N584" s="255" t="n"/>
      <c r="O584" s="255" t="n"/>
      <c r="P584" s="255" t="n"/>
      <c r="Q584" s="255" t="n"/>
      <c r="R584" s="255" t="n"/>
      <c r="S584" s="255" t="n"/>
      <c r="T584" s="255" t="n"/>
      <c r="U584" s="255" t="n"/>
      <c r="V584" s="255" t="n"/>
      <c r="W584" s="255" t="n"/>
      <c r="X584" s="255" t="n"/>
      <c r="Y584" s="255" t="n"/>
      <c r="Z584" s="255" t="n"/>
    </row>
    <row r="585" ht="12.75" customHeight="1">
      <c r="A585" s="333" t="n"/>
      <c r="B585" s="255" t="n"/>
      <c r="C585" s="255" t="n"/>
      <c r="D585" s="255" t="n"/>
      <c r="E585" s="255" t="n"/>
      <c r="F585" s="255" t="n"/>
      <c r="G585" s="255" t="n"/>
      <c r="H585" s="255" t="n"/>
      <c r="I585" s="255" t="n"/>
      <c r="J585" s="255" t="n"/>
      <c r="K585" s="255" t="n"/>
      <c r="L585" s="255" t="n"/>
      <c r="M585" s="255" t="n"/>
      <c r="N585" s="255" t="n"/>
      <c r="O585" s="255" t="n"/>
      <c r="P585" s="255" t="n"/>
      <c r="Q585" s="255" t="n"/>
      <c r="R585" s="255" t="n"/>
      <c r="S585" s="255" t="n"/>
      <c r="T585" s="255" t="n"/>
      <c r="U585" s="255" t="n"/>
      <c r="V585" s="255" t="n"/>
      <c r="W585" s="255" t="n"/>
      <c r="X585" s="255" t="n"/>
      <c r="Y585" s="255" t="n"/>
      <c r="Z585" s="255" t="n"/>
    </row>
    <row r="586" ht="12.75" customHeight="1">
      <c r="A586" s="333" t="n"/>
      <c r="B586" s="255" t="n"/>
      <c r="C586" s="255" t="n"/>
      <c r="D586" s="255" t="n"/>
      <c r="E586" s="255" t="n"/>
      <c r="F586" s="255" t="n"/>
      <c r="G586" s="255" t="n"/>
      <c r="H586" s="255" t="n"/>
      <c r="I586" s="255" t="n"/>
      <c r="J586" s="255" t="n"/>
      <c r="K586" s="255" t="n"/>
      <c r="L586" s="255" t="n"/>
      <c r="M586" s="255" t="n"/>
      <c r="N586" s="255" t="n"/>
      <c r="O586" s="255" t="n"/>
      <c r="P586" s="255" t="n"/>
      <c r="Q586" s="255" t="n"/>
      <c r="R586" s="255" t="n"/>
      <c r="S586" s="255" t="n"/>
      <c r="T586" s="255" t="n"/>
      <c r="U586" s="255" t="n"/>
      <c r="V586" s="255" t="n"/>
      <c r="W586" s="255" t="n"/>
      <c r="X586" s="255" t="n"/>
      <c r="Y586" s="255" t="n"/>
      <c r="Z586" s="255" t="n"/>
    </row>
    <row r="587" ht="12.75" customHeight="1">
      <c r="A587" s="333" t="n"/>
      <c r="B587" s="255" t="n"/>
      <c r="C587" s="255" t="n"/>
      <c r="D587" s="255" t="n"/>
      <c r="E587" s="255" t="n"/>
      <c r="F587" s="255" t="n"/>
      <c r="G587" s="255" t="n"/>
      <c r="H587" s="255" t="n"/>
      <c r="I587" s="255" t="n"/>
      <c r="J587" s="255" t="n"/>
      <c r="K587" s="255" t="n"/>
      <c r="L587" s="255" t="n"/>
      <c r="M587" s="255" t="n"/>
      <c r="N587" s="255" t="n"/>
      <c r="O587" s="255" t="n"/>
      <c r="P587" s="255" t="n"/>
      <c r="Q587" s="255" t="n"/>
      <c r="R587" s="255" t="n"/>
      <c r="S587" s="255" t="n"/>
      <c r="T587" s="255" t="n"/>
      <c r="U587" s="255" t="n"/>
      <c r="V587" s="255" t="n"/>
      <c r="W587" s="255" t="n"/>
      <c r="X587" s="255" t="n"/>
      <c r="Y587" s="255" t="n"/>
      <c r="Z587" s="255" t="n"/>
    </row>
    <row r="588" ht="12.75" customHeight="1">
      <c r="A588" s="333" t="n"/>
      <c r="B588" s="255" t="n"/>
      <c r="C588" s="255" t="n"/>
      <c r="D588" s="255" t="n"/>
      <c r="E588" s="255" t="n"/>
      <c r="F588" s="255" t="n"/>
      <c r="G588" s="255" t="n"/>
      <c r="H588" s="255" t="n"/>
      <c r="I588" s="255" t="n"/>
      <c r="J588" s="255" t="n"/>
      <c r="K588" s="255" t="n"/>
      <c r="L588" s="255" t="n"/>
      <c r="M588" s="255" t="n"/>
      <c r="N588" s="255" t="n"/>
      <c r="O588" s="255" t="n"/>
      <c r="P588" s="255" t="n"/>
      <c r="Q588" s="255" t="n"/>
      <c r="R588" s="255" t="n"/>
      <c r="S588" s="255" t="n"/>
      <c r="T588" s="255" t="n"/>
      <c r="U588" s="255" t="n"/>
      <c r="V588" s="255" t="n"/>
      <c r="W588" s="255" t="n"/>
      <c r="X588" s="255" t="n"/>
      <c r="Y588" s="255" t="n"/>
      <c r="Z588" s="255" t="n"/>
    </row>
    <row r="589" ht="12.75" customHeight="1">
      <c r="A589" s="333" t="n"/>
      <c r="B589" s="255" t="n"/>
      <c r="C589" s="255" t="n"/>
      <c r="D589" s="255" t="n"/>
      <c r="E589" s="255" t="n"/>
      <c r="F589" s="255" t="n"/>
      <c r="G589" s="255" t="n"/>
      <c r="H589" s="255" t="n"/>
      <c r="I589" s="255" t="n"/>
      <c r="J589" s="255" t="n"/>
      <c r="K589" s="255" t="n"/>
      <c r="L589" s="255" t="n"/>
      <c r="M589" s="255" t="n"/>
      <c r="N589" s="255" t="n"/>
      <c r="O589" s="255" t="n"/>
      <c r="P589" s="255" t="n"/>
      <c r="Q589" s="255" t="n"/>
      <c r="R589" s="255" t="n"/>
      <c r="S589" s="255" t="n"/>
      <c r="T589" s="255" t="n"/>
      <c r="U589" s="255" t="n"/>
      <c r="V589" s="255" t="n"/>
      <c r="W589" s="255" t="n"/>
      <c r="X589" s="255" t="n"/>
      <c r="Y589" s="255" t="n"/>
      <c r="Z589" s="255" t="n"/>
    </row>
    <row r="590" ht="12.75" customHeight="1">
      <c r="A590" s="333" t="n"/>
      <c r="B590" s="255" t="n"/>
      <c r="C590" s="255" t="n"/>
      <c r="D590" s="255" t="n"/>
      <c r="E590" s="255" t="n"/>
      <c r="F590" s="255" t="n"/>
      <c r="G590" s="255" t="n"/>
      <c r="H590" s="255" t="n"/>
      <c r="I590" s="255" t="n"/>
      <c r="J590" s="255" t="n"/>
      <c r="K590" s="255" t="n"/>
      <c r="L590" s="255" t="n"/>
      <c r="M590" s="255" t="n"/>
      <c r="N590" s="255" t="n"/>
      <c r="O590" s="255" t="n"/>
      <c r="P590" s="255" t="n"/>
      <c r="Q590" s="255" t="n"/>
      <c r="R590" s="255" t="n"/>
      <c r="S590" s="255" t="n"/>
      <c r="T590" s="255" t="n"/>
      <c r="U590" s="255" t="n"/>
      <c r="V590" s="255" t="n"/>
      <c r="W590" s="255" t="n"/>
      <c r="X590" s="255" t="n"/>
      <c r="Y590" s="255" t="n"/>
      <c r="Z590" s="255" t="n"/>
    </row>
    <row r="591" ht="12.75" customHeight="1">
      <c r="A591" s="333" t="n"/>
      <c r="B591" s="255" t="n"/>
      <c r="C591" s="255" t="n"/>
      <c r="D591" s="255" t="n"/>
      <c r="E591" s="255" t="n"/>
      <c r="F591" s="255" t="n"/>
      <c r="G591" s="255" t="n"/>
      <c r="H591" s="255" t="n"/>
      <c r="I591" s="255" t="n"/>
      <c r="J591" s="255" t="n"/>
      <c r="K591" s="255" t="n"/>
      <c r="L591" s="255" t="n"/>
      <c r="M591" s="255" t="n"/>
      <c r="N591" s="255" t="n"/>
      <c r="O591" s="255" t="n"/>
      <c r="P591" s="255" t="n"/>
      <c r="Q591" s="255" t="n"/>
      <c r="R591" s="255" t="n"/>
      <c r="S591" s="255" t="n"/>
      <c r="T591" s="255" t="n"/>
      <c r="U591" s="255" t="n"/>
      <c r="V591" s="255" t="n"/>
      <c r="W591" s="255" t="n"/>
      <c r="X591" s="255" t="n"/>
      <c r="Y591" s="255" t="n"/>
      <c r="Z591" s="255" t="n"/>
    </row>
    <row r="592" ht="12.75" customHeight="1">
      <c r="A592" s="333" t="n"/>
      <c r="B592" s="255" t="n"/>
      <c r="C592" s="255" t="n"/>
      <c r="D592" s="255" t="n"/>
      <c r="E592" s="255" t="n"/>
      <c r="F592" s="255" t="n"/>
      <c r="G592" s="255" t="n"/>
      <c r="H592" s="255" t="n"/>
      <c r="I592" s="255" t="n"/>
      <c r="J592" s="255" t="n"/>
      <c r="K592" s="255" t="n"/>
      <c r="L592" s="255" t="n"/>
      <c r="M592" s="255" t="n"/>
      <c r="N592" s="255" t="n"/>
      <c r="O592" s="255" t="n"/>
      <c r="P592" s="255" t="n"/>
      <c r="Q592" s="255" t="n"/>
      <c r="R592" s="255" t="n"/>
      <c r="S592" s="255" t="n"/>
      <c r="T592" s="255" t="n"/>
      <c r="U592" s="255" t="n"/>
      <c r="V592" s="255" t="n"/>
      <c r="W592" s="255" t="n"/>
      <c r="X592" s="255" t="n"/>
      <c r="Y592" s="255" t="n"/>
      <c r="Z592" s="255" t="n"/>
    </row>
    <row r="593" ht="12.75" customHeight="1">
      <c r="A593" s="333" t="n"/>
      <c r="B593" s="255" t="n"/>
      <c r="C593" s="255" t="n"/>
      <c r="D593" s="255" t="n"/>
      <c r="E593" s="255" t="n"/>
      <c r="F593" s="255" t="n"/>
      <c r="G593" s="255" t="n"/>
      <c r="H593" s="255" t="n"/>
      <c r="I593" s="255" t="n"/>
      <c r="J593" s="255" t="n"/>
      <c r="K593" s="255" t="n"/>
      <c r="L593" s="255" t="n"/>
      <c r="M593" s="255" t="n"/>
      <c r="N593" s="255" t="n"/>
      <c r="O593" s="255" t="n"/>
      <c r="P593" s="255" t="n"/>
      <c r="Q593" s="255" t="n"/>
      <c r="R593" s="255" t="n"/>
      <c r="S593" s="255" t="n"/>
      <c r="T593" s="255" t="n"/>
      <c r="U593" s="255" t="n"/>
      <c r="V593" s="255" t="n"/>
      <c r="W593" s="255" t="n"/>
      <c r="X593" s="255" t="n"/>
      <c r="Y593" s="255" t="n"/>
      <c r="Z593" s="255" t="n"/>
    </row>
    <row r="594" ht="12.75" customHeight="1">
      <c r="A594" s="333" t="n"/>
      <c r="B594" s="255" t="n"/>
      <c r="C594" s="255" t="n"/>
      <c r="D594" s="255" t="n"/>
      <c r="E594" s="255" t="n"/>
      <c r="F594" s="255" t="n"/>
      <c r="G594" s="255" t="n"/>
      <c r="H594" s="255" t="n"/>
      <c r="I594" s="255" t="n"/>
      <c r="J594" s="255" t="n"/>
      <c r="K594" s="255" t="n"/>
      <c r="L594" s="255" t="n"/>
      <c r="M594" s="255" t="n"/>
      <c r="N594" s="255" t="n"/>
      <c r="O594" s="255" t="n"/>
      <c r="P594" s="255" t="n"/>
      <c r="Q594" s="255" t="n"/>
      <c r="R594" s="255" t="n"/>
      <c r="S594" s="255" t="n"/>
      <c r="T594" s="255" t="n"/>
      <c r="U594" s="255" t="n"/>
      <c r="V594" s="255" t="n"/>
      <c r="W594" s="255" t="n"/>
      <c r="X594" s="255" t="n"/>
      <c r="Y594" s="255" t="n"/>
      <c r="Z594" s="255" t="n"/>
    </row>
    <row r="595" ht="12.75" customHeight="1">
      <c r="A595" s="333" t="n"/>
      <c r="B595" s="255" t="n"/>
      <c r="C595" s="255" t="n"/>
      <c r="D595" s="255" t="n"/>
      <c r="E595" s="255" t="n"/>
      <c r="F595" s="255" t="n"/>
      <c r="G595" s="255" t="n"/>
      <c r="H595" s="255" t="n"/>
      <c r="I595" s="255" t="n"/>
      <c r="J595" s="255" t="n"/>
      <c r="K595" s="255" t="n"/>
      <c r="L595" s="255" t="n"/>
      <c r="M595" s="255" t="n"/>
      <c r="N595" s="255" t="n"/>
      <c r="O595" s="255" t="n"/>
      <c r="P595" s="255" t="n"/>
      <c r="Q595" s="255" t="n"/>
      <c r="R595" s="255" t="n"/>
      <c r="S595" s="255" t="n"/>
      <c r="T595" s="255" t="n"/>
      <c r="U595" s="255" t="n"/>
      <c r="V595" s="255" t="n"/>
      <c r="W595" s="255" t="n"/>
      <c r="X595" s="255" t="n"/>
      <c r="Y595" s="255" t="n"/>
      <c r="Z595" s="255" t="n"/>
    </row>
    <row r="596" ht="12.75" customHeight="1">
      <c r="A596" s="333" t="n"/>
      <c r="B596" s="255" t="n"/>
      <c r="C596" s="255" t="n"/>
      <c r="D596" s="255" t="n"/>
      <c r="E596" s="255" t="n"/>
      <c r="F596" s="255" t="n"/>
      <c r="G596" s="255" t="n"/>
      <c r="H596" s="255" t="n"/>
      <c r="I596" s="255" t="n"/>
      <c r="J596" s="255" t="n"/>
      <c r="K596" s="255" t="n"/>
      <c r="L596" s="255" t="n"/>
      <c r="M596" s="255" t="n"/>
      <c r="N596" s="255" t="n"/>
      <c r="O596" s="255" t="n"/>
      <c r="P596" s="255" t="n"/>
      <c r="Q596" s="255" t="n"/>
      <c r="R596" s="255" t="n"/>
      <c r="S596" s="255" t="n"/>
      <c r="T596" s="255" t="n"/>
      <c r="U596" s="255" t="n"/>
      <c r="V596" s="255" t="n"/>
      <c r="W596" s="255" t="n"/>
      <c r="X596" s="255" t="n"/>
      <c r="Y596" s="255" t="n"/>
      <c r="Z596" s="255" t="n"/>
    </row>
    <row r="597" ht="12.75" customHeight="1">
      <c r="A597" s="333" t="n"/>
      <c r="B597" s="255" t="n"/>
      <c r="C597" s="255" t="n"/>
      <c r="D597" s="255" t="n"/>
      <c r="E597" s="255" t="n"/>
      <c r="F597" s="255" t="n"/>
      <c r="G597" s="255" t="n"/>
      <c r="H597" s="255" t="n"/>
      <c r="I597" s="255" t="n"/>
      <c r="J597" s="255" t="n"/>
      <c r="K597" s="255" t="n"/>
      <c r="L597" s="255" t="n"/>
      <c r="M597" s="255" t="n"/>
      <c r="N597" s="255" t="n"/>
      <c r="O597" s="255" t="n"/>
      <c r="P597" s="255" t="n"/>
      <c r="Q597" s="255" t="n"/>
      <c r="R597" s="255" t="n"/>
      <c r="S597" s="255" t="n"/>
      <c r="T597" s="255" t="n"/>
      <c r="U597" s="255" t="n"/>
      <c r="V597" s="255" t="n"/>
      <c r="W597" s="255" t="n"/>
      <c r="X597" s="255" t="n"/>
      <c r="Y597" s="255" t="n"/>
      <c r="Z597" s="255" t="n"/>
    </row>
    <row r="598" ht="12.75" customHeight="1">
      <c r="A598" s="333" t="n"/>
      <c r="B598" s="255" t="n"/>
      <c r="C598" s="255" t="n"/>
      <c r="D598" s="255" t="n"/>
      <c r="E598" s="255" t="n"/>
      <c r="F598" s="255" t="n"/>
      <c r="G598" s="255" t="n"/>
      <c r="H598" s="255" t="n"/>
      <c r="I598" s="255" t="n"/>
      <c r="J598" s="255" t="n"/>
      <c r="K598" s="255" t="n"/>
      <c r="L598" s="255" t="n"/>
      <c r="M598" s="255" t="n"/>
      <c r="N598" s="255" t="n"/>
      <c r="O598" s="255" t="n"/>
      <c r="P598" s="255" t="n"/>
      <c r="Q598" s="255" t="n"/>
      <c r="R598" s="255" t="n"/>
      <c r="S598" s="255" t="n"/>
      <c r="T598" s="255" t="n"/>
      <c r="U598" s="255" t="n"/>
      <c r="V598" s="255" t="n"/>
      <c r="W598" s="255" t="n"/>
      <c r="X598" s="255" t="n"/>
      <c r="Y598" s="255" t="n"/>
      <c r="Z598" s="255" t="n"/>
    </row>
    <row r="599" ht="12.75" customHeight="1">
      <c r="A599" s="333" t="n"/>
      <c r="B599" s="255" t="n"/>
      <c r="C599" s="255" t="n"/>
      <c r="D599" s="255" t="n"/>
      <c r="E599" s="255" t="n"/>
      <c r="F599" s="255" t="n"/>
      <c r="G599" s="255" t="n"/>
      <c r="H599" s="255" t="n"/>
      <c r="I599" s="255" t="n"/>
      <c r="J599" s="255" t="n"/>
      <c r="K599" s="255" t="n"/>
      <c r="L599" s="255" t="n"/>
      <c r="M599" s="255" t="n"/>
      <c r="N599" s="255" t="n"/>
      <c r="O599" s="255" t="n"/>
      <c r="P599" s="255" t="n"/>
      <c r="Q599" s="255" t="n"/>
      <c r="R599" s="255" t="n"/>
      <c r="S599" s="255" t="n"/>
      <c r="T599" s="255" t="n"/>
      <c r="U599" s="255" t="n"/>
      <c r="V599" s="255" t="n"/>
      <c r="W599" s="255" t="n"/>
      <c r="X599" s="255" t="n"/>
      <c r="Y599" s="255" t="n"/>
      <c r="Z599" s="255" t="n"/>
    </row>
    <row r="600" ht="12.75" customHeight="1">
      <c r="A600" s="333" t="n"/>
      <c r="B600" s="255" t="n"/>
      <c r="C600" s="255" t="n"/>
      <c r="D600" s="255" t="n"/>
      <c r="E600" s="255" t="n"/>
      <c r="F600" s="255" t="n"/>
      <c r="G600" s="255" t="n"/>
      <c r="H600" s="255" t="n"/>
      <c r="I600" s="255" t="n"/>
      <c r="J600" s="255" t="n"/>
      <c r="K600" s="255" t="n"/>
      <c r="L600" s="255" t="n"/>
      <c r="M600" s="255" t="n"/>
      <c r="N600" s="255" t="n"/>
      <c r="O600" s="255" t="n"/>
      <c r="P600" s="255" t="n"/>
      <c r="Q600" s="255" t="n"/>
      <c r="R600" s="255" t="n"/>
      <c r="S600" s="255" t="n"/>
      <c r="T600" s="255" t="n"/>
      <c r="U600" s="255" t="n"/>
      <c r="V600" s="255" t="n"/>
      <c r="W600" s="255" t="n"/>
      <c r="X600" s="255" t="n"/>
      <c r="Y600" s="255" t="n"/>
      <c r="Z600" s="255" t="n"/>
    </row>
    <row r="601" ht="12.75" customHeight="1">
      <c r="A601" s="333" t="n"/>
      <c r="B601" s="255" t="n"/>
      <c r="C601" s="255" t="n"/>
      <c r="D601" s="255" t="n"/>
      <c r="E601" s="255" t="n"/>
      <c r="F601" s="255" t="n"/>
      <c r="G601" s="255" t="n"/>
      <c r="H601" s="255" t="n"/>
      <c r="I601" s="255" t="n"/>
      <c r="J601" s="255" t="n"/>
      <c r="K601" s="255" t="n"/>
      <c r="L601" s="255" t="n"/>
      <c r="M601" s="255" t="n"/>
      <c r="N601" s="255" t="n"/>
      <c r="O601" s="255" t="n"/>
      <c r="P601" s="255" t="n"/>
      <c r="Q601" s="255" t="n"/>
      <c r="R601" s="255" t="n"/>
      <c r="S601" s="255" t="n"/>
      <c r="T601" s="255" t="n"/>
      <c r="U601" s="255" t="n"/>
      <c r="V601" s="255" t="n"/>
      <c r="W601" s="255" t="n"/>
      <c r="X601" s="255" t="n"/>
      <c r="Y601" s="255" t="n"/>
      <c r="Z601" s="255" t="n"/>
    </row>
    <row r="602" ht="12.75" customHeight="1">
      <c r="A602" s="333" t="n"/>
      <c r="B602" s="255" t="n"/>
      <c r="C602" s="255" t="n"/>
      <c r="D602" s="255" t="n"/>
      <c r="E602" s="255" t="n"/>
      <c r="F602" s="255" t="n"/>
      <c r="G602" s="255" t="n"/>
      <c r="H602" s="255" t="n"/>
      <c r="I602" s="255" t="n"/>
      <c r="J602" s="255" t="n"/>
      <c r="K602" s="255" t="n"/>
      <c r="L602" s="255" t="n"/>
      <c r="M602" s="255" t="n"/>
      <c r="N602" s="255" t="n"/>
      <c r="O602" s="255" t="n"/>
      <c r="P602" s="255" t="n"/>
      <c r="Q602" s="255" t="n"/>
      <c r="R602" s="255" t="n"/>
      <c r="S602" s="255" t="n"/>
      <c r="T602" s="255" t="n"/>
      <c r="U602" s="255" t="n"/>
      <c r="V602" s="255" t="n"/>
      <c r="W602" s="255" t="n"/>
      <c r="X602" s="255" t="n"/>
      <c r="Y602" s="255" t="n"/>
      <c r="Z602" s="255" t="n"/>
    </row>
    <row r="603" ht="12.75" customHeight="1">
      <c r="A603" s="333" t="n"/>
      <c r="B603" s="255" t="n"/>
      <c r="C603" s="255" t="n"/>
      <c r="D603" s="255" t="n"/>
      <c r="E603" s="255" t="n"/>
      <c r="F603" s="255" t="n"/>
      <c r="G603" s="255" t="n"/>
      <c r="H603" s="255" t="n"/>
      <c r="I603" s="255" t="n"/>
      <c r="J603" s="255" t="n"/>
      <c r="K603" s="255" t="n"/>
      <c r="L603" s="255" t="n"/>
      <c r="M603" s="255" t="n"/>
      <c r="N603" s="255" t="n"/>
      <c r="O603" s="255" t="n"/>
      <c r="P603" s="255" t="n"/>
      <c r="Q603" s="255" t="n"/>
      <c r="R603" s="255" t="n"/>
      <c r="S603" s="255" t="n"/>
      <c r="T603" s="255" t="n"/>
      <c r="U603" s="255" t="n"/>
      <c r="V603" s="255" t="n"/>
      <c r="W603" s="255" t="n"/>
      <c r="X603" s="255" t="n"/>
      <c r="Y603" s="255" t="n"/>
      <c r="Z603" s="255" t="n"/>
    </row>
    <row r="604" ht="12.75" customHeight="1">
      <c r="A604" s="333" t="n"/>
      <c r="B604" s="255" t="n"/>
      <c r="C604" s="255" t="n"/>
      <c r="D604" s="255" t="n"/>
      <c r="E604" s="255" t="n"/>
      <c r="F604" s="255" t="n"/>
      <c r="G604" s="255" t="n"/>
      <c r="H604" s="255" t="n"/>
      <c r="I604" s="255" t="n"/>
      <c r="J604" s="255" t="n"/>
      <c r="K604" s="255" t="n"/>
      <c r="L604" s="255" t="n"/>
      <c r="M604" s="255" t="n"/>
      <c r="N604" s="255" t="n"/>
      <c r="O604" s="255" t="n"/>
      <c r="P604" s="255" t="n"/>
      <c r="Q604" s="255" t="n"/>
      <c r="R604" s="255" t="n"/>
      <c r="S604" s="255" t="n"/>
      <c r="T604" s="255" t="n"/>
      <c r="U604" s="255" t="n"/>
      <c r="V604" s="255" t="n"/>
      <c r="W604" s="255" t="n"/>
      <c r="X604" s="255" t="n"/>
      <c r="Y604" s="255" t="n"/>
      <c r="Z604" s="255" t="n"/>
    </row>
    <row r="605" ht="12.75" customHeight="1">
      <c r="A605" s="333" t="n"/>
      <c r="B605" s="255" t="n"/>
      <c r="C605" s="255" t="n"/>
      <c r="D605" s="255" t="n"/>
      <c r="E605" s="255" t="n"/>
      <c r="F605" s="255" t="n"/>
      <c r="G605" s="255" t="n"/>
      <c r="H605" s="255" t="n"/>
      <c r="I605" s="255" t="n"/>
      <c r="J605" s="255" t="n"/>
      <c r="K605" s="255" t="n"/>
      <c r="L605" s="255" t="n"/>
      <c r="M605" s="255" t="n"/>
      <c r="N605" s="255" t="n"/>
      <c r="O605" s="255" t="n"/>
      <c r="P605" s="255" t="n"/>
      <c r="Q605" s="255" t="n"/>
      <c r="R605" s="255" t="n"/>
      <c r="S605" s="255" t="n"/>
      <c r="T605" s="255" t="n"/>
      <c r="U605" s="255" t="n"/>
      <c r="V605" s="255" t="n"/>
      <c r="W605" s="255" t="n"/>
      <c r="X605" s="255" t="n"/>
      <c r="Y605" s="255" t="n"/>
      <c r="Z605" s="255" t="n"/>
    </row>
    <row r="606" ht="12.75" customHeight="1">
      <c r="A606" s="333" t="n"/>
      <c r="B606" s="255" t="n"/>
      <c r="C606" s="255" t="n"/>
      <c r="D606" s="255" t="n"/>
      <c r="E606" s="255" t="n"/>
      <c r="F606" s="255" t="n"/>
      <c r="G606" s="255" t="n"/>
      <c r="H606" s="255" t="n"/>
      <c r="I606" s="255" t="n"/>
      <c r="J606" s="255" t="n"/>
      <c r="K606" s="255" t="n"/>
      <c r="L606" s="255" t="n"/>
      <c r="M606" s="255" t="n"/>
      <c r="N606" s="255" t="n"/>
      <c r="O606" s="255" t="n"/>
      <c r="P606" s="255" t="n"/>
      <c r="Q606" s="255" t="n"/>
      <c r="R606" s="255" t="n"/>
      <c r="S606" s="255" t="n"/>
      <c r="T606" s="255" t="n"/>
      <c r="U606" s="255" t="n"/>
      <c r="V606" s="255" t="n"/>
      <c r="W606" s="255" t="n"/>
      <c r="X606" s="255" t="n"/>
      <c r="Y606" s="255" t="n"/>
      <c r="Z606" s="255" t="n"/>
    </row>
    <row r="607" ht="12.75" customHeight="1">
      <c r="A607" s="333" t="n"/>
      <c r="B607" s="255" t="n"/>
      <c r="C607" s="255" t="n"/>
      <c r="D607" s="255" t="n"/>
      <c r="E607" s="255" t="n"/>
      <c r="F607" s="255" t="n"/>
      <c r="G607" s="255" t="n"/>
      <c r="H607" s="255" t="n"/>
      <c r="I607" s="255" t="n"/>
      <c r="J607" s="255" t="n"/>
      <c r="K607" s="255" t="n"/>
      <c r="L607" s="255" t="n"/>
      <c r="M607" s="255" t="n"/>
      <c r="N607" s="255" t="n"/>
      <c r="O607" s="255" t="n"/>
      <c r="P607" s="255" t="n"/>
      <c r="Q607" s="255" t="n"/>
      <c r="R607" s="255" t="n"/>
      <c r="S607" s="255" t="n"/>
      <c r="T607" s="255" t="n"/>
      <c r="U607" s="255" t="n"/>
      <c r="V607" s="255" t="n"/>
      <c r="W607" s="255" t="n"/>
      <c r="X607" s="255" t="n"/>
      <c r="Y607" s="255" t="n"/>
      <c r="Z607" s="255" t="n"/>
    </row>
    <row r="608" ht="12.75" customHeight="1">
      <c r="A608" s="333" t="n"/>
      <c r="B608" s="255" t="n"/>
      <c r="C608" s="255" t="n"/>
      <c r="D608" s="255" t="n"/>
      <c r="E608" s="255" t="n"/>
      <c r="F608" s="255" t="n"/>
      <c r="G608" s="255" t="n"/>
      <c r="H608" s="255" t="n"/>
      <c r="I608" s="255" t="n"/>
      <c r="J608" s="255" t="n"/>
      <c r="K608" s="255" t="n"/>
      <c r="L608" s="255" t="n"/>
      <c r="M608" s="255" t="n"/>
      <c r="N608" s="255" t="n"/>
      <c r="O608" s="255" t="n"/>
      <c r="P608" s="255" t="n"/>
      <c r="Q608" s="255" t="n"/>
      <c r="R608" s="255" t="n"/>
      <c r="S608" s="255" t="n"/>
      <c r="T608" s="255" t="n"/>
      <c r="U608" s="255" t="n"/>
      <c r="V608" s="255" t="n"/>
      <c r="W608" s="255" t="n"/>
      <c r="X608" s="255" t="n"/>
      <c r="Y608" s="255" t="n"/>
      <c r="Z608" s="255" t="n"/>
    </row>
    <row r="609" ht="12.75" customHeight="1">
      <c r="A609" s="333" t="n"/>
      <c r="B609" s="255" t="n"/>
      <c r="C609" s="255" t="n"/>
      <c r="D609" s="255" t="n"/>
      <c r="E609" s="255" t="n"/>
      <c r="F609" s="255" t="n"/>
      <c r="G609" s="255" t="n"/>
      <c r="H609" s="255" t="n"/>
      <c r="I609" s="255" t="n"/>
      <c r="J609" s="255" t="n"/>
      <c r="K609" s="255" t="n"/>
      <c r="L609" s="255" t="n"/>
      <c r="M609" s="255" t="n"/>
      <c r="N609" s="255" t="n"/>
      <c r="O609" s="255" t="n"/>
      <c r="P609" s="255" t="n"/>
      <c r="Q609" s="255" t="n"/>
      <c r="R609" s="255" t="n"/>
      <c r="S609" s="255" t="n"/>
      <c r="T609" s="255" t="n"/>
      <c r="U609" s="255" t="n"/>
      <c r="V609" s="255" t="n"/>
      <c r="W609" s="255" t="n"/>
      <c r="X609" s="255" t="n"/>
      <c r="Y609" s="255" t="n"/>
      <c r="Z609" s="255" t="n"/>
    </row>
    <row r="610" ht="12.75" customHeight="1">
      <c r="A610" s="333" t="n"/>
      <c r="B610" s="255" t="n"/>
      <c r="C610" s="255" t="n"/>
      <c r="D610" s="255" t="n"/>
      <c r="E610" s="255" t="n"/>
      <c r="F610" s="255" t="n"/>
      <c r="G610" s="255" t="n"/>
      <c r="H610" s="255" t="n"/>
      <c r="I610" s="255" t="n"/>
      <c r="J610" s="255" t="n"/>
      <c r="K610" s="255" t="n"/>
      <c r="L610" s="255" t="n"/>
      <c r="M610" s="255" t="n"/>
      <c r="N610" s="255" t="n"/>
      <c r="O610" s="255" t="n"/>
      <c r="P610" s="255" t="n"/>
      <c r="Q610" s="255" t="n"/>
      <c r="R610" s="255" t="n"/>
      <c r="S610" s="255" t="n"/>
      <c r="T610" s="255" t="n"/>
      <c r="U610" s="255" t="n"/>
      <c r="V610" s="255" t="n"/>
      <c r="W610" s="255" t="n"/>
      <c r="X610" s="255" t="n"/>
      <c r="Y610" s="255" t="n"/>
      <c r="Z610" s="255" t="n"/>
    </row>
    <row r="611" ht="12.75" customHeight="1">
      <c r="A611" s="333" t="n"/>
      <c r="B611" s="255" t="n"/>
      <c r="C611" s="255" t="n"/>
      <c r="D611" s="255" t="n"/>
      <c r="E611" s="255" t="n"/>
      <c r="F611" s="255" t="n"/>
      <c r="G611" s="255" t="n"/>
      <c r="H611" s="255" t="n"/>
      <c r="I611" s="255" t="n"/>
      <c r="J611" s="255" t="n"/>
      <c r="K611" s="255" t="n"/>
      <c r="L611" s="255" t="n"/>
      <c r="M611" s="255" t="n"/>
      <c r="N611" s="255" t="n"/>
      <c r="O611" s="255" t="n"/>
      <c r="P611" s="255" t="n"/>
      <c r="Q611" s="255" t="n"/>
      <c r="R611" s="255" t="n"/>
      <c r="S611" s="255" t="n"/>
      <c r="T611" s="255" t="n"/>
      <c r="U611" s="255" t="n"/>
      <c r="V611" s="255" t="n"/>
      <c r="W611" s="255" t="n"/>
      <c r="X611" s="255" t="n"/>
      <c r="Y611" s="255" t="n"/>
      <c r="Z611" s="255" t="n"/>
    </row>
    <row r="612" ht="12.75" customHeight="1">
      <c r="A612" s="333" t="n"/>
      <c r="B612" s="255" t="n"/>
      <c r="C612" s="255" t="n"/>
      <c r="D612" s="255" t="n"/>
      <c r="E612" s="255" t="n"/>
      <c r="F612" s="255" t="n"/>
      <c r="G612" s="255" t="n"/>
      <c r="H612" s="255" t="n"/>
      <c r="I612" s="255" t="n"/>
      <c r="J612" s="255" t="n"/>
      <c r="K612" s="255" t="n"/>
      <c r="L612" s="255" t="n"/>
      <c r="M612" s="255" t="n"/>
      <c r="N612" s="255" t="n"/>
      <c r="O612" s="255" t="n"/>
      <c r="P612" s="255" t="n"/>
      <c r="Q612" s="255" t="n"/>
      <c r="R612" s="255" t="n"/>
      <c r="S612" s="255" t="n"/>
      <c r="T612" s="255" t="n"/>
      <c r="U612" s="255" t="n"/>
      <c r="V612" s="255" t="n"/>
      <c r="W612" s="255" t="n"/>
      <c r="X612" s="255" t="n"/>
      <c r="Y612" s="255" t="n"/>
      <c r="Z612" s="255" t="n"/>
    </row>
    <row r="613" ht="12.75" customHeight="1">
      <c r="A613" s="333" t="n"/>
      <c r="B613" s="255" t="n"/>
      <c r="C613" s="255" t="n"/>
      <c r="D613" s="255" t="n"/>
      <c r="E613" s="255" t="n"/>
      <c r="F613" s="255" t="n"/>
      <c r="G613" s="255" t="n"/>
      <c r="H613" s="255" t="n"/>
      <c r="I613" s="255" t="n"/>
      <c r="J613" s="255" t="n"/>
      <c r="K613" s="255" t="n"/>
      <c r="L613" s="255" t="n"/>
      <c r="M613" s="255" t="n"/>
      <c r="N613" s="255" t="n"/>
      <c r="O613" s="255" t="n"/>
      <c r="P613" s="255" t="n"/>
      <c r="Q613" s="255" t="n"/>
      <c r="R613" s="255" t="n"/>
      <c r="S613" s="255" t="n"/>
      <c r="T613" s="255" t="n"/>
      <c r="U613" s="255" t="n"/>
      <c r="V613" s="255" t="n"/>
      <c r="W613" s="255" t="n"/>
      <c r="X613" s="255" t="n"/>
      <c r="Y613" s="255" t="n"/>
      <c r="Z613" s="255" t="n"/>
    </row>
    <row r="614" ht="12.75" customHeight="1">
      <c r="A614" s="333" t="n"/>
      <c r="B614" s="255" t="n"/>
      <c r="C614" s="255" t="n"/>
      <c r="D614" s="255" t="n"/>
      <c r="E614" s="255" t="n"/>
      <c r="F614" s="255" t="n"/>
      <c r="G614" s="255" t="n"/>
      <c r="H614" s="255" t="n"/>
      <c r="I614" s="255" t="n"/>
      <c r="J614" s="255" t="n"/>
      <c r="K614" s="255" t="n"/>
      <c r="L614" s="255" t="n"/>
      <c r="M614" s="255" t="n"/>
      <c r="N614" s="255" t="n"/>
      <c r="O614" s="255" t="n"/>
      <c r="P614" s="255" t="n"/>
      <c r="Q614" s="255" t="n"/>
      <c r="R614" s="255" t="n"/>
      <c r="S614" s="255" t="n"/>
      <c r="T614" s="255" t="n"/>
      <c r="U614" s="255" t="n"/>
      <c r="V614" s="255" t="n"/>
      <c r="W614" s="255" t="n"/>
      <c r="X614" s="255" t="n"/>
      <c r="Y614" s="255" t="n"/>
      <c r="Z614" s="255" t="n"/>
    </row>
    <row r="615" ht="12.75" customHeight="1">
      <c r="A615" s="333" t="n"/>
      <c r="B615" s="255" t="n"/>
      <c r="C615" s="255" t="n"/>
      <c r="D615" s="255" t="n"/>
      <c r="E615" s="255" t="n"/>
      <c r="F615" s="255" t="n"/>
      <c r="G615" s="255" t="n"/>
      <c r="H615" s="255" t="n"/>
      <c r="I615" s="255" t="n"/>
      <c r="J615" s="255" t="n"/>
      <c r="K615" s="255" t="n"/>
      <c r="L615" s="255" t="n"/>
      <c r="M615" s="255" t="n"/>
      <c r="N615" s="255" t="n"/>
      <c r="O615" s="255" t="n"/>
      <c r="P615" s="255" t="n"/>
      <c r="Q615" s="255" t="n"/>
      <c r="R615" s="255" t="n"/>
      <c r="S615" s="255" t="n"/>
      <c r="T615" s="255" t="n"/>
      <c r="U615" s="255" t="n"/>
      <c r="V615" s="255" t="n"/>
      <c r="W615" s="255" t="n"/>
      <c r="X615" s="255" t="n"/>
      <c r="Y615" s="255" t="n"/>
      <c r="Z615" s="255" t="n"/>
    </row>
    <row r="616" ht="12.75" customHeight="1">
      <c r="A616" s="333" t="n"/>
      <c r="B616" s="255" t="n"/>
      <c r="C616" s="255" t="n"/>
      <c r="D616" s="255" t="n"/>
      <c r="E616" s="255" t="n"/>
      <c r="F616" s="255" t="n"/>
      <c r="G616" s="255" t="n"/>
      <c r="H616" s="255" t="n"/>
      <c r="I616" s="255" t="n"/>
      <c r="J616" s="255" t="n"/>
      <c r="K616" s="255" t="n"/>
      <c r="L616" s="255" t="n"/>
      <c r="M616" s="255" t="n"/>
      <c r="N616" s="255" t="n"/>
      <c r="O616" s="255" t="n"/>
      <c r="P616" s="255" t="n"/>
      <c r="Q616" s="255" t="n"/>
      <c r="R616" s="255" t="n"/>
      <c r="S616" s="255" t="n"/>
      <c r="T616" s="255" t="n"/>
      <c r="U616" s="255" t="n"/>
      <c r="V616" s="255" t="n"/>
      <c r="W616" s="255" t="n"/>
      <c r="X616" s="255" t="n"/>
      <c r="Y616" s="255" t="n"/>
      <c r="Z616" s="255" t="n"/>
    </row>
    <row r="617" ht="12.75" customHeight="1">
      <c r="A617" s="333" t="n"/>
      <c r="B617" s="255" t="n"/>
      <c r="C617" s="255" t="n"/>
      <c r="D617" s="255" t="n"/>
      <c r="E617" s="255" t="n"/>
      <c r="F617" s="255" t="n"/>
      <c r="G617" s="255" t="n"/>
      <c r="H617" s="255" t="n"/>
      <c r="I617" s="255" t="n"/>
      <c r="J617" s="255" t="n"/>
      <c r="K617" s="255" t="n"/>
      <c r="L617" s="255" t="n"/>
      <c r="M617" s="255" t="n"/>
      <c r="N617" s="255" t="n"/>
      <c r="O617" s="255" t="n"/>
      <c r="P617" s="255" t="n"/>
      <c r="Q617" s="255" t="n"/>
      <c r="R617" s="255" t="n"/>
      <c r="S617" s="255" t="n"/>
      <c r="T617" s="255" t="n"/>
      <c r="U617" s="255" t="n"/>
      <c r="V617" s="255" t="n"/>
      <c r="W617" s="255" t="n"/>
      <c r="X617" s="255" t="n"/>
      <c r="Y617" s="255" t="n"/>
      <c r="Z617" s="255" t="n"/>
    </row>
    <row r="618" ht="12.75" customHeight="1">
      <c r="A618" s="333" t="n"/>
      <c r="B618" s="255" t="n"/>
      <c r="C618" s="255" t="n"/>
      <c r="D618" s="255" t="n"/>
      <c r="E618" s="255" t="n"/>
      <c r="F618" s="255" t="n"/>
      <c r="G618" s="255" t="n"/>
      <c r="H618" s="255" t="n"/>
      <c r="I618" s="255" t="n"/>
      <c r="J618" s="255" t="n"/>
      <c r="K618" s="255" t="n"/>
      <c r="L618" s="255" t="n"/>
      <c r="M618" s="255" t="n"/>
      <c r="N618" s="255" t="n"/>
      <c r="O618" s="255" t="n"/>
      <c r="P618" s="255" t="n"/>
      <c r="Q618" s="255" t="n"/>
      <c r="R618" s="255" t="n"/>
      <c r="S618" s="255" t="n"/>
      <c r="T618" s="255" t="n"/>
      <c r="U618" s="255" t="n"/>
      <c r="V618" s="255" t="n"/>
      <c r="W618" s="255" t="n"/>
      <c r="X618" s="255" t="n"/>
      <c r="Y618" s="255" t="n"/>
      <c r="Z618" s="255" t="n"/>
    </row>
    <row r="619" ht="12.75" customHeight="1">
      <c r="A619" s="333" t="n"/>
      <c r="B619" s="255" t="n"/>
      <c r="C619" s="255" t="n"/>
      <c r="D619" s="255" t="n"/>
      <c r="E619" s="255" t="n"/>
      <c r="F619" s="255" t="n"/>
      <c r="G619" s="255" t="n"/>
      <c r="H619" s="255" t="n"/>
      <c r="I619" s="255" t="n"/>
      <c r="J619" s="255" t="n"/>
      <c r="K619" s="255" t="n"/>
      <c r="L619" s="255" t="n"/>
      <c r="M619" s="255" t="n"/>
      <c r="N619" s="255" t="n"/>
      <c r="O619" s="255" t="n"/>
      <c r="P619" s="255" t="n"/>
      <c r="Q619" s="255" t="n"/>
      <c r="R619" s="255" t="n"/>
      <c r="S619" s="255" t="n"/>
      <c r="T619" s="255" t="n"/>
      <c r="U619" s="255" t="n"/>
      <c r="V619" s="255" t="n"/>
      <c r="W619" s="255" t="n"/>
      <c r="X619" s="255" t="n"/>
      <c r="Y619" s="255" t="n"/>
      <c r="Z619" s="255" t="n"/>
    </row>
    <row r="620" ht="12.75" customHeight="1">
      <c r="A620" s="333" t="n"/>
      <c r="B620" s="255" t="n"/>
      <c r="C620" s="255" t="n"/>
      <c r="D620" s="255" t="n"/>
      <c r="E620" s="255" t="n"/>
      <c r="F620" s="255" t="n"/>
      <c r="G620" s="255" t="n"/>
      <c r="H620" s="255" t="n"/>
      <c r="I620" s="255" t="n"/>
      <c r="J620" s="255" t="n"/>
      <c r="K620" s="255" t="n"/>
      <c r="L620" s="255" t="n"/>
      <c r="M620" s="255" t="n"/>
      <c r="N620" s="255" t="n"/>
      <c r="O620" s="255" t="n"/>
      <c r="P620" s="255" t="n"/>
      <c r="Q620" s="255" t="n"/>
      <c r="R620" s="255" t="n"/>
      <c r="S620" s="255" t="n"/>
      <c r="T620" s="255" t="n"/>
      <c r="U620" s="255" t="n"/>
      <c r="V620" s="255" t="n"/>
      <c r="W620" s="255" t="n"/>
      <c r="X620" s="255" t="n"/>
      <c r="Y620" s="255" t="n"/>
      <c r="Z620" s="255" t="n"/>
    </row>
    <row r="621" ht="12.75" customHeight="1">
      <c r="A621" s="333" t="n"/>
      <c r="B621" s="255" t="n"/>
      <c r="C621" s="255" t="n"/>
      <c r="D621" s="255" t="n"/>
      <c r="E621" s="255" t="n"/>
      <c r="F621" s="255" t="n"/>
      <c r="G621" s="255" t="n"/>
      <c r="H621" s="255" t="n"/>
      <c r="I621" s="255" t="n"/>
      <c r="J621" s="255" t="n"/>
      <c r="K621" s="255" t="n"/>
      <c r="L621" s="255" t="n"/>
      <c r="M621" s="255" t="n"/>
      <c r="N621" s="255" t="n"/>
      <c r="O621" s="255" t="n"/>
      <c r="P621" s="255" t="n"/>
      <c r="Q621" s="255" t="n"/>
      <c r="R621" s="255" t="n"/>
      <c r="S621" s="255" t="n"/>
      <c r="T621" s="255" t="n"/>
      <c r="U621" s="255" t="n"/>
      <c r="V621" s="255" t="n"/>
      <c r="W621" s="255" t="n"/>
      <c r="X621" s="255" t="n"/>
      <c r="Y621" s="255" t="n"/>
      <c r="Z621" s="255" t="n"/>
    </row>
    <row r="622" ht="12.75" customHeight="1">
      <c r="A622" s="333" t="n"/>
      <c r="B622" s="255" t="n"/>
      <c r="C622" s="255" t="n"/>
      <c r="D622" s="255" t="n"/>
      <c r="E622" s="255" t="n"/>
      <c r="F622" s="255" t="n"/>
      <c r="G622" s="255" t="n"/>
      <c r="H622" s="255" t="n"/>
      <c r="I622" s="255" t="n"/>
      <c r="J622" s="255" t="n"/>
      <c r="K622" s="255" t="n"/>
      <c r="L622" s="255" t="n"/>
      <c r="M622" s="255" t="n"/>
      <c r="N622" s="255" t="n"/>
      <c r="O622" s="255" t="n"/>
      <c r="P622" s="255" t="n"/>
      <c r="Q622" s="255" t="n"/>
      <c r="R622" s="255" t="n"/>
      <c r="S622" s="255" t="n"/>
      <c r="T622" s="255" t="n"/>
      <c r="U622" s="255" t="n"/>
      <c r="V622" s="255" t="n"/>
      <c r="W622" s="255" t="n"/>
      <c r="X622" s="255" t="n"/>
      <c r="Y622" s="255" t="n"/>
      <c r="Z622" s="255" t="n"/>
    </row>
    <row r="623" ht="12.75" customHeight="1">
      <c r="A623" s="333" t="n"/>
      <c r="B623" s="255" t="n"/>
      <c r="C623" s="255" t="n"/>
      <c r="D623" s="255" t="n"/>
      <c r="E623" s="255" t="n"/>
      <c r="F623" s="255" t="n"/>
      <c r="G623" s="255" t="n"/>
      <c r="H623" s="255" t="n"/>
      <c r="I623" s="255" t="n"/>
      <c r="J623" s="255" t="n"/>
      <c r="K623" s="255" t="n"/>
      <c r="L623" s="255" t="n"/>
      <c r="M623" s="255" t="n"/>
      <c r="N623" s="255" t="n"/>
      <c r="O623" s="255" t="n"/>
      <c r="P623" s="255" t="n"/>
      <c r="Q623" s="255" t="n"/>
      <c r="R623" s="255" t="n"/>
      <c r="S623" s="255" t="n"/>
      <c r="T623" s="255" t="n"/>
      <c r="U623" s="255" t="n"/>
      <c r="V623" s="255" t="n"/>
      <c r="W623" s="255" t="n"/>
      <c r="X623" s="255" t="n"/>
      <c r="Y623" s="255" t="n"/>
      <c r="Z623" s="255" t="n"/>
    </row>
    <row r="624" ht="12.75" customHeight="1">
      <c r="A624" s="333" t="n"/>
      <c r="B624" s="255" t="n"/>
      <c r="C624" s="255" t="n"/>
      <c r="D624" s="255" t="n"/>
      <c r="E624" s="255" t="n"/>
      <c r="F624" s="255" t="n"/>
      <c r="G624" s="255" t="n"/>
      <c r="H624" s="255" t="n"/>
      <c r="I624" s="255" t="n"/>
      <c r="J624" s="255" t="n"/>
      <c r="K624" s="255" t="n"/>
      <c r="L624" s="255" t="n"/>
      <c r="M624" s="255" t="n"/>
      <c r="N624" s="255" t="n"/>
      <c r="O624" s="255" t="n"/>
      <c r="P624" s="255" t="n"/>
      <c r="Q624" s="255" t="n"/>
      <c r="R624" s="255" t="n"/>
      <c r="S624" s="255" t="n"/>
      <c r="T624" s="255" t="n"/>
      <c r="U624" s="255" t="n"/>
      <c r="V624" s="255" t="n"/>
      <c r="W624" s="255" t="n"/>
      <c r="X624" s="255" t="n"/>
      <c r="Y624" s="255" t="n"/>
      <c r="Z624" s="255" t="n"/>
    </row>
    <row r="625" ht="12.75" customHeight="1">
      <c r="A625" s="333" t="n"/>
      <c r="B625" s="255" t="n"/>
      <c r="C625" s="255" t="n"/>
      <c r="D625" s="255" t="n"/>
      <c r="E625" s="255" t="n"/>
      <c r="F625" s="255" t="n"/>
      <c r="G625" s="255" t="n"/>
      <c r="H625" s="255" t="n"/>
      <c r="I625" s="255" t="n"/>
      <c r="J625" s="255" t="n"/>
      <c r="K625" s="255" t="n"/>
      <c r="L625" s="255" t="n"/>
      <c r="M625" s="255" t="n"/>
      <c r="N625" s="255" t="n"/>
      <c r="O625" s="255" t="n"/>
      <c r="P625" s="255" t="n"/>
      <c r="Q625" s="255" t="n"/>
      <c r="R625" s="255" t="n"/>
      <c r="S625" s="255" t="n"/>
      <c r="T625" s="255" t="n"/>
      <c r="U625" s="255" t="n"/>
      <c r="V625" s="255" t="n"/>
      <c r="W625" s="255" t="n"/>
      <c r="X625" s="255" t="n"/>
      <c r="Y625" s="255" t="n"/>
      <c r="Z625" s="255" t="n"/>
    </row>
    <row r="626" ht="12.75" customHeight="1">
      <c r="A626" s="333" t="n"/>
      <c r="B626" s="255" t="n"/>
      <c r="C626" s="255" t="n"/>
      <c r="D626" s="255" t="n"/>
      <c r="E626" s="255" t="n"/>
      <c r="F626" s="255" t="n"/>
      <c r="G626" s="255" t="n"/>
      <c r="H626" s="255" t="n"/>
      <c r="I626" s="255" t="n"/>
      <c r="J626" s="255" t="n"/>
      <c r="K626" s="255" t="n"/>
      <c r="L626" s="255" t="n"/>
      <c r="M626" s="255" t="n"/>
      <c r="N626" s="255" t="n"/>
      <c r="O626" s="255" t="n"/>
      <c r="P626" s="255" t="n"/>
      <c r="Q626" s="255" t="n"/>
      <c r="R626" s="255" t="n"/>
      <c r="S626" s="255" t="n"/>
      <c r="T626" s="255" t="n"/>
      <c r="U626" s="255" t="n"/>
      <c r="V626" s="255" t="n"/>
      <c r="W626" s="255" t="n"/>
      <c r="X626" s="255" t="n"/>
      <c r="Y626" s="255" t="n"/>
      <c r="Z626" s="255" t="n"/>
    </row>
    <row r="627" ht="12.75" customHeight="1">
      <c r="A627" s="333" t="n"/>
      <c r="B627" s="255" t="n"/>
      <c r="C627" s="255" t="n"/>
      <c r="D627" s="255" t="n"/>
      <c r="E627" s="255" t="n"/>
      <c r="F627" s="255" t="n"/>
      <c r="G627" s="255" t="n"/>
      <c r="H627" s="255" t="n"/>
      <c r="I627" s="255" t="n"/>
      <c r="J627" s="255" t="n"/>
      <c r="K627" s="255" t="n"/>
      <c r="L627" s="255" t="n"/>
      <c r="M627" s="255" t="n"/>
      <c r="N627" s="255" t="n"/>
      <c r="O627" s="255" t="n"/>
      <c r="P627" s="255" t="n"/>
      <c r="Q627" s="255" t="n"/>
      <c r="R627" s="255" t="n"/>
      <c r="S627" s="255" t="n"/>
      <c r="T627" s="255" t="n"/>
      <c r="U627" s="255" t="n"/>
      <c r="V627" s="255" t="n"/>
      <c r="W627" s="255" t="n"/>
      <c r="X627" s="255" t="n"/>
      <c r="Y627" s="255" t="n"/>
      <c r="Z627" s="255" t="n"/>
    </row>
    <row r="628" ht="12.75" customHeight="1">
      <c r="A628" s="333" t="n"/>
      <c r="B628" s="255" t="n"/>
      <c r="C628" s="255" t="n"/>
      <c r="D628" s="255" t="n"/>
      <c r="E628" s="255" t="n"/>
      <c r="F628" s="255" t="n"/>
      <c r="G628" s="255" t="n"/>
      <c r="H628" s="255" t="n"/>
      <c r="I628" s="255" t="n"/>
      <c r="J628" s="255" t="n"/>
      <c r="K628" s="255" t="n"/>
      <c r="L628" s="255" t="n"/>
      <c r="M628" s="255" t="n"/>
      <c r="N628" s="255" t="n"/>
      <c r="O628" s="255" t="n"/>
      <c r="P628" s="255" t="n"/>
      <c r="Q628" s="255" t="n"/>
      <c r="R628" s="255" t="n"/>
      <c r="S628" s="255" t="n"/>
      <c r="T628" s="255" t="n"/>
      <c r="U628" s="255" t="n"/>
      <c r="V628" s="255" t="n"/>
      <c r="W628" s="255" t="n"/>
      <c r="X628" s="255" t="n"/>
      <c r="Y628" s="255" t="n"/>
      <c r="Z628" s="255" t="n"/>
    </row>
    <row r="629" ht="12.75" customHeight="1">
      <c r="A629" s="333" t="n"/>
      <c r="B629" s="255" t="n"/>
      <c r="C629" s="255" t="n"/>
      <c r="D629" s="255" t="n"/>
      <c r="E629" s="255" t="n"/>
      <c r="F629" s="255" t="n"/>
      <c r="G629" s="255" t="n"/>
      <c r="H629" s="255" t="n"/>
      <c r="I629" s="255" t="n"/>
      <c r="J629" s="255" t="n"/>
      <c r="K629" s="255" t="n"/>
      <c r="L629" s="255" t="n"/>
      <c r="M629" s="255" t="n"/>
      <c r="N629" s="255" t="n"/>
      <c r="O629" s="255" t="n"/>
      <c r="P629" s="255" t="n"/>
      <c r="Q629" s="255" t="n"/>
      <c r="R629" s="255" t="n"/>
      <c r="S629" s="255" t="n"/>
      <c r="T629" s="255" t="n"/>
      <c r="U629" s="255" t="n"/>
      <c r="V629" s="255" t="n"/>
      <c r="W629" s="255" t="n"/>
      <c r="X629" s="255" t="n"/>
      <c r="Y629" s="255" t="n"/>
      <c r="Z629" s="255" t="n"/>
    </row>
    <row r="630" ht="12.75" customHeight="1">
      <c r="A630" s="333" t="n"/>
      <c r="B630" s="255" t="n"/>
      <c r="C630" s="255" t="n"/>
      <c r="D630" s="255" t="n"/>
      <c r="E630" s="255" t="n"/>
      <c r="F630" s="255" t="n"/>
      <c r="G630" s="255" t="n"/>
      <c r="H630" s="255" t="n"/>
      <c r="I630" s="255" t="n"/>
      <c r="J630" s="255" t="n"/>
      <c r="K630" s="255" t="n"/>
      <c r="L630" s="255" t="n"/>
      <c r="M630" s="255" t="n"/>
      <c r="N630" s="255" t="n"/>
      <c r="O630" s="255" t="n"/>
      <c r="P630" s="255" t="n"/>
      <c r="Q630" s="255" t="n"/>
      <c r="R630" s="255" t="n"/>
      <c r="S630" s="255" t="n"/>
      <c r="T630" s="255" t="n"/>
      <c r="U630" s="255" t="n"/>
      <c r="V630" s="255" t="n"/>
      <c r="W630" s="255" t="n"/>
      <c r="X630" s="255" t="n"/>
      <c r="Y630" s="255" t="n"/>
      <c r="Z630" s="255" t="n"/>
    </row>
    <row r="631" ht="12.75" customHeight="1">
      <c r="A631" s="333" t="n"/>
      <c r="B631" s="255" t="n"/>
      <c r="C631" s="255" t="n"/>
      <c r="D631" s="255" t="n"/>
      <c r="E631" s="255" t="n"/>
      <c r="F631" s="255" t="n"/>
      <c r="G631" s="255" t="n"/>
      <c r="H631" s="255" t="n"/>
      <c r="I631" s="255" t="n"/>
      <c r="J631" s="255" t="n"/>
      <c r="K631" s="255" t="n"/>
      <c r="L631" s="255" t="n"/>
      <c r="M631" s="255" t="n"/>
      <c r="N631" s="255" t="n"/>
      <c r="O631" s="255" t="n"/>
      <c r="P631" s="255" t="n"/>
      <c r="Q631" s="255" t="n"/>
      <c r="R631" s="255" t="n"/>
      <c r="S631" s="255" t="n"/>
      <c r="T631" s="255" t="n"/>
      <c r="U631" s="255" t="n"/>
      <c r="V631" s="255" t="n"/>
      <c r="W631" s="255" t="n"/>
      <c r="X631" s="255" t="n"/>
      <c r="Y631" s="255" t="n"/>
      <c r="Z631" s="255" t="n"/>
    </row>
    <row r="632" ht="12.75" customHeight="1">
      <c r="A632" s="333" t="n"/>
      <c r="B632" s="255" t="n"/>
      <c r="C632" s="255" t="n"/>
      <c r="D632" s="255" t="n"/>
      <c r="E632" s="255" t="n"/>
      <c r="F632" s="255" t="n"/>
      <c r="G632" s="255" t="n"/>
      <c r="H632" s="255" t="n"/>
      <c r="I632" s="255" t="n"/>
      <c r="J632" s="255" t="n"/>
      <c r="K632" s="255" t="n"/>
      <c r="L632" s="255" t="n"/>
      <c r="M632" s="255" t="n"/>
      <c r="N632" s="255" t="n"/>
      <c r="O632" s="255" t="n"/>
      <c r="P632" s="255" t="n"/>
      <c r="Q632" s="255" t="n"/>
      <c r="R632" s="255" t="n"/>
      <c r="S632" s="255" t="n"/>
      <c r="T632" s="255" t="n"/>
      <c r="U632" s="255" t="n"/>
      <c r="V632" s="255" t="n"/>
      <c r="W632" s="255" t="n"/>
      <c r="X632" s="255" t="n"/>
      <c r="Y632" s="255" t="n"/>
      <c r="Z632" s="255" t="n"/>
    </row>
    <row r="633" ht="12.75" customHeight="1">
      <c r="A633" s="333" t="n"/>
      <c r="B633" s="255" t="n"/>
      <c r="C633" s="255" t="n"/>
      <c r="D633" s="255" t="n"/>
      <c r="E633" s="255" t="n"/>
      <c r="F633" s="255" t="n"/>
      <c r="G633" s="255" t="n"/>
      <c r="H633" s="255" t="n"/>
      <c r="I633" s="255" t="n"/>
      <c r="J633" s="255" t="n"/>
      <c r="K633" s="255" t="n"/>
      <c r="L633" s="255" t="n"/>
      <c r="M633" s="255" t="n"/>
      <c r="N633" s="255" t="n"/>
      <c r="O633" s="255" t="n"/>
      <c r="P633" s="255" t="n"/>
      <c r="Q633" s="255" t="n"/>
      <c r="R633" s="255" t="n"/>
      <c r="S633" s="255" t="n"/>
      <c r="T633" s="255" t="n"/>
      <c r="U633" s="255" t="n"/>
      <c r="V633" s="255" t="n"/>
      <c r="W633" s="255" t="n"/>
      <c r="X633" s="255" t="n"/>
      <c r="Y633" s="255" t="n"/>
      <c r="Z633" s="255" t="n"/>
    </row>
    <row r="634" ht="12.75" customHeight="1">
      <c r="A634" s="333" t="n"/>
      <c r="B634" s="255" t="n"/>
      <c r="C634" s="255" t="n"/>
      <c r="D634" s="255" t="n"/>
      <c r="E634" s="255" t="n"/>
      <c r="F634" s="255" t="n"/>
      <c r="G634" s="255" t="n"/>
      <c r="H634" s="255" t="n"/>
      <c r="I634" s="255" t="n"/>
      <c r="J634" s="255" t="n"/>
      <c r="K634" s="255" t="n"/>
      <c r="L634" s="255" t="n"/>
      <c r="M634" s="255" t="n"/>
      <c r="N634" s="255" t="n"/>
      <c r="O634" s="255" t="n"/>
      <c r="P634" s="255" t="n"/>
      <c r="Q634" s="255" t="n"/>
      <c r="R634" s="255" t="n"/>
      <c r="S634" s="255" t="n"/>
      <c r="T634" s="255" t="n"/>
      <c r="U634" s="255" t="n"/>
      <c r="V634" s="255" t="n"/>
      <c r="W634" s="255" t="n"/>
      <c r="X634" s="255" t="n"/>
      <c r="Y634" s="255" t="n"/>
      <c r="Z634" s="255" t="n"/>
    </row>
    <row r="635" ht="12.75" customHeight="1">
      <c r="A635" s="333" t="n"/>
      <c r="B635" s="255" t="n"/>
      <c r="C635" s="255" t="n"/>
      <c r="D635" s="255" t="n"/>
      <c r="E635" s="255" t="n"/>
      <c r="F635" s="255" t="n"/>
      <c r="G635" s="255" t="n"/>
      <c r="H635" s="255" t="n"/>
      <c r="I635" s="255" t="n"/>
      <c r="J635" s="255" t="n"/>
      <c r="K635" s="255" t="n"/>
      <c r="L635" s="255" t="n"/>
      <c r="M635" s="255" t="n"/>
      <c r="N635" s="255" t="n"/>
      <c r="O635" s="255" t="n"/>
      <c r="P635" s="255" t="n"/>
      <c r="Q635" s="255" t="n"/>
      <c r="R635" s="255" t="n"/>
      <c r="S635" s="255" t="n"/>
      <c r="T635" s="255" t="n"/>
      <c r="U635" s="255" t="n"/>
      <c r="V635" s="255" t="n"/>
      <c r="W635" s="255" t="n"/>
      <c r="X635" s="255" t="n"/>
      <c r="Y635" s="255" t="n"/>
      <c r="Z635" s="255" t="n"/>
    </row>
    <row r="636" ht="12.75" customHeight="1">
      <c r="A636" s="333" t="n"/>
      <c r="B636" s="255" t="n"/>
      <c r="C636" s="255" t="n"/>
      <c r="D636" s="255" t="n"/>
      <c r="E636" s="255" t="n"/>
      <c r="F636" s="255" t="n"/>
      <c r="G636" s="255" t="n"/>
      <c r="H636" s="255" t="n"/>
      <c r="I636" s="255" t="n"/>
      <c r="J636" s="255" t="n"/>
      <c r="K636" s="255" t="n"/>
      <c r="L636" s="255" t="n"/>
      <c r="M636" s="255" t="n"/>
      <c r="N636" s="255" t="n"/>
      <c r="O636" s="255" t="n"/>
      <c r="P636" s="255" t="n"/>
      <c r="Q636" s="255" t="n"/>
      <c r="R636" s="255" t="n"/>
      <c r="S636" s="255" t="n"/>
      <c r="T636" s="255" t="n"/>
      <c r="U636" s="255" t="n"/>
      <c r="V636" s="255" t="n"/>
      <c r="W636" s="255" t="n"/>
      <c r="X636" s="255" t="n"/>
      <c r="Y636" s="255" t="n"/>
      <c r="Z636" s="255" t="n"/>
    </row>
    <row r="637" ht="12.75" customHeight="1">
      <c r="A637" s="333" t="n"/>
      <c r="B637" s="255" t="n"/>
      <c r="C637" s="255" t="n"/>
      <c r="D637" s="255" t="n"/>
      <c r="E637" s="255" t="n"/>
      <c r="F637" s="255" t="n"/>
      <c r="G637" s="255" t="n"/>
      <c r="H637" s="255" t="n"/>
      <c r="I637" s="255" t="n"/>
      <c r="J637" s="255" t="n"/>
      <c r="K637" s="255" t="n"/>
      <c r="L637" s="255" t="n"/>
      <c r="M637" s="255" t="n"/>
      <c r="N637" s="255" t="n"/>
      <c r="O637" s="255" t="n"/>
      <c r="P637" s="255" t="n"/>
      <c r="Q637" s="255" t="n"/>
      <c r="R637" s="255" t="n"/>
      <c r="S637" s="255" t="n"/>
      <c r="T637" s="255" t="n"/>
      <c r="U637" s="255" t="n"/>
      <c r="V637" s="255" t="n"/>
      <c r="W637" s="255" t="n"/>
      <c r="X637" s="255" t="n"/>
      <c r="Y637" s="255" t="n"/>
      <c r="Z637" s="255" t="n"/>
    </row>
    <row r="638" ht="12.75" customHeight="1">
      <c r="A638" s="333" t="n"/>
      <c r="B638" s="255" t="n"/>
      <c r="C638" s="255" t="n"/>
      <c r="D638" s="255" t="n"/>
      <c r="E638" s="255" t="n"/>
      <c r="F638" s="255" t="n"/>
      <c r="G638" s="255" t="n"/>
      <c r="H638" s="255" t="n"/>
      <c r="I638" s="255" t="n"/>
      <c r="J638" s="255" t="n"/>
      <c r="K638" s="255" t="n"/>
      <c r="L638" s="255" t="n"/>
      <c r="M638" s="255" t="n"/>
      <c r="N638" s="255" t="n"/>
      <c r="O638" s="255" t="n"/>
      <c r="P638" s="255" t="n"/>
      <c r="Q638" s="255" t="n"/>
      <c r="R638" s="255" t="n"/>
      <c r="S638" s="255" t="n"/>
      <c r="T638" s="255" t="n"/>
      <c r="U638" s="255" t="n"/>
      <c r="V638" s="255" t="n"/>
      <c r="W638" s="255" t="n"/>
      <c r="X638" s="255" t="n"/>
      <c r="Y638" s="255" t="n"/>
      <c r="Z638" s="255" t="n"/>
    </row>
    <row r="639" ht="12.75" customHeight="1">
      <c r="A639" s="333" t="n"/>
      <c r="B639" s="255" t="n"/>
      <c r="C639" s="255" t="n"/>
      <c r="D639" s="255" t="n"/>
      <c r="E639" s="255" t="n"/>
      <c r="F639" s="255" t="n"/>
      <c r="G639" s="255" t="n"/>
      <c r="H639" s="255" t="n"/>
      <c r="I639" s="255" t="n"/>
      <c r="J639" s="255" t="n"/>
      <c r="K639" s="255" t="n"/>
      <c r="L639" s="255" t="n"/>
      <c r="M639" s="255" t="n"/>
      <c r="N639" s="255" t="n"/>
      <c r="O639" s="255" t="n"/>
      <c r="P639" s="255" t="n"/>
      <c r="Q639" s="255" t="n"/>
      <c r="R639" s="255" t="n"/>
      <c r="S639" s="255" t="n"/>
      <c r="T639" s="255" t="n"/>
      <c r="U639" s="255" t="n"/>
      <c r="V639" s="255" t="n"/>
      <c r="W639" s="255" t="n"/>
      <c r="X639" s="255" t="n"/>
      <c r="Y639" s="255" t="n"/>
      <c r="Z639" s="255" t="n"/>
    </row>
    <row r="640" ht="12.75" customHeight="1">
      <c r="A640" s="333" t="n"/>
      <c r="B640" s="255" t="n"/>
      <c r="C640" s="255" t="n"/>
      <c r="D640" s="255" t="n"/>
      <c r="E640" s="255" t="n"/>
      <c r="F640" s="255" t="n"/>
      <c r="G640" s="255" t="n"/>
      <c r="H640" s="255" t="n"/>
      <c r="I640" s="255" t="n"/>
      <c r="J640" s="255" t="n"/>
      <c r="K640" s="255" t="n"/>
      <c r="L640" s="255" t="n"/>
      <c r="M640" s="255" t="n"/>
      <c r="N640" s="255" t="n"/>
      <c r="O640" s="255" t="n"/>
      <c r="P640" s="255" t="n"/>
      <c r="Q640" s="255" t="n"/>
      <c r="R640" s="255" t="n"/>
      <c r="S640" s="255" t="n"/>
      <c r="T640" s="255" t="n"/>
      <c r="U640" s="255" t="n"/>
      <c r="V640" s="255" t="n"/>
      <c r="W640" s="255" t="n"/>
      <c r="X640" s="255" t="n"/>
      <c r="Y640" s="255" t="n"/>
      <c r="Z640" s="255" t="n"/>
    </row>
    <row r="641" ht="12.75" customHeight="1">
      <c r="A641" s="333" t="n"/>
      <c r="B641" s="255" t="n"/>
      <c r="C641" s="255" t="n"/>
      <c r="D641" s="255" t="n"/>
      <c r="E641" s="255" t="n"/>
      <c r="F641" s="255" t="n"/>
      <c r="G641" s="255" t="n"/>
      <c r="H641" s="255" t="n"/>
      <c r="I641" s="255" t="n"/>
      <c r="J641" s="255" t="n"/>
      <c r="K641" s="255" t="n"/>
      <c r="L641" s="255" t="n"/>
      <c r="M641" s="255" t="n"/>
      <c r="N641" s="255" t="n"/>
      <c r="O641" s="255" t="n"/>
      <c r="P641" s="255" t="n"/>
      <c r="Q641" s="255" t="n"/>
      <c r="R641" s="255" t="n"/>
      <c r="S641" s="255" t="n"/>
      <c r="T641" s="255" t="n"/>
      <c r="U641" s="255" t="n"/>
      <c r="V641" s="255" t="n"/>
      <c r="W641" s="255" t="n"/>
      <c r="X641" s="255" t="n"/>
      <c r="Y641" s="255" t="n"/>
      <c r="Z641" s="255" t="n"/>
    </row>
    <row r="642" ht="12.75" customHeight="1">
      <c r="A642" s="333" t="n"/>
      <c r="B642" s="255" t="n"/>
      <c r="C642" s="255" t="n"/>
      <c r="D642" s="255" t="n"/>
      <c r="E642" s="255" t="n"/>
      <c r="F642" s="255" t="n"/>
      <c r="G642" s="255" t="n"/>
      <c r="H642" s="255" t="n"/>
      <c r="I642" s="255" t="n"/>
      <c r="J642" s="255" t="n"/>
      <c r="K642" s="255" t="n"/>
      <c r="L642" s="255" t="n"/>
      <c r="M642" s="255" t="n"/>
      <c r="N642" s="255" t="n"/>
      <c r="O642" s="255" t="n"/>
      <c r="P642" s="255" t="n"/>
      <c r="Q642" s="255" t="n"/>
      <c r="R642" s="255" t="n"/>
      <c r="S642" s="255" t="n"/>
      <c r="T642" s="255" t="n"/>
      <c r="U642" s="255" t="n"/>
      <c r="V642" s="255" t="n"/>
      <c r="W642" s="255" t="n"/>
      <c r="X642" s="255" t="n"/>
      <c r="Y642" s="255" t="n"/>
      <c r="Z642" s="255" t="n"/>
    </row>
    <row r="643" ht="12.75" customHeight="1">
      <c r="A643" s="333" t="n"/>
      <c r="B643" s="255" t="n"/>
      <c r="C643" s="255" t="n"/>
      <c r="D643" s="255" t="n"/>
      <c r="E643" s="255" t="n"/>
      <c r="F643" s="255" t="n"/>
      <c r="G643" s="255" t="n"/>
      <c r="H643" s="255" t="n"/>
      <c r="I643" s="255" t="n"/>
      <c r="J643" s="255" t="n"/>
      <c r="K643" s="255" t="n"/>
      <c r="L643" s="255" t="n"/>
      <c r="M643" s="255" t="n"/>
      <c r="N643" s="255" t="n"/>
      <c r="O643" s="255" t="n"/>
      <c r="P643" s="255" t="n"/>
      <c r="Q643" s="255" t="n"/>
      <c r="R643" s="255" t="n"/>
      <c r="S643" s="255" t="n"/>
      <c r="T643" s="255" t="n"/>
      <c r="U643" s="255" t="n"/>
      <c r="V643" s="255" t="n"/>
      <c r="W643" s="255" t="n"/>
      <c r="X643" s="255" t="n"/>
      <c r="Y643" s="255" t="n"/>
      <c r="Z643" s="255" t="n"/>
    </row>
    <row r="644" ht="12.75" customHeight="1">
      <c r="A644" s="333" t="n"/>
      <c r="B644" s="255" t="n"/>
      <c r="C644" s="255" t="n"/>
      <c r="D644" s="255" t="n"/>
      <c r="E644" s="255" t="n"/>
      <c r="F644" s="255" t="n"/>
      <c r="G644" s="255" t="n"/>
      <c r="H644" s="255" t="n"/>
      <c r="I644" s="255" t="n"/>
      <c r="J644" s="255" t="n"/>
      <c r="K644" s="255" t="n"/>
      <c r="L644" s="255" t="n"/>
      <c r="M644" s="255" t="n"/>
      <c r="N644" s="255" t="n"/>
      <c r="O644" s="255" t="n"/>
      <c r="P644" s="255" t="n"/>
      <c r="Q644" s="255" t="n"/>
      <c r="R644" s="255" t="n"/>
      <c r="S644" s="255" t="n"/>
      <c r="T644" s="255" t="n"/>
      <c r="U644" s="255" t="n"/>
      <c r="V644" s="255" t="n"/>
      <c r="W644" s="255" t="n"/>
      <c r="X644" s="255" t="n"/>
      <c r="Y644" s="255" t="n"/>
      <c r="Z644" s="255" t="n"/>
    </row>
    <row r="645" ht="12.75" customHeight="1">
      <c r="A645" s="333" t="n"/>
      <c r="B645" s="255" t="n"/>
      <c r="C645" s="255" t="n"/>
      <c r="D645" s="255" t="n"/>
      <c r="E645" s="255" t="n"/>
      <c r="F645" s="255" t="n"/>
      <c r="G645" s="255" t="n"/>
      <c r="H645" s="255" t="n"/>
      <c r="I645" s="255" t="n"/>
      <c r="J645" s="255" t="n"/>
      <c r="K645" s="255" t="n"/>
      <c r="L645" s="255" t="n"/>
      <c r="M645" s="255" t="n"/>
      <c r="N645" s="255" t="n"/>
      <c r="O645" s="255" t="n"/>
      <c r="P645" s="255" t="n"/>
      <c r="Q645" s="255" t="n"/>
      <c r="R645" s="255" t="n"/>
      <c r="S645" s="255" t="n"/>
      <c r="T645" s="255" t="n"/>
      <c r="U645" s="255" t="n"/>
      <c r="V645" s="255" t="n"/>
      <c r="W645" s="255" t="n"/>
      <c r="X645" s="255" t="n"/>
      <c r="Y645" s="255" t="n"/>
      <c r="Z645" s="255" t="n"/>
    </row>
    <row r="646" ht="12.75" customHeight="1">
      <c r="A646" s="333" t="n"/>
      <c r="B646" s="255" t="n"/>
      <c r="C646" s="255" t="n"/>
      <c r="D646" s="255" t="n"/>
      <c r="E646" s="255" t="n"/>
      <c r="F646" s="255" t="n"/>
      <c r="G646" s="255" t="n"/>
      <c r="H646" s="255" t="n"/>
      <c r="I646" s="255" t="n"/>
      <c r="J646" s="255" t="n"/>
      <c r="K646" s="255" t="n"/>
      <c r="L646" s="255" t="n"/>
      <c r="M646" s="255" t="n"/>
      <c r="N646" s="255" t="n"/>
      <c r="O646" s="255" t="n"/>
      <c r="P646" s="255" t="n"/>
      <c r="Q646" s="255" t="n"/>
      <c r="R646" s="255" t="n"/>
      <c r="S646" s="255" t="n"/>
      <c r="T646" s="255" t="n"/>
      <c r="U646" s="255" t="n"/>
      <c r="V646" s="255" t="n"/>
      <c r="W646" s="255" t="n"/>
      <c r="X646" s="255" t="n"/>
      <c r="Y646" s="255" t="n"/>
      <c r="Z646" s="255" t="n"/>
    </row>
    <row r="647" ht="12.75" customHeight="1">
      <c r="A647" s="333" t="n"/>
      <c r="B647" s="255" t="n"/>
      <c r="C647" s="255" t="n"/>
      <c r="D647" s="255" t="n"/>
      <c r="E647" s="255" t="n"/>
      <c r="F647" s="255" t="n"/>
      <c r="G647" s="255" t="n"/>
      <c r="H647" s="255" t="n"/>
      <c r="I647" s="255" t="n"/>
      <c r="J647" s="255" t="n"/>
      <c r="K647" s="255" t="n"/>
      <c r="L647" s="255" t="n"/>
      <c r="M647" s="255" t="n"/>
      <c r="N647" s="255" t="n"/>
      <c r="O647" s="255" t="n"/>
      <c r="P647" s="255" t="n"/>
      <c r="Q647" s="255" t="n"/>
      <c r="R647" s="255" t="n"/>
      <c r="S647" s="255" t="n"/>
      <c r="T647" s="255" t="n"/>
      <c r="U647" s="255" t="n"/>
      <c r="V647" s="255" t="n"/>
      <c r="W647" s="255" t="n"/>
      <c r="X647" s="255" t="n"/>
      <c r="Y647" s="255" t="n"/>
      <c r="Z647" s="255" t="n"/>
    </row>
    <row r="648" ht="12.75" customHeight="1">
      <c r="A648" s="333" t="n"/>
      <c r="B648" s="255" t="n"/>
      <c r="C648" s="255" t="n"/>
      <c r="D648" s="255" t="n"/>
      <c r="E648" s="255" t="n"/>
      <c r="F648" s="255" t="n"/>
      <c r="G648" s="255" t="n"/>
      <c r="H648" s="255" t="n"/>
      <c r="I648" s="255" t="n"/>
      <c r="J648" s="255" t="n"/>
      <c r="K648" s="255" t="n"/>
      <c r="L648" s="255" t="n"/>
      <c r="M648" s="255" t="n"/>
      <c r="N648" s="255" t="n"/>
      <c r="O648" s="255" t="n"/>
      <c r="P648" s="255" t="n"/>
      <c r="Q648" s="255" t="n"/>
      <c r="R648" s="255" t="n"/>
      <c r="S648" s="255" t="n"/>
      <c r="T648" s="255" t="n"/>
      <c r="U648" s="255" t="n"/>
      <c r="V648" s="255" t="n"/>
      <c r="W648" s="255" t="n"/>
      <c r="X648" s="255" t="n"/>
      <c r="Y648" s="255" t="n"/>
      <c r="Z648" s="255" t="n"/>
    </row>
    <row r="649" ht="12.75" customHeight="1">
      <c r="A649" s="333" t="n"/>
      <c r="B649" s="255" t="n"/>
      <c r="C649" s="255" t="n"/>
      <c r="D649" s="255" t="n"/>
      <c r="E649" s="255" t="n"/>
      <c r="F649" s="255" t="n"/>
      <c r="G649" s="255" t="n"/>
      <c r="H649" s="255" t="n"/>
      <c r="I649" s="255" t="n"/>
      <c r="J649" s="255" t="n"/>
      <c r="K649" s="255" t="n"/>
      <c r="L649" s="255" t="n"/>
      <c r="M649" s="255" t="n"/>
      <c r="N649" s="255" t="n"/>
      <c r="O649" s="255" t="n"/>
      <c r="P649" s="255" t="n"/>
      <c r="Q649" s="255" t="n"/>
      <c r="R649" s="255" t="n"/>
      <c r="S649" s="255" t="n"/>
      <c r="T649" s="255" t="n"/>
      <c r="U649" s="255" t="n"/>
      <c r="V649" s="255" t="n"/>
      <c r="W649" s="255" t="n"/>
      <c r="X649" s="255" t="n"/>
      <c r="Y649" s="255" t="n"/>
      <c r="Z649" s="255" t="n"/>
    </row>
    <row r="650" ht="12.75" customHeight="1">
      <c r="A650" s="333" t="n"/>
      <c r="B650" s="255" t="n"/>
      <c r="C650" s="255" t="n"/>
      <c r="D650" s="255" t="n"/>
      <c r="E650" s="255" t="n"/>
      <c r="F650" s="255" t="n"/>
      <c r="G650" s="255" t="n"/>
      <c r="H650" s="255" t="n"/>
      <c r="I650" s="255" t="n"/>
      <c r="J650" s="255" t="n"/>
      <c r="K650" s="255" t="n"/>
      <c r="L650" s="255" t="n"/>
      <c r="M650" s="255" t="n"/>
      <c r="N650" s="255" t="n"/>
      <c r="O650" s="255" t="n"/>
      <c r="P650" s="255" t="n"/>
      <c r="Q650" s="255" t="n"/>
      <c r="R650" s="255" t="n"/>
      <c r="S650" s="255" t="n"/>
      <c r="T650" s="255" t="n"/>
      <c r="U650" s="255" t="n"/>
      <c r="V650" s="255" t="n"/>
      <c r="W650" s="255" t="n"/>
      <c r="X650" s="255" t="n"/>
      <c r="Y650" s="255" t="n"/>
      <c r="Z650" s="255" t="n"/>
    </row>
    <row r="651" ht="12.75" customHeight="1">
      <c r="A651" s="333" t="n"/>
      <c r="B651" s="255" t="n"/>
      <c r="C651" s="255" t="n"/>
      <c r="D651" s="255" t="n"/>
      <c r="E651" s="255" t="n"/>
      <c r="F651" s="255" t="n"/>
      <c r="G651" s="255" t="n"/>
      <c r="H651" s="255" t="n"/>
      <c r="I651" s="255" t="n"/>
      <c r="J651" s="255" t="n"/>
      <c r="K651" s="255" t="n"/>
      <c r="L651" s="255" t="n"/>
      <c r="M651" s="255" t="n"/>
      <c r="N651" s="255" t="n"/>
      <c r="O651" s="255" t="n"/>
      <c r="P651" s="255" t="n"/>
      <c r="Q651" s="255" t="n"/>
      <c r="R651" s="255" t="n"/>
      <c r="S651" s="255" t="n"/>
      <c r="T651" s="255" t="n"/>
      <c r="U651" s="255" t="n"/>
      <c r="V651" s="255" t="n"/>
      <c r="W651" s="255" t="n"/>
      <c r="X651" s="255" t="n"/>
      <c r="Y651" s="255" t="n"/>
      <c r="Z651" s="255" t="n"/>
    </row>
    <row r="652" ht="12.75" customHeight="1">
      <c r="A652" s="333" t="n"/>
      <c r="B652" s="255" t="n"/>
      <c r="C652" s="255" t="n"/>
      <c r="D652" s="255" t="n"/>
      <c r="E652" s="255" t="n"/>
      <c r="F652" s="255" t="n"/>
      <c r="G652" s="255" t="n"/>
      <c r="H652" s="255" t="n"/>
      <c r="I652" s="255" t="n"/>
      <c r="J652" s="255" t="n"/>
      <c r="K652" s="255" t="n"/>
      <c r="L652" s="255" t="n"/>
      <c r="M652" s="255" t="n"/>
      <c r="N652" s="255" t="n"/>
      <c r="O652" s="255" t="n"/>
      <c r="P652" s="255" t="n"/>
      <c r="Q652" s="255" t="n"/>
      <c r="R652" s="255" t="n"/>
      <c r="S652" s="255" t="n"/>
      <c r="T652" s="255" t="n"/>
      <c r="U652" s="255" t="n"/>
      <c r="V652" s="255" t="n"/>
      <c r="W652" s="255" t="n"/>
      <c r="X652" s="255" t="n"/>
      <c r="Y652" s="255" t="n"/>
      <c r="Z652" s="255" t="n"/>
    </row>
    <row r="653" ht="12.75" customHeight="1">
      <c r="A653" s="333" t="n"/>
      <c r="B653" s="255" t="n"/>
      <c r="C653" s="255" t="n"/>
      <c r="D653" s="255" t="n"/>
      <c r="E653" s="255" t="n"/>
      <c r="F653" s="255" t="n"/>
      <c r="G653" s="255" t="n"/>
      <c r="H653" s="255" t="n"/>
      <c r="I653" s="255" t="n"/>
      <c r="J653" s="255" t="n"/>
      <c r="K653" s="255" t="n"/>
      <c r="L653" s="255" t="n"/>
      <c r="M653" s="255" t="n"/>
      <c r="N653" s="255" t="n"/>
      <c r="O653" s="255" t="n"/>
      <c r="P653" s="255" t="n"/>
      <c r="Q653" s="255" t="n"/>
      <c r="R653" s="255" t="n"/>
      <c r="S653" s="255" t="n"/>
      <c r="T653" s="255" t="n"/>
      <c r="U653" s="255" t="n"/>
      <c r="V653" s="255" t="n"/>
      <c r="W653" s="255" t="n"/>
      <c r="X653" s="255" t="n"/>
      <c r="Y653" s="255" t="n"/>
      <c r="Z653" s="255" t="n"/>
    </row>
    <row r="654" ht="12.75" customHeight="1">
      <c r="A654" s="333" t="n"/>
      <c r="B654" s="255" t="n"/>
      <c r="C654" s="255" t="n"/>
      <c r="D654" s="255" t="n"/>
      <c r="E654" s="255" t="n"/>
      <c r="F654" s="255" t="n"/>
      <c r="G654" s="255" t="n"/>
      <c r="H654" s="255" t="n"/>
      <c r="I654" s="255" t="n"/>
      <c r="J654" s="255" t="n"/>
      <c r="K654" s="255" t="n"/>
      <c r="L654" s="255" t="n"/>
      <c r="M654" s="255" t="n"/>
      <c r="N654" s="255" t="n"/>
      <c r="O654" s="255" t="n"/>
      <c r="P654" s="255" t="n"/>
      <c r="Q654" s="255" t="n"/>
      <c r="R654" s="255" t="n"/>
      <c r="S654" s="255" t="n"/>
      <c r="T654" s="255" t="n"/>
      <c r="U654" s="255" t="n"/>
      <c r="V654" s="255" t="n"/>
      <c r="W654" s="255" t="n"/>
      <c r="X654" s="255" t="n"/>
      <c r="Y654" s="255" t="n"/>
      <c r="Z654" s="255" t="n"/>
    </row>
    <row r="655" ht="12.75" customHeight="1">
      <c r="A655" s="333" t="n"/>
      <c r="B655" s="255" t="n"/>
      <c r="C655" s="255" t="n"/>
      <c r="D655" s="255" t="n"/>
      <c r="E655" s="255" t="n"/>
      <c r="F655" s="255" t="n"/>
      <c r="G655" s="255" t="n"/>
      <c r="H655" s="255" t="n"/>
      <c r="I655" s="255" t="n"/>
      <c r="J655" s="255" t="n"/>
      <c r="K655" s="255" t="n"/>
      <c r="L655" s="255" t="n"/>
      <c r="M655" s="255" t="n"/>
      <c r="N655" s="255" t="n"/>
      <c r="O655" s="255" t="n"/>
      <c r="P655" s="255" t="n"/>
      <c r="Q655" s="255" t="n"/>
      <c r="R655" s="255" t="n"/>
      <c r="S655" s="255" t="n"/>
      <c r="T655" s="255" t="n"/>
      <c r="U655" s="255" t="n"/>
      <c r="V655" s="255" t="n"/>
      <c r="W655" s="255" t="n"/>
      <c r="X655" s="255" t="n"/>
      <c r="Y655" s="255" t="n"/>
      <c r="Z655" s="255" t="n"/>
    </row>
    <row r="656" ht="12.75" customHeight="1">
      <c r="A656" s="333" t="n"/>
      <c r="B656" s="255" t="n"/>
      <c r="C656" s="255" t="n"/>
      <c r="D656" s="255" t="n"/>
      <c r="E656" s="255" t="n"/>
      <c r="F656" s="255" t="n"/>
      <c r="G656" s="255" t="n"/>
      <c r="H656" s="255" t="n"/>
      <c r="I656" s="255" t="n"/>
      <c r="J656" s="255" t="n"/>
      <c r="K656" s="255" t="n"/>
      <c r="L656" s="255" t="n"/>
      <c r="M656" s="255" t="n"/>
      <c r="N656" s="255" t="n"/>
      <c r="O656" s="255" t="n"/>
      <c r="P656" s="255" t="n"/>
      <c r="Q656" s="255" t="n"/>
      <c r="R656" s="255" t="n"/>
      <c r="S656" s="255" t="n"/>
      <c r="T656" s="255" t="n"/>
      <c r="U656" s="255" t="n"/>
      <c r="V656" s="255" t="n"/>
      <c r="W656" s="255" t="n"/>
      <c r="X656" s="255" t="n"/>
      <c r="Y656" s="255" t="n"/>
      <c r="Z656" s="255" t="n"/>
    </row>
    <row r="657" ht="12.75" customHeight="1">
      <c r="A657" s="333" t="n"/>
      <c r="B657" s="255" t="n"/>
      <c r="C657" s="255" t="n"/>
      <c r="D657" s="255" t="n"/>
      <c r="E657" s="255" t="n"/>
      <c r="F657" s="255" t="n"/>
      <c r="G657" s="255" t="n"/>
      <c r="H657" s="255" t="n"/>
      <c r="I657" s="255" t="n"/>
      <c r="J657" s="255" t="n"/>
      <c r="K657" s="255" t="n"/>
      <c r="L657" s="255" t="n"/>
      <c r="M657" s="255" t="n"/>
      <c r="N657" s="255" t="n"/>
      <c r="O657" s="255" t="n"/>
      <c r="P657" s="255" t="n"/>
      <c r="Q657" s="255" t="n"/>
      <c r="R657" s="255" t="n"/>
      <c r="S657" s="255" t="n"/>
      <c r="T657" s="255" t="n"/>
      <c r="U657" s="255" t="n"/>
      <c r="V657" s="255" t="n"/>
      <c r="W657" s="255" t="n"/>
      <c r="X657" s="255" t="n"/>
      <c r="Y657" s="255" t="n"/>
      <c r="Z657" s="255" t="n"/>
    </row>
    <row r="658" ht="12.75" customHeight="1">
      <c r="A658" s="333" t="n"/>
      <c r="B658" s="255" t="n"/>
      <c r="C658" s="255" t="n"/>
      <c r="D658" s="255" t="n"/>
      <c r="E658" s="255" t="n"/>
      <c r="F658" s="255" t="n"/>
      <c r="G658" s="255" t="n"/>
      <c r="H658" s="255" t="n"/>
      <c r="I658" s="255" t="n"/>
      <c r="J658" s="255" t="n"/>
      <c r="K658" s="255" t="n"/>
      <c r="L658" s="255" t="n"/>
      <c r="M658" s="255" t="n"/>
      <c r="N658" s="255" t="n"/>
      <c r="O658" s="255" t="n"/>
      <c r="P658" s="255" t="n"/>
      <c r="Q658" s="255" t="n"/>
      <c r="R658" s="255" t="n"/>
      <c r="S658" s="255" t="n"/>
      <c r="T658" s="255" t="n"/>
      <c r="U658" s="255" t="n"/>
      <c r="V658" s="255" t="n"/>
      <c r="W658" s="255" t="n"/>
      <c r="X658" s="255" t="n"/>
      <c r="Y658" s="255" t="n"/>
      <c r="Z658" s="255" t="n"/>
    </row>
    <row r="659" ht="12.75" customHeight="1">
      <c r="A659" s="333" t="n"/>
      <c r="B659" s="255" t="n"/>
      <c r="C659" s="255" t="n"/>
      <c r="D659" s="255" t="n"/>
      <c r="E659" s="255" t="n"/>
      <c r="F659" s="255" t="n"/>
      <c r="G659" s="255" t="n"/>
      <c r="H659" s="255" t="n"/>
      <c r="I659" s="255" t="n"/>
      <c r="J659" s="255" t="n"/>
      <c r="K659" s="255" t="n"/>
      <c r="L659" s="255" t="n"/>
      <c r="M659" s="255" t="n"/>
      <c r="N659" s="255" t="n"/>
      <c r="O659" s="255" t="n"/>
      <c r="P659" s="255" t="n"/>
      <c r="Q659" s="255" t="n"/>
      <c r="R659" s="255" t="n"/>
      <c r="S659" s="255" t="n"/>
      <c r="T659" s="255" t="n"/>
      <c r="U659" s="255" t="n"/>
      <c r="V659" s="255" t="n"/>
      <c r="W659" s="255" t="n"/>
      <c r="X659" s="255" t="n"/>
      <c r="Y659" s="255" t="n"/>
      <c r="Z659" s="255" t="n"/>
    </row>
    <row r="660" ht="12.75" customHeight="1">
      <c r="A660" s="333" t="n"/>
      <c r="B660" s="255" t="n"/>
      <c r="C660" s="255" t="n"/>
      <c r="D660" s="255" t="n"/>
      <c r="E660" s="255" t="n"/>
      <c r="F660" s="255" t="n"/>
      <c r="G660" s="255" t="n"/>
      <c r="H660" s="255" t="n"/>
      <c r="I660" s="255" t="n"/>
      <c r="J660" s="255" t="n"/>
      <c r="K660" s="255" t="n"/>
      <c r="L660" s="255" t="n"/>
      <c r="M660" s="255" t="n"/>
      <c r="N660" s="255" t="n"/>
      <c r="O660" s="255" t="n"/>
      <c r="P660" s="255" t="n"/>
      <c r="Q660" s="255" t="n"/>
      <c r="R660" s="255" t="n"/>
      <c r="S660" s="255" t="n"/>
      <c r="T660" s="255" t="n"/>
      <c r="U660" s="255" t="n"/>
      <c r="V660" s="255" t="n"/>
      <c r="W660" s="255" t="n"/>
      <c r="X660" s="255" t="n"/>
      <c r="Y660" s="255" t="n"/>
      <c r="Z660" s="255" t="n"/>
    </row>
    <row r="661" ht="12.75" customHeight="1">
      <c r="A661" s="333" t="n"/>
      <c r="B661" s="255" t="n"/>
      <c r="C661" s="255" t="n"/>
      <c r="D661" s="255" t="n"/>
      <c r="E661" s="255" t="n"/>
      <c r="F661" s="255" t="n"/>
      <c r="G661" s="255" t="n"/>
      <c r="H661" s="255" t="n"/>
      <c r="I661" s="255" t="n"/>
      <c r="J661" s="255" t="n"/>
      <c r="K661" s="255" t="n"/>
      <c r="L661" s="255" t="n"/>
      <c r="M661" s="255" t="n"/>
      <c r="N661" s="255" t="n"/>
      <c r="O661" s="255" t="n"/>
      <c r="P661" s="255" t="n"/>
      <c r="Q661" s="255" t="n"/>
      <c r="R661" s="255" t="n"/>
      <c r="S661" s="255" t="n"/>
      <c r="T661" s="255" t="n"/>
      <c r="U661" s="255" t="n"/>
      <c r="V661" s="255" t="n"/>
      <c r="W661" s="255" t="n"/>
      <c r="X661" s="255" t="n"/>
      <c r="Y661" s="255" t="n"/>
      <c r="Z661" s="255" t="n"/>
    </row>
    <row r="662" ht="12.75" customHeight="1">
      <c r="A662" s="333" t="n"/>
      <c r="B662" s="255" t="n"/>
      <c r="C662" s="255" t="n"/>
      <c r="D662" s="255" t="n"/>
      <c r="E662" s="255" t="n"/>
      <c r="F662" s="255" t="n"/>
      <c r="G662" s="255" t="n"/>
      <c r="H662" s="255" t="n"/>
      <c r="I662" s="255" t="n"/>
      <c r="J662" s="255" t="n"/>
      <c r="K662" s="255" t="n"/>
      <c r="L662" s="255" t="n"/>
      <c r="M662" s="255" t="n"/>
      <c r="N662" s="255" t="n"/>
      <c r="O662" s="255" t="n"/>
      <c r="P662" s="255" t="n"/>
      <c r="Q662" s="255" t="n"/>
      <c r="R662" s="255" t="n"/>
      <c r="S662" s="255" t="n"/>
      <c r="T662" s="255" t="n"/>
      <c r="U662" s="255" t="n"/>
      <c r="V662" s="255" t="n"/>
      <c r="W662" s="255" t="n"/>
      <c r="X662" s="255" t="n"/>
      <c r="Y662" s="255" t="n"/>
      <c r="Z662" s="255" t="n"/>
    </row>
    <row r="663" ht="12.75" customHeight="1">
      <c r="A663" s="333" t="n"/>
      <c r="B663" s="255" t="n"/>
      <c r="C663" s="255" t="n"/>
      <c r="D663" s="255" t="n"/>
      <c r="E663" s="255" t="n"/>
      <c r="F663" s="255" t="n"/>
      <c r="G663" s="255" t="n"/>
      <c r="H663" s="255" t="n"/>
      <c r="I663" s="255" t="n"/>
      <c r="J663" s="255" t="n"/>
      <c r="K663" s="255" t="n"/>
      <c r="L663" s="255" t="n"/>
      <c r="M663" s="255" t="n"/>
      <c r="N663" s="255" t="n"/>
      <c r="O663" s="255" t="n"/>
      <c r="P663" s="255" t="n"/>
      <c r="Q663" s="255" t="n"/>
      <c r="R663" s="255" t="n"/>
      <c r="S663" s="255" t="n"/>
      <c r="T663" s="255" t="n"/>
      <c r="U663" s="255" t="n"/>
      <c r="V663" s="255" t="n"/>
      <c r="W663" s="255" t="n"/>
      <c r="X663" s="255" t="n"/>
      <c r="Y663" s="255" t="n"/>
      <c r="Z663" s="255" t="n"/>
    </row>
    <row r="664" ht="12.75" customHeight="1">
      <c r="A664" s="333" t="n"/>
      <c r="B664" s="255" t="n"/>
      <c r="C664" s="255" t="n"/>
      <c r="D664" s="255" t="n"/>
      <c r="E664" s="255" t="n"/>
      <c r="F664" s="255" t="n"/>
      <c r="G664" s="255" t="n"/>
      <c r="H664" s="255" t="n"/>
      <c r="I664" s="255" t="n"/>
      <c r="J664" s="255" t="n"/>
      <c r="K664" s="255" t="n"/>
      <c r="L664" s="255" t="n"/>
      <c r="M664" s="255" t="n"/>
      <c r="N664" s="255" t="n"/>
      <c r="O664" s="255" t="n"/>
      <c r="P664" s="255" t="n"/>
      <c r="Q664" s="255" t="n"/>
      <c r="R664" s="255" t="n"/>
      <c r="S664" s="255" t="n"/>
      <c r="T664" s="255" t="n"/>
      <c r="U664" s="255" t="n"/>
      <c r="V664" s="255" t="n"/>
      <c r="W664" s="255" t="n"/>
      <c r="X664" s="255" t="n"/>
      <c r="Y664" s="255" t="n"/>
      <c r="Z664" s="255" t="n"/>
    </row>
    <row r="665" ht="12.75" customHeight="1">
      <c r="A665" s="333" t="n"/>
      <c r="B665" s="255" t="n"/>
      <c r="C665" s="255" t="n"/>
      <c r="D665" s="255" t="n"/>
      <c r="E665" s="255" t="n"/>
      <c r="F665" s="255" t="n"/>
      <c r="G665" s="255" t="n"/>
      <c r="H665" s="255" t="n"/>
      <c r="I665" s="255" t="n"/>
      <c r="J665" s="255" t="n"/>
      <c r="K665" s="255" t="n"/>
      <c r="L665" s="255" t="n"/>
      <c r="M665" s="255" t="n"/>
      <c r="N665" s="255" t="n"/>
      <c r="O665" s="255" t="n"/>
      <c r="P665" s="255" t="n"/>
      <c r="Q665" s="255" t="n"/>
      <c r="R665" s="255" t="n"/>
      <c r="S665" s="255" t="n"/>
      <c r="T665" s="255" t="n"/>
      <c r="U665" s="255" t="n"/>
      <c r="V665" s="255" t="n"/>
      <c r="W665" s="255" t="n"/>
      <c r="X665" s="255" t="n"/>
      <c r="Y665" s="255" t="n"/>
      <c r="Z665" s="255" t="n"/>
    </row>
    <row r="666" ht="12.75" customHeight="1">
      <c r="A666" s="333" t="n"/>
      <c r="B666" s="255" t="n"/>
      <c r="C666" s="255" t="n"/>
      <c r="D666" s="255" t="n"/>
      <c r="E666" s="255" t="n"/>
      <c r="F666" s="255" t="n"/>
      <c r="G666" s="255" t="n"/>
      <c r="H666" s="255" t="n"/>
      <c r="I666" s="255" t="n"/>
      <c r="J666" s="255" t="n"/>
      <c r="K666" s="255" t="n"/>
      <c r="L666" s="255" t="n"/>
      <c r="M666" s="255" t="n"/>
      <c r="N666" s="255" t="n"/>
      <c r="O666" s="255" t="n"/>
      <c r="P666" s="255" t="n"/>
      <c r="Q666" s="255" t="n"/>
      <c r="R666" s="255" t="n"/>
      <c r="S666" s="255" t="n"/>
      <c r="T666" s="255" t="n"/>
      <c r="U666" s="255" t="n"/>
      <c r="V666" s="255" t="n"/>
      <c r="W666" s="255" t="n"/>
      <c r="X666" s="255" t="n"/>
      <c r="Y666" s="255" t="n"/>
      <c r="Z666" s="255" t="n"/>
    </row>
    <row r="667" ht="12.75" customHeight="1">
      <c r="A667" s="333" t="n"/>
      <c r="B667" s="255" t="n"/>
      <c r="C667" s="255" t="n"/>
      <c r="D667" s="255" t="n"/>
      <c r="E667" s="255" t="n"/>
      <c r="F667" s="255" t="n"/>
      <c r="G667" s="255" t="n"/>
      <c r="H667" s="255" t="n"/>
      <c r="I667" s="255" t="n"/>
      <c r="J667" s="255" t="n"/>
      <c r="K667" s="255" t="n"/>
      <c r="L667" s="255" t="n"/>
      <c r="M667" s="255" t="n"/>
      <c r="N667" s="255" t="n"/>
      <c r="O667" s="255" t="n"/>
      <c r="P667" s="255" t="n"/>
      <c r="Q667" s="255" t="n"/>
      <c r="R667" s="255" t="n"/>
      <c r="S667" s="255" t="n"/>
      <c r="T667" s="255" t="n"/>
      <c r="U667" s="255" t="n"/>
      <c r="V667" s="255" t="n"/>
      <c r="W667" s="255" t="n"/>
      <c r="X667" s="255" t="n"/>
      <c r="Y667" s="255" t="n"/>
      <c r="Z667" s="255" t="n"/>
    </row>
    <row r="668" ht="12.75" customHeight="1">
      <c r="A668" s="333" t="n"/>
      <c r="B668" s="255" t="n"/>
      <c r="C668" s="255" t="n"/>
      <c r="D668" s="255" t="n"/>
      <c r="E668" s="255" t="n"/>
      <c r="F668" s="255" t="n"/>
      <c r="G668" s="255" t="n"/>
      <c r="H668" s="255" t="n"/>
      <c r="I668" s="255" t="n"/>
      <c r="J668" s="255" t="n"/>
      <c r="K668" s="255" t="n"/>
      <c r="L668" s="255" t="n"/>
      <c r="M668" s="255" t="n"/>
      <c r="N668" s="255" t="n"/>
      <c r="O668" s="255" t="n"/>
      <c r="P668" s="255" t="n"/>
      <c r="Q668" s="255" t="n"/>
      <c r="R668" s="255" t="n"/>
      <c r="S668" s="255" t="n"/>
      <c r="T668" s="255" t="n"/>
      <c r="U668" s="255" t="n"/>
      <c r="V668" s="255" t="n"/>
      <c r="W668" s="255" t="n"/>
      <c r="X668" s="255" t="n"/>
      <c r="Y668" s="255" t="n"/>
      <c r="Z668" s="255" t="n"/>
    </row>
    <row r="669" ht="12.75" customHeight="1">
      <c r="A669" s="333" t="n"/>
      <c r="B669" s="255" t="n"/>
      <c r="C669" s="255" t="n"/>
      <c r="D669" s="255" t="n"/>
      <c r="E669" s="255" t="n"/>
      <c r="F669" s="255" t="n"/>
      <c r="G669" s="255" t="n"/>
      <c r="H669" s="255" t="n"/>
      <c r="I669" s="255" t="n"/>
      <c r="J669" s="255" t="n"/>
      <c r="K669" s="255" t="n"/>
      <c r="L669" s="255" t="n"/>
      <c r="M669" s="255" t="n"/>
      <c r="N669" s="255" t="n"/>
      <c r="O669" s="255" t="n"/>
      <c r="P669" s="255" t="n"/>
      <c r="Q669" s="255" t="n"/>
      <c r="R669" s="255" t="n"/>
      <c r="S669" s="255" t="n"/>
      <c r="T669" s="255" t="n"/>
      <c r="U669" s="255" t="n"/>
      <c r="V669" s="255" t="n"/>
      <c r="W669" s="255" t="n"/>
      <c r="X669" s="255" t="n"/>
      <c r="Y669" s="255" t="n"/>
      <c r="Z669" s="255" t="n"/>
    </row>
    <row r="670" ht="12.75" customHeight="1">
      <c r="A670" s="333" t="n"/>
      <c r="B670" s="255" t="n"/>
      <c r="C670" s="255" t="n"/>
      <c r="D670" s="255" t="n"/>
      <c r="E670" s="255" t="n"/>
      <c r="F670" s="255" t="n"/>
      <c r="G670" s="255" t="n"/>
      <c r="H670" s="255" t="n"/>
      <c r="I670" s="255" t="n"/>
      <c r="J670" s="255" t="n"/>
      <c r="K670" s="255" t="n"/>
      <c r="L670" s="255" t="n"/>
      <c r="M670" s="255" t="n"/>
      <c r="N670" s="255" t="n"/>
      <c r="O670" s="255" t="n"/>
      <c r="P670" s="255" t="n"/>
      <c r="Q670" s="255" t="n"/>
      <c r="R670" s="255" t="n"/>
      <c r="S670" s="255" t="n"/>
      <c r="T670" s="255" t="n"/>
      <c r="U670" s="255" t="n"/>
      <c r="V670" s="255" t="n"/>
      <c r="W670" s="255" t="n"/>
      <c r="X670" s="255" t="n"/>
      <c r="Y670" s="255" t="n"/>
      <c r="Z670" s="255" t="n"/>
    </row>
    <row r="671" ht="12.75" customHeight="1">
      <c r="A671" s="333" t="n"/>
      <c r="B671" s="255" t="n"/>
      <c r="C671" s="255" t="n"/>
      <c r="D671" s="255" t="n"/>
      <c r="E671" s="255" t="n"/>
      <c r="F671" s="255" t="n"/>
      <c r="G671" s="255" t="n"/>
      <c r="H671" s="255" t="n"/>
      <c r="I671" s="255" t="n"/>
      <c r="J671" s="255" t="n"/>
      <c r="K671" s="255" t="n"/>
      <c r="L671" s="255" t="n"/>
      <c r="M671" s="255" t="n"/>
      <c r="N671" s="255" t="n"/>
      <c r="O671" s="255" t="n"/>
      <c r="P671" s="255" t="n"/>
      <c r="Q671" s="255" t="n"/>
      <c r="R671" s="255" t="n"/>
      <c r="S671" s="255" t="n"/>
      <c r="T671" s="255" t="n"/>
      <c r="U671" s="255" t="n"/>
      <c r="V671" s="255" t="n"/>
      <c r="W671" s="255" t="n"/>
      <c r="X671" s="255" t="n"/>
      <c r="Y671" s="255" t="n"/>
      <c r="Z671" s="255" t="n"/>
    </row>
    <row r="672" ht="12.75" customHeight="1">
      <c r="A672" s="333" t="n"/>
      <c r="B672" s="255" t="n"/>
      <c r="C672" s="255" t="n"/>
      <c r="D672" s="255" t="n"/>
      <c r="E672" s="255" t="n"/>
      <c r="F672" s="255" t="n"/>
      <c r="G672" s="255" t="n"/>
      <c r="H672" s="255" t="n"/>
      <c r="I672" s="255" t="n"/>
      <c r="J672" s="255" t="n"/>
      <c r="K672" s="255" t="n"/>
      <c r="L672" s="255" t="n"/>
      <c r="M672" s="255" t="n"/>
      <c r="N672" s="255" t="n"/>
      <c r="O672" s="255" t="n"/>
      <c r="P672" s="255" t="n"/>
      <c r="Q672" s="255" t="n"/>
      <c r="R672" s="255" t="n"/>
      <c r="S672" s="255" t="n"/>
      <c r="T672" s="255" t="n"/>
      <c r="U672" s="255" t="n"/>
      <c r="V672" s="255" t="n"/>
      <c r="W672" s="255" t="n"/>
      <c r="X672" s="255" t="n"/>
      <c r="Y672" s="255" t="n"/>
      <c r="Z672" s="255" t="n"/>
    </row>
    <row r="673" ht="12.75" customHeight="1">
      <c r="A673" s="333" t="n"/>
      <c r="B673" s="255" t="n"/>
      <c r="C673" s="255" t="n"/>
      <c r="D673" s="255" t="n"/>
      <c r="E673" s="255" t="n"/>
      <c r="F673" s="255" t="n"/>
      <c r="G673" s="255" t="n"/>
      <c r="H673" s="255" t="n"/>
      <c r="I673" s="255" t="n"/>
      <c r="J673" s="255" t="n"/>
      <c r="K673" s="255" t="n"/>
      <c r="L673" s="255" t="n"/>
      <c r="M673" s="255" t="n"/>
      <c r="N673" s="255" t="n"/>
      <c r="O673" s="255" t="n"/>
      <c r="P673" s="255" t="n"/>
      <c r="Q673" s="255" t="n"/>
      <c r="R673" s="255" t="n"/>
      <c r="S673" s="255" t="n"/>
      <c r="T673" s="255" t="n"/>
      <c r="U673" s="255" t="n"/>
      <c r="V673" s="255" t="n"/>
      <c r="W673" s="255" t="n"/>
      <c r="X673" s="255" t="n"/>
      <c r="Y673" s="255" t="n"/>
      <c r="Z673" s="255" t="n"/>
    </row>
    <row r="674" ht="12.75" customHeight="1">
      <c r="A674" s="333" t="n"/>
      <c r="B674" s="255" t="n"/>
      <c r="C674" s="255" t="n"/>
      <c r="D674" s="255" t="n"/>
      <c r="E674" s="255" t="n"/>
      <c r="F674" s="255" t="n"/>
      <c r="G674" s="255" t="n"/>
      <c r="H674" s="255" t="n"/>
      <c r="I674" s="255" t="n"/>
      <c r="J674" s="255" t="n"/>
      <c r="K674" s="255" t="n"/>
      <c r="L674" s="255" t="n"/>
      <c r="M674" s="255" t="n"/>
      <c r="N674" s="255" t="n"/>
      <c r="O674" s="255" t="n"/>
      <c r="P674" s="255" t="n"/>
      <c r="Q674" s="255" t="n"/>
      <c r="R674" s="255" t="n"/>
      <c r="S674" s="255" t="n"/>
      <c r="T674" s="255" t="n"/>
      <c r="U674" s="255" t="n"/>
      <c r="V674" s="255" t="n"/>
      <c r="W674" s="255" t="n"/>
      <c r="X674" s="255" t="n"/>
      <c r="Y674" s="255" t="n"/>
      <c r="Z674" s="255" t="n"/>
    </row>
    <row r="675" ht="12.75" customHeight="1">
      <c r="A675" s="333" t="n"/>
      <c r="B675" s="255" t="n"/>
      <c r="C675" s="255" t="n"/>
      <c r="D675" s="255" t="n"/>
      <c r="E675" s="255" t="n"/>
      <c r="F675" s="255" t="n"/>
      <c r="G675" s="255" t="n"/>
      <c r="H675" s="255" t="n"/>
      <c r="I675" s="255" t="n"/>
      <c r="J675" s="255" t="n"/>
      <c r="K675" s="255" t="n"/>
      <c r="L675" s="255" t="n"/>
      <c r="M675" s="255" t="n"/>
      <c r="N675" s="255" t="n"/>
      <c r="O675" s="255" t="n"/>
      <c r="P675" s="255" t="n"/>
      <c r="Q675" s="255" t="n"/>
      <c r="R675" s="255" t="n"/>
      <c r="S675" s="255" t="n"/>
      <c r="T675" s="255" t="n"/>
      <c r="U675" s="255" t="n"/>
      <c r="V675" s="255" t="n"/>
      <c r="W675" s="255" t="n"/>
      <c r="X675" s="255" t="n"/>
      <c r="Y675" s="255" t="n"/>
      <c r="Z675" s="255" t="n"/>
    </row>
    <row r="676" ht="12.75" customHeight="1">
      <c r="A676" s="333" t="n"/>
      <c r="B676" s="255" t="n"/>
      <c r="C676" s="255" t="n"/>
      <c r="D676" s="255" t="n"/>
      <c r="E676" s="255" t="n"/>
      <c r="F676" s="255" t="n"/>
      <c r="G676" s="255" t="n"/>
      <c r="H676" s="255" t="n"/>
      <c r="I676" s="255" t="n"/>
      <c r="J676" s="255" t="n"/>
      <c r="K676" s="255" t="n"/>
      <c r="L676" s="255" t="n"/>
      <c r="M676" s="255" t="n"/>
      <c r="N676" s="255" t="n"/>
      <c r="O676" s="255" t="n"/>
      <c r="P676" s="255" t="n"/>
      <c r="Q676" s="255" t="n"/>
      <c r="R676" s="255" t="n"/>
      <c r="S676" s="255" t="n"/>
      <c r="T676" s="255" t="n"/>
      <c r="U676" s="255" t="n"/>
      <c r="V676" s="255" t="n"/>
      <c r="W676" s="255" t="n"/>
      <c r="X676" s="255" t="n"/>
      <c r="Y676" s="255" t="n"/>
      <c r="Z676" s="255" t="n"/>
    </row>
    <row r="677" ht="12.75" customHeight="1">
      <c r="A677" s="333" t="n"/>
      <c r="B677" s="255" t="n"/>
      <c r="C677" s="255" t="n"/>
      <c r="D677" s="255" t="n"/>
      <c r="E677" s="255" t="n"/>
      <c r="F677" s="255" t="n"/>
      <c r="G677" s="255" t="n"/>
      <c r="H677" s="255" t="n"/>
      <c r="I677" s="255" t="n"/>
      <c r="J677" s="255" t="n"/>
      <c r="K677" s="255" t="n"/>
      <c r="L677" s="255" t="n"/>
      <c r="M677" s="255" t="n"/>
      <c r="N677" s="255" t="n"/>
      <c r="O677" s="255" t="n"/>
      <c r="P677" s="255" t="n"/>
      <c r="Q677" s="255" t="n"/>
      <c r="R677" s="255" t="n"/>
      <c r="S677" s="255" t="n"/>
      <c r="T677" s="255" t="n"/>
      <c r="U677" s="255" t="n"/>
      <c r="V677" s="255" t="n"/>
      <c r="W677" s="255" t="n"/>
      <c r="X677" s="255" t="n"/>
      <c r="Y677" s="255" t="n"/>
      <c r="Z677" s="255" t="n"/>
    </row>
    <row r="678" ht="12.75" customHeight="1">
      <c r="A678" s="333" t="n"/>
      <c r="B678" s="255" t="n"/>
      <c r="C678" s="255" t="n"/>
      <c r="D678" s="255" t="n"/>
      <c r="E678" s="255" t="n"/>
      <c r="F678" s="255" t="n"/>
      <c r="G678" s="255" t="n"/>
      <c r="H678" s="255" t="n"/>
      <c r="I678" s="255" t="n"/>
      <c r="J678" s="255" t="n"/>
      <c r="K678" s="255" t="n"/>
      <c r="L678" s="255" t="n"/>
      <c r="M678" s="255" t="n"/>
      <c r="N678" s="255" t="n"/>
      <c r="O678" s="255" t="n"/>
      <c r="P678" s="255" t="n"/>
      <c r="Q678" s="255" t="n"/>
      <c r="R678" s="255" t="n"/>
      <c r="S678" s="255" t="n"/>
      <c r="T678" s="255" t="n"/>
      <c r="U678" s="255" t="n"/>
      <c r="V678" s="255" t="n"/>
      <c r="W678" s="255" t="n"/>
      <c r="X678" s="255" t="n"/>
      <c r="Y678" s="255" t="n"/>
      <c r="Z678" s="255" t="n"/>
    </row>
    <row r="679" ht="12.75" customHeight="1">
      <c r="A679" s="333" t="n"/>
      <c r="B679" s="255" t="n"/>
      <c r="C679" s="255" t="n"/>
      <c r="D679" s="255" t="n"/>
      <c r="E679" s="255" t="n"/>
      <c r="F679" s="255" t="n"/>
      <c r="G679" s="255" t="n"/>
      <c r="H679" s="255" t="n"/>
      <c r="I679" s="255" t="n"/>
      <c r="J679" s="255" t="n"/>
      <c r="K679" s="255" t="n"/>
      <c r="L679" s="255" t="n"/>
      <c r="M679" s="255" t="n"/>
      <c r="N679" s="255" t="n"/>
      <c r="O679" s="255" t="n"/>
      <c r="P679" s="255" t="n"/>
      <c r="Q679" s="255" t="n"/>
      <c r="R679" s="255" t="n"/>
      <c r="S679" s="255" t="n"/>
      <c r="T679" s="255" t="n"/>
      <c r="U679" s="255" t="n"/>
      <c r="V679" s="255" t="n"/>
      <c r="W679" s="255" t="n"/>
      <c r="X679" s="255" t="n"/>
      <c r="Y679" s="255" t="n"/>
      <c r="Z679" s="255" t="n"/>
    </row>
    <row r="680" ht="12.75" customHeight="1">
      <c r="A680" s="333" t="n"/>
      <c r="B680" s="255" t="n"/>
      <c r="C680" s="255" t="n"/>
      <c r="D680" s="255" t="n"/>
      <c r="E680" s="255" t="n"/>
      <c r="F680" s="255" t="n"/>
      <c r="G680" s="255" t="n"/>
      <c r="H680" s="255" t="n"/>
      <c r="I680" s="255" t="n"/>
      <c r="J680" s="255" t="n"/>
      <c r="K680" s="255" t="n"/>
      <c r="L680" s="255" t="n"/>
      <c r="M680" s="255" t="n"/>
      <c r="N680" s="255" t="n"/>
      <c r="O680" s="255" t="n"/>
      <c r="P680" s="255" t="n"/>
      <c r="Q680" s="255" t="n"/>
      <c r="R680" s="255" t="n"/>
      <c r="S680" s="255" t="n"/>
      <c r="T680" s="255" t="n"/>
      <c r="U680" s="255" t="n"/>
      <c r="V680" s="255" t="n"/>
      <c r="W680" s="255" t="n"/>
      <c r="X680" s="255" t="n"/>
      <c r="Y680" s="255" t="n"/>
      <c r="Z680" s="255" t="n"/>
    </row>
    <row r="681" ht="12.75" customHeight="1">
      <c r="A681" s="333" t="n"/>
      <c r="B681" s="255" t="n"/>
      <c r="C681" s="255" t="n"/>
      <c r="D681" s="255" t="n"/>
      <c r="E681" s="255" t="n"/>
      <c r="F681" s="255" t="n"/>
      <c r="G681" s="255" t="n"/>
      <c r="H681" s="255" t="n"/>
      <c r="I681" s="255" t="n"/>
      <c r="J681" s="255" t="n"/>
      <c r="K681" s="255" t="n"/>
      <c r="L681" s="255" t="n"/>
      <c r="M681" s="255" t="n"/>
      <c r="N681" s="255" t="n"/>
      <c r="O681" s="255" t="n"/>
      <c r="P681" s="255" t="n"/>
      <c r="Q681" s="255" t="n"/>
      <c r="R681" s="255" t="n"/>
      <c r="S681" s="255" t="n"/>
      <c r="T681" s="255" t="n"/>
      <c r="U681" s="255" t="n"/>
      <c r="V681" s="255" t="n"/>
      <c r="W681" s="255" t="n"/>
      <c r="X681" s="255" t="n"/>
      <c r="Y681" s="255" t="n"/>
      <c r="Z681" s="255" t="n"/>
    </row>
    <row r="682" ht="12.75" customHeight="1">
      <c r="A682" s="333" t="n"/>
      <c r="B682" s="255" t="n"/>
      <c r="C682" s="255" t="n"/>
      <c r="D682" s="255" t="n"/>
      <c r="E682" s="255" t="n"/>
      <c r="F682" s="255" t="n"/>
      <c r="G682" s="255" t="n"/>
      <c r="H682" s="255" t="n"/>
      <c r="I682" s="255" t="n"/>
      <c r="J682" s="255" t="n"/>
      <c r="K682" s="255" t="n"/>
      <c r="L682" s="255" t="n"/>
      <c r="M682" s="255" t="n"/>
      <c r="N682" s="255" t="n"/>
      <c r="O682" s="255" t="n"/>
      <c r="P682" s="255" t="n"/>
      <c r="Q682" s="255" t="n"/>
      <c r="R682" s="255" t="n"/>
      <c r="S682" s="255" t="n"/>
      <c r="T682" s="255" t="n"/>
      <c r="U682" s="255" t="n"/>
      <c r="V682" s="255" t="n"/>
      <c r="W682" s="255" t="n"/>
      <c r="X682" s="255" t="n"/>
      <c r="Y682" s="255" t="n"/>
      <c r="Z682" s="255" t="n"/>
    </row>
    <row r="683" ht="12.75" customHeight="1">
      <c r="A683" s="333" t="n"/>
      <c r="B683" s="255" t="n"/>
      <c r="C683" s="255" t="n"/>
      <c r="D683" s="255" t="n"/>
      <c r="E683" s="255" t="n"/>
      <c r="F683" s="255" t="n"/>
      <c r="G683" s="255" t="n"/>
      <c r="H683" s="255" t="n"/>
      <c r="I683" s="255" t="n"/>
      <c r="J683" s="255" t="n"/>
      <c r="K683" s="255" t="n"/>
      <c r="L683" s="255" t="n"/>
      <c r="M683" s="255" t="n"/>
      <c r="N683" s="255" t="n"/>
      <c r="O683" s="255" t="n"/>
      <c r="P683" s="255" t="n"/>
      <c r="Q683" s="255" t="n"/>
      <c r="R683" s="255" t="n"/>
      <c r="S683" s="255" t="n"/>
      <c r="T683" s="255" t="n"/>
      <c r="U683" s="255" t="n"/>
      <c r="V683" s="255" t="n"/>
      <c r="W683" s="255" t="n"/>
      <c r="X683" s="255" t="n"/>
      <c r="Y683" s="255" t="n"/>
      <c r="Z683" s="255" t="n"/>
    </row>
    <row r="684" ht="12.75" customHeight="1">
      <c r="A684" s="333" t="n"/>
      <c r="B684" s="255" t="n"/>
      <c r="C684" s="255" t="n"/>
      <c r="D684" s="255" t="n"/>
      <c r="E684" s="255" t="n"/>
      <c r="F684" s="255" t="n"/>
      <c r="G684" s="255" t="n"/>
      <c r="H684" s="255" t="n"/>
      <c r="I684" s="255" t="n"/>
      <c r="J684" s="255" t="n"/>
      <c r="K684" s="255" t="n"/>
      <c r="L684" s="255" t="n"/>
      <c r="M684" s="255" t="n"/>
      <c r="N684" s="255" t="n"/>
      <c r="O684" s="255" t="n"/>
      <c r="P684" s="255" t="n"/>
      <c r="Q684" s="255" t="n"/>
      <c r="R684" s="255" t="n"/>
      <c r="S684" s="255" t="n"/>
      <c r="T684" s="255" t="n"/>
      <c r="U684" s="255" t="n"/>
      <c r="V684" s="255" t="n"/>
      <c r="W684" s="255" t="n"/>
      <c r="X684" s="255" t="n"/>
      <c r="Y684" s="255" t="n"/>
      <c r="Z684" s="255" t="n"/>
    </row>
    <row r="685" ht="12.75" customHeight="1">
      <c r="A685" s="333" t="n"/>
      <c r="B685" s="255" t="n"/>
      <c r="C685" s="255" t="n"/>
      <c r="D685" s="255" t="n"/>
      <c r="E685" s="255" t="n"/>
      <c r="F685" s="255" t="n"/>
      <c r="G685" s="255" t="n"/>
      <c r="H685" s="255" t="n"/>
      <c r="I685" s="255" t="n"/>
      <c r="J685" s="255" t="n"/>
      <c r="K685" s="255" t="n"/>
      <c r="L685" s="255" t="n"/>
      <c r="M685" s="255" t="n"/>
      <c r="N685" s="255" t="n"/>
      <c r="O685" s="255" t="n"/>
      <c r="P685" s="255" t="n"/>
      <c r="Q685" s="255" t="n"/>
      <c r="R685" s="255" t="n"/>
      <c r="S685" s="255" t="n"/>
      <c r="T685" s="255" t="n"/>
      <c r="U685" s="255" t="n"/>
      <c r="V685" s="255" t="n"/>
      <c r="W685" s="255" t="n"/>
      <c r="X685" s="255" t="n"/>
      <c r="Y685" s="255" t="n"/>
      <c r="Z685" s="255" t="n"/>
    </row>
    <row r="686" ht="12.75" customHeight="1">
      <c r="A686" s="333" t="n"/>
      <c r="B686" s="255" t="n"/>
      <c r="C686" s="255" t="n"/>
      <c r="D686" s="255" t="n"/>
      <c r="E686" s="255" t="n"/>
      <c r="F686" s="255" t="n"/>
      <c r="G686" s="255" t="n"/>
      <c r="H686" s="255" t="n"/>
      <c r="I686" s="255" t="n"/>
      <c r="J686" s="255" t="n"/>
      <c r="K686" s="255" t="n"/>
      <c r="L686" s="255" t="n"/>
      <c r="M686" s="255" t="n"/>
      <c r="N686" s="255" t="n"/>
      <c r="O686" s="255" t="n"/>
      <c r="P686" s="255" t="n"/>
      <c r="Q686" s="255" t="n"/>
      <c r="R686" s="255" t="n"/>
      <c r="S686" s="255" t="n"/>
      <c r="T686" s="255" t="n"/>
      <c r="U686" s="255" t="n"/>
      <c r="V686" s="255" t="n"/>
      <c r="W686" s="255" t="n"/>
      <c r="X686" s="255" t="n"/>
      <c r="Y686" s="255" t="n"/>
      <c r="Z686" s="255" t="n"/>
    </row>
    <row r="687" ht="12.75" customHeight="1">
      <c r="A687" s="333" t="n"/>
      <c r="B687" s="255" t="n"/>
      <c r="C687" s="255" t="n"/>
      <c r="D687" s="255" t="n"/>
      <c r="E687" s="255" t="n"/>
      <c r="F687" s="255" t="n"/>
      <c r="G687" s="255" t="n"/>
      <c r="H687" s="255" t="n"/>
      <c r="I687" s="255" t="n"/>
      <c r="J687" s="255" t="n"/>
      <c r="K687" s="255" t="n"/>
      <c r="L687" s="255" t="n"/>
      <c r="M687" s="255" t="n"/>
      <c r="N687" s="255" t="n"/>
      <c r="O687" s="255" t="n"/>
      <c r="P687" s="255" t="n"/>
      <c r="Q687" s="255" t="n"/>
      <c r="R687" s="255" t="n"/>
      <c r="S687" s="255" t="n"/>
      <c r="T687" s="255" t="n"/>
      <c r="U687" s="255" t="n"/>
      <c r="V687" s="255" t="n"/>
      <c r="W687" s="255" t="n"/>
      <c r="X687" s="255" t="n"/>
      <c r="Y687" s="255" t="n"/>
      <c r="Z687" s="255" t="n"/>
    </row>
    <row r="688" ht="12.75" customHeight="1">
      <c r="A688" s="333" t="n"/>
      <c r="B688" s="255" t="n"/>
      <c r="C688" s="255" t="n"/>
      <c r="D688" s="255" t="n"/>
      <c r="E688" s="255" t="n"/>
      <c r="F688" s="255" t="n"/>
      <c r="G688" s="255" t="n"/>
      <c r="H688" s="255" t="n"/>
      <c r="I688" s="255" t="n"/>
      <c r="J688" s="255" t="n"/>
      <c r="K688" s="255" t="n"/>
      <c r="L688" s="255" t="n"/>
      <c r="M688" s="255" t="n"/>
      <c r="N688" s="255" t="n"/>
      <c r="O688" s="255" t="n"/>
      <c r="P688" s="255" t="n"/>
      <c r="Q688" s="255" t="n"/>
      <c r="R688" s="255" t="n"/>
      <c r="S688" s="255" t="n"/>
      <c r="T688" s="255" t="n"/>
      <c r="U688" s="255" t="n"/>
      <c r="V688" s="255" t="n"/>
      <c r="W688" s="255" t="n"/>
      <c r="X688" s="255" t="n"/>
      <c r="Y688" s="255" t="n"/>
      <c r="Z688" s="255" t="n"/>
    </row>
    <row r="689" ht="12.75" customHeight="1">
      <c r="A689" s="333" t="n"/>
      <c r="B689" s="255" t="n"/>
      <c r="C689" s="255" t="n"/>
      <c r="D689" s="255" t="n"/>
      <c r="E689" s="255" t="n"/>
      <c r="F689" s="255" t="n"/>
      <c r="G689" s="255" t="n"/>
      <c r="H689" s="255" t="n"/>
      <c r="I689" s="255" t="n"/>
      <c r="J689" s="255" t="n"/>
      <c r="K689" s="255" t="n"/>
      <c r="L689" s="255" t="n"/>
      <c r="M689" s="255" t="n"/>
      <c r="N689" s="255" t="n"/>
      <c r="O689" s="255" t="n"/>
      <c r="P689" s="255" t="n"/>
      <c r="Q689" s="255" t="n"/>
      <c r="R689" s="255" t="n"/>
      <c r="S689" s="255" t="n"/>
      <c r="T689" s="255" t="n"/>
      <c r="U689" s="255" t="n"/>
      <c r="V689" s="255" t="n"/>
      <c r="W689" s="255" t="n"/>
      <c r="X689" s="255" t="n"/>
      <c r="Y689" s="255" t="n"/>
      <c r="Z689" s="255" t="n"/>
    </row>
    <row r="690" ht="12.75" customHeight="1">
      <c r="A690" s="333" t="n"/>
      <c r="B690" s="255" t="n"/>
      <c r="C690" s="255" t="n"/>
      <c r="D690" s="255" t="n"/>
      <c r="E690" s="255" t="n"/>
      <c r="F690" s="255" t="n"/>
      <c r="G690" s="255" t="n"/>
      <c r="H690" s="255" t="n"/>
      <c r="I690" s="255" t="n"/>
      <c r="J690" s="255" t="n"/>
      <c r="K690" s="255" t="n"/>
      <c r="L690" s="255" t="n"/>
      <c r="M690" s="255" t="n"/>
      <c r="N690" s="255" t="n"/>
      <c r="O690" s="255" t="n"/>
      <c r="P690" s="255" t="n"/>
      <c r="Q690" s="255" t="n"/>
      <c r="R690" s="255" t="n"/>
      <c r="S690" s="255" t="n"/>
      <c r="T690" s="255" t="n"/>
      <c r="U690" s="255" t="n"/>
      <c r="V690" s="255" t="n"/>
      <c r="W690" s="255" t="n"/>
      <c r="X690" s="255" t="n"/>
      <c r="Y690" s="255" t="n"/>
      <c r="Z690" s="255" t="n"/>
    </row>
    <row r="691" ht="12.75" customHeight="1">
      <c r="A691" s="333" t="n"/>
      <c r="B691" s="255" t="n"/>
      <c r="C691" s="255" t="n"/>
      <c r="D691" s="255" t="n"/>
      <c r="E691" s="255" t="n"/>
      <c r="F691" s="255" t="n"/>
      <c r="G691" s="255" t="n"/>
      <c r="H691" s="255" t="n"/>
      <c r="I691" s="255" t="n"/>
      <c r="J691" s="255" t="n"/>
      <c r="K691" s="255" t="n"/>
      <c r="L691" s="255" t="n"/>
      <c r="M691" s="255" t="n"/>
      <c r="N691" s="255" t="n"/>
      <c r="O691" s="255" t="n"/>
      <c r="P691" s="255" t="n"/>
      <c r="Q691" s="255" t="n"/>
      <c r="R691" s="255" t="n"/>
      <c r="S691" s="255" t="n"/>
      <c r="T691" s="255" t="n"/>
      <c r="U691" s="255" t="n"/>
      <c r="V691" s="255" t="n"/>
      <c r="W691" s="255" t="n"/>
      <c r="X691" s="255" t="n"/>
      <c r="Y691" s="255" t="n"/>
      <c r="Z691" s="255" t="n"/>
    </row>
    <row r="692" ht="12.75" customHeight="1">
      <c r="A692" s="333" t="n"/>
      <c r="B692" s="255" t="n"/>
      <c r="C692" s="255" t="n"/>
      <c r="D692" s="255" t="n"/>
      <c r="E692" s="255" t="n"/>
      <c r="F692" s="255" t="n"/>
      <c r="G692" s="255" t="n"/>
      <c r="H692" s="255" t="n"/>
      <c r="I692" s="255" t="n"/>
      <c r="J692" s="255" t="n"/>
      <c r="K692" s="255" t="n"/>
      <c r="L692" s="255" t="n"/>
      <c r="M692" s="255" t="n"/>
      <c r="N692" s="255" t="n"/>
      <c r="O692" s="255" t="n"/>
      <c r="P692" s="255" t="n"/>
      <c r="Q692" s="255" t="n"/>
      <c r="R692" s="255" t="n"/>
      <c r="S692" s="255" t="n"/>
      <c r="T692" s="255" t="n"/>
      <c r="U692" s="255" t="n"/>
      <c r="V692" s="255" t="n"/>
      <c r="W692" s="255" t="n"/>
      <c r="X692" s="255" t="n"/>
      <c r="Y692" s="255" t="n"/>
      <c r="Z692" s="255" t="n"/>
    </row>
    <row r="693" ht="12.75" customHeight="1">
      <c r="A693" s="333" t="n"/>
      <c r="B693" s="255" t="n"/>
      <c r="C693" s="255" t="n"/>
      <c r="D693" s="255" t="n"/>
      <c r="E693" s="255" t="n"/>
      <c r="F693" s="255" t="n"/>
      <c r="G693" s="255" t="n"/>
      <c r="H693" s="255" t="n"/>
      <c r="I693" s="255" t="n"/>
      <c r="J693" s="255" t="n"/>
      <c r="K693" s="255" t="n"/>
      <c r="L693" s="255" t="n"/>
      <c r="M693" s="255" t="n"/>
      <c r="N693" s="255" t="n"/>
      <c r="O693" s="255" t="n"/>
      <c r="P693" s="255" t="n"/>
      <c r="Q693" s="255" t="n"/>
      <c r="R693" s="255" t="n"/>
      <c r="S693" s="255" t="n"/>
      <c r="T693" s="255" t="n"/>
      <c r="U693" s="255" t="n"/>
      <c r="V693" s="255" t="n"/>
      <c r="W693" s="255" t="n"/>
      <c r="X693" s="255" t="n"/>
      <c r="Y693" s="255" t="n"/>
      <c r="Z693" s="255" t="n"/>
    </row>
    <row r="694" ht="12.75" customHeight="1">
      <c r="A694" s="333" t="n"/>
      <c r="B694" s="255" t="n"/>
      <c r="C694" s="255" t="n"/>
      <c r="D694" s="255" t="n"/>
      <c r="E694" s="255" t="n"/>
      <c r="F694" s="255" t="n"/>
      <c r="G694" s="255" t="n"/>
      <c r="H694" s="255" t="n"/>
      <c r="I694" s="255" t="n"/>
      <c r="J694" s="255" t="n"/>
      <c r="K694" s="255" t="n"/>
      <c r="L694" s="255" t="n"/>
      <c r="M694" s="255" t="n"/>
      <c r="N694" s="255" t="n"/>
      <c r="O694" s="255" t="n"/>
      <c r="P694" s="255" t="n"/>
      <c r="Q694" s="255" t="n"/>
      <c r="R694" s="255" t="n"/>
      <c r="S694" s="255" t="n"/>
      <c r="T694" s="255" t="n"/>
      <c r="U694" s="255" t="n"/>
      <c r="V694" s="255" t="n"/>
      <c r="W694" s="255" t="n"/>
      <c r="X694" s="255" t="n"/>
      <c r="Y694" s="255" t="n"/>
      <c r="Z694" s="255" t="n"/>
    </row>
    <row r="695" ht="12.75" customHeight="1">
      <c r="A695" s="333" t="n"/>
      <c r="B695" s="255" t="n"/>
      <c r="C695" s="255" t="n"/>
      <c r="D695" s="255" t="n"/>
      <c r="E695" s="255" t="n"/>
      <c r="F695" s="255" t="n"/>
      <c r="G695" s="255" t="n"/>
      <c r="H695" s="255" t="n"/>
      <c r="I695" s="255" t="n"/>
      <c r="J695" s="255" t="n"/>
      <c r="K695" s="255" t="n"/>
      <c r="L695" s="255" t="n"/>
      <c r="M695" s="255" t="n"/>
      <c r="N695" s="255" t="n"/>
      <c r="O695" s="255" t="n"/>
      <c r="P695" s="255" t="n"/>
      <c r="Q695" s="255" t="n"/>
      <c r="R695" s="255" t="n"/>
      <c r="S695" s="255" t="n"/>
      <c r="T695" s="255" t="n"/>
      <c r="U695" s="255" t="n"/>
      <c r="V695" s="255" t="n"/>
      <c r="W695" s="255" t="n"/>
      <c r="X695" s="255" t="n"/>
      <c r="Y695" s="255" t="n"/>
      <c r="Z695" s="255" t="n"/>
    </row>
    <row r="696" ht="12.75" customHeight="1">
      <c r="A696" s="333" t="n"/>
      <c r="B696" s="255" t="n"/>
      <c r="C696" s="255" t="n"/>
      <c r="D696" s="255" t="n"/>
      <c r="E696" s="255" t="n"/>
      <c r="F696" s="255" t="n"/>
      <c r="G696" s="255" t="n"/>
      <c r="H696" s="255" t="n"/>
      <c r="I696" s="255" t="n"/>
      <c r="J696" s="255" t="n"/>
      <c r="K696" s="255" t="n"/>
      <c r="L696" s="255" t="n"/>
      <c r="M696" s="255" t="n"/>
      <c r="N696" s="255" t="n"/>
      <c r="O696" s="255" t="n"/>
      <c r="P696" s="255" t="n"/>
      <c r="Q696" s="255" t="n"/>
      <c r="R696" s="255" t="n"/>
      <c r="S696" s="255" t="n"/>
      <c r="T696" s="255" t="n"/>
      <c r="U696" s="255" t="n"/>
      <c r="V696" s="255" t="n"/>
      <c r="W696" s="255" t="n"/>
      <c r="X696" s="255" t="n"/>
      <c r="Y696" s="255" t="n"/>
      <c r="Z696" s="255" t="n"/>
    </row>
    <row r="697" ht="12.75" customHeight="1">
      <c r="A697" s="333" t="n"/>
      <c r="B697" s="255" t="n"/>
      <c r="C697" s="255" t="n"/>
      <c r="D697" s="255" t="n"/>
      <c r="E697" s="255" t="n"/>
      <c r="F697" s="255" t="n"/>
      <c r="G697" s="255" t="n"/>
      <c r="H697" s="255" t="n"/>
      <c r="I697" s="255" t="n"/>
      <c r="J697" s="255" t="n"/>
      <c r="K697" s="255" t="n"/>
      <c r="L697" s="255" t="n"/>
      <c r="M697" s="255" t="n"/>
      <c r="N697" s="255" t="n"/>
      <c r="O697" s="255" t="n"/>
      <c r="P697" s="255" t="n"/>
      <c r="Q697" s="255" t="n"/>
      <c r="R697" s="255" t="n"/>
      <c r="S697" s="255" t="n"/>
      <c r="T697" s="255" t="n"/>
      <c r="U697" s="255" t="n"/>
      <c r="V697" s="255" t="n"/>
      <c r="W697" s="255" t="n"/>
      <c r="X697" s="255" t="n"/>
      <c r="Y697" s="255" t="n"/>
      <c r="Z697" s="255" t="n"/>
    </row>
    <row r="698" ht="12.75" customHeight="1">
      <c r="A698" s="333" t="n"/>
      <c r="B698" s="255" t="n"/>
      <c r="C698" s="255" t="n"/>
      <c r="D698" s="255" t="n"/>
      <c r="E698" s="255" t="n"/>
      <c r="F698" s="255" t="n"/>
      <c r="G698" s="255" t="n"/>
      <c r="H698" s="255" t="n"/>
      <c r="I698" s="255" t="n"/>
      <c r="J698" s="255" t="n"/>
      <c r="K698" s="255" t="n"/>
      <c r="L698" s="255" t="n"/>
      <c r="M698" s="255" t="n"/>
      <c r="N698" s="255" t="n"/>
      <c r="O698" s="255" t="n"/>
      <c r="P698" s="255" t="n"/>
      <c r="Q698" s="255" t="n"/>
      <c r="R698" s="255" t="n"/>
      <c r="S698" s="255" t="n"/>
      <c r="T698" s="255" t="n"/>
      <c r="U698" s="255" t="n"/>
      <c r="V698" s="255" t="n"/>
      <c r="W698" s="255" t="n"/>
      <c r="X698" s="255" t="n"/>
      <c r="Y698" s="255" t="n"/>
      <c r="Z698" s="255" t="n"/>
    </row>
    <row r="699" ht="12.75" customHeight="1">
      <c r="A699" s="333" t="n"/>
      <c r="B699" s="255" t="n"/>
      <c r="C699" s="255" t="n"/>
      <c r="D699" s="255" t="n"/>
      <c r="E699" s="255" t="n"/>
      <c r="F699" s="255" t="n"/>
      <c r="G699" s="255" t="n"/>
      <c r="H699" s="255" t="n"/>
      <c r="I699" s="255" t="n"/>
      <c r="J699" s="255" t="n"/>
      <c r="K699" s="255" t="n"/>
      <c r="L699" s="255" t="n"/>
      <c r="M699" s="255" t="n"/>
      <c r="N699" s="255" t="n"/>
      <c r="O699" s="255" t="n"/>
      <c r="P699" s="255" t="n"/>
      <c r="Q699" s="255" t="n"/>
      <c r="R699" s="255" t="n"/>
      <c r="S699" s="255" t="n"/>
      <c r="T699" s="255" t="n"/>
      <c r="U699" s="255" t="n"/>
      <c r="V699" s="255" t="n"/>
      <c r="W699" s="255" t="n"/>
      <c r="X699" s="255" t="n"/>
      <c r="Y699" s="255" t="n"/>
      <c r="Z699" s="255" t="n"/>
    </row>
    <row r="700" ht="12.75" customHeight="1">
      <c r="A700" s="333" t="n"/>
      <c r="B700" s="255" t="n"/>
      <c r="C700" s="255" t="n"/>
      <c r="D700" s="255" t="n"/>
      <c r="E700" s="255" t="n"/>
      <c r="F700" s="255" t="n"/>
      <c r="G700" s="255" t="n"/>
      <c r="H700" s="255" t="n"/>
      <c r="I700" s="255" t="n"/>
      <c r="J700" s="255" t="n"/>
      <c r="K700" s="255" t="n"/>
      <c r="L700" s="255" t="n"/>
      <c r="M700" s="255" t="n"/>
      <c r="N700" s="255" t="n"/>
      <c r="O700" s="255" t="n"/>
      <c r="P700" s="255" t="n"/>
      <c r="Q700" s="255" t="n"/>
      <c r="R700" s="255" t="n"/>
      <c r="S700" s="255" t="n"/>
      <c r="T700" s="255" t="n"/>
      <c r="U700" s="255" t="n"/>
      <c r="V700" s="255" t="n"/>
      <c r="W700" s="255" t="n"/>
      <c r="X700" s="255" t="n"/>
      <c r="Y700" s="255" t="n"/>
      <c r="Z700" s="255" t="n"/>
    </row>
    <row r="701" ht="12.75" customHeight="1">
      <c r="A701" s="333" t="n"/>
      <c r="B701" s="255" t="n"/>
      <c r="C701" s="255" t="n"/>
      <c r="D701" s="255" t="n"/>
      <c r="E701" s="255" t="n"/>
      <c r="F701" s="255" t="n"/>
      <c r="G701" s="255" t="n"/>
      <c r="H701" s="255" t="n"/>
      <c r="I701" s="255" t="n"/>
      <c r="J701" s="255" t="n"/>
      <c r="K701" s="255" t="n"/>
      <c r="L701" s="255" t="n"/>
      <c r="M701" s="255" t="n"/>
      <c r="N701" s="255" t="n"/>
      <c r="O701" s="255" t="n"/>
      <c r="P701" s="255" t="n"/>
      <c r="Q701" s="255" t="n"/>
      <c r="R701" s="255" t="n"/>
      <c r="S701" s="255" t="n"/>
      <c r="T701" s="255" t="n"/>
      <c r="U701" s="255" t="n"/>
      <c r="V701" s="255" t="n"/>
      <c r="W701" s="255" t="n"/>
      <c r="X701" s="255" t="n"/>
      <c r="Y701" s="255" t="n"/>
      <c r="Z701" s="255" t="n"/>
    </row>
    <row r="702" ht="12.75" customHeight="1">
      <c r="A702" s="333" t="n"/>
      <c r="B702" s="255" t="n"/>
      <c r="C702" s="255" t="n"/>
      <c r="D702" s="255" t="n"/>
      <c r="E702" s="255" t="n"/>
      <c r="F702" s="255" t="n"/>
      <c r="G702" s="255" t="n"/>
      <c r="H702" s="255" t="n"/>
      <c r="I702" s="255" t="n"/>
      <c r="J702" s="255" t="n"/>
      <c r="K702" s="255" t="n"/>
      <c r="L702" s="255" t="n"/>
      <c r="M702" s="255" t="n"/>
      <c r="N702" s="255" t="n"/>
      <c r="O702" s="255" t="n"/>
      <c r="P702" s="255" t="n"/>
      <c r="Q702" s="255" t="n"/>
      <c r="R702" s="255" t="n"/>
      <c r="S702" s="255" t="n"/>
      <c r="T702" s="255" t="n"/>
      <c r="U702" s="255" t="n"/>
      <c r="V702" s="255" t="n"/>
      <c r="W702" s="255" t="n"/>
      <c r="X702" s="255" t="n"/>
      <c r="Y702" s="255" t="n"/>
      <c r="Z702" s="255" t="n"/>
    </row>
    <row r="703" ht="12.75" customHeight="1">
      <c r="A703" s="333" t="n"/>
      <c r="B703" s="255" t="n"/>
      <c r="C703" s="255" t="n"/>
      <c r="D703" s="255" t="n"/>
      <c r="E703" s="255" t="n"/>
      <c r="F703" s="255" t="n"/>
      <c r="G703" s="255" t="n"/>
      <c r="H703" s="255" t="n"/>
      <c r="I703" s="255" t="n"/>
      <c r="J703" s="255" t="n"/>
      <c r="K703" s="255" t="n"/>
      <c r="L703" s="255" t="n"/>
      <c r="M703" s="255" t="n"/>
      <c r="N703" s="255" t="n"/>
      <c r="O703" s="255" t="n"/>
      <c r="P703" s="255" t="n"/>
      <c r="Q703" s="255" t="n"/>
      <c r="R703" s="255" t="n"/>
      <c r="S703" s="255" t="n"/>
      <c r="T703" s="255" t="n"/>
      <c r="U703" s="255" t="n"/>
      <c r="V703" s="255" t="n"/>
      <c r="W703" s="255" t="n"/>
      <c r="X703" s="255" t="n"/>
      <c r="Y703" s="255" t="n"/>
      <c r="Z703" s="255" t="n"/>
    </row>
    <row r="704" ht="12.75" customHeight="1">
      <c r="A704" s="333" t="n"/>
      <c r="B704" s="255" t="n"/>
      <c r="C704" s="255" t="n"/>
      <c r="D704" s="255" t="n"/>
      <c r="E704" s="255" t="n"/>
      <c r="F704" s="255" t="n"/>
      <c r="G704" s="255" t="n"/>
      <c r="H704" s="255" t="n"/>
      <c r="I704" s="255" t="n"/>
      <c r="J704" s="255" t="n"/>
      <c r="K704" s="255" t="n"/>
      <c r="L704" s="255" t="n"/>
      <c r="M704" s="255" t="n"/>
      <c r="N704" s="255" t="n"/>
      <c r="O704" s="255" t="n"/>
      <c r="P704" s="255" t="n"/>
      <c r="Q704" s="255" t="n"/>
      <c r="R704" s="255" t="n"/>
      <c r="S704" s="255" t="n"/>
      <c r="T704" s="255" t="n"/>
      <c r="U704" s="255" t="n"/>
      <c r="V704" s="255" t="n"/>
      <c r="W704" s="255" t="n"/>
      <c r="X704" s="255" t="n"/>
      <c r="Y704" s="255" t="n"/>
      <c r="Z704" s="255" t="n"/>
    </row>
    <row r="705" ht="12.75" customHeight="1">
      <c r="A705" s="333" t="n"/>
      <c r="B705" s="255" t="n"/>
      <c r="C705" s="255" t="n"/>
      <c r="D705" s="255" t="n"/>
      <c r="E705" s="255" t="n"/>
      <c r="F705" s="255" t="n"/>
      <c r="G705" s="255" t="n"/>
      <c r="H705" s="255" t="n"/>
      <c r="I705" s="255" t="n"/>
      <c r="J705" s="255" t="n"/>
      <c r="K705" s="255" t="n"/>
      <c r="L705" s="255" t="n"/>
      <c r="M705" s="255" t="n"/>
      <c r="N705" s="255" t="n"/>
      <c r="O705" s="255" t="n"/>
      <c r="P705" s="255" t="n"/>
      <c r="Q705" s="255" t="n"/>
      <c r="R705" s="255" t="n"/>
      <c r="S705" s="255" t="n"/>
      <c r="T705" s="255" t="n"/>
      <c r="U705" s="255" t="n"/>
      <c r="V705" s="255" t="n"/>
      <c r="W705" s="255" t="n"/>
      <c r="X705" s="255" t="n"/>
      <c r="Y705" s="255" t="n"/>
      <c r="Z705" s="255" t="n"/>
    </row>
    <row r="706" ht="12.75" customHeight="1">
      <c r="A706" s="333" t="n"/>
      <c r="B706" s="255" t="n"/>
      <c r="C706" s="255" t="n"/>
      <c r="D706" s="255" t="n"/>
      <c r="E706" s="255" t="n"/>
      <c r="F706" s="255" t="n"/>
      <c r="G706" s="255" t="n"/>
      <c r="H706" s="255" t="n"/>
      <c r="I706" s="255" t="n"/>
      <c r="J706" s="255" t="n"/>
      <c r="K706" s="255" t="n"/>
      <c r="L706" s="255" t="n"/>
      <c r="M706" s="255" t="n"/>
      <c r="N706" s="255" t="n"/>
      <c r="O706" s="255" t="n"/>
      <c r="P706" s="255" t="n"/>
      <c r="Q706" s="255" t="n"/>
      <c r="R706" s="255" t="n"/>
      <c r="S706" s="255" t="n"/>
      <c r="T706" s="255" t="n"/>
      <c r="U706" s="255" t="n"/>
      <c r="V706" s="255" t="n"/>
      <c r="W706" s="255" t="n"/>
      <c r="X706" s="255" t="n"/>
      <c r="Y706" s="255" t="n"/>
      <c r="Z706" s="255" t="n"/>
    </row>
    <row r="707" ht="12.75" customHeight="1">
      <c r="A707" s="333" t="n"/>
      <c r="B707" s="255" t="n"/>
      <c r="C707" s="255" t="n"/>
      <c r="D707" s="255" t="n"/>
      <c r="E707" s="255" t="n"/>
      <c r="F707" s="255" t="n"/>
      <c r="G707" s="255" t="n"/>
      <c r="H707" s="255" t="n"/>
      <c r="I707" s="255" t="n"/>
      <c r="J707" s="255" t="n"/>
      <c r="K707" s="255" t="n"/>
      <c r="L707" s="255" t="n"/>
      <c r="M707" s="255" t="n"/>
      <c r="N707" s="255" t="n"/>
      <c r="O707" s="255" t="n"/>
      <c r="P707" s="255" t="n"/>
      <c r="Q707" s="255" t="n"/>
      <c r="R707" s="255" t="n"/>
      <c r="S707" s="255" t="n"/>
      <c r="T707" s="255" t="n"/>
      <c r="U707" s="255" t="n"/>
      <c r="V707" s="255" t="n"/>
      <c r="W707" s="255" t="n"/>
      <c r="X707" s="255" t="n"/>
      <c r="Y707" s="255" t="n"/>
      <c r="Z707" s="255" t="n"/>
    </row>
    <row r="708" ht="12.75" customHeight="1">
      <c r="A708" s="333" t="n"/>
      <c r="B708" s="255" t="n"/>
      <c r="C708" s="255" t="n"/>
      <c r="D708" s="255" t="n"/>
      <c r="E708" s="255" t="n"/>
      <c r="F708" s="255" t="n"/>
      <c r="G708" s="255" t="n"/>
      <c r="H708" s="255" t="n"/>
      <c r="I708" s="255" t="n"/>
      <c r="J708" s="255" t="n"/>
      <c r="K708" s="255" t="n"/>
      <c r="L708" s="255" t="n"/>
      <c r="M708" s="255" t="n"/>
      <c r="N708" s="255" t="n"/>
      <c r="O708" s="255" t="n"/>
      <c r="P708" s="255" t="n"/>
      <c r="Q708" s="255" t="n"/>
      <c r="R708" s="255" t="n"/>
      <c r="S708" s="255" t="n"/>
      <c r="T708" s="255" t="n"/>
      <c r="U708" s="255" t="n"/>
      <c r="V708" s="255" t="n"/>
      <c r="W708" s="255" t="n"/>
      <c r="X708" s="255" t="n"/>
      <c r="Y708" s="255" t="n"/>
      <c r="Z708" s="255" t="n"/>
    </row>
    <row r="709" ht="12.75" customHeight="1">
      <c r="A709" s="333" t="n"/>
      <c r="B709" s="255" t="n"/>
      <c r="C709" s="255" t="n"/>
      <c r="D709" s="255" t="n"/>
      <c r="E709" s="255" t="n"/>
      <c r="F709" s="255" t="n"/>
      <c r="G709" s="255" t="n"/>
      <c r="H709" s="255" t="n"/>
      <c r="I709" s="255" t="n"/>
      <c r="J709" s="255" t="n"/>
      <c r="K709" s="255" t="n"/>
      <c r="L709" s="255" t="n"/>
      <c r="M709" s="255" t="n"/>
      <c r="N709" s="255" t="n"/>
      <c r="O709" s="255" t="n"/>
      <c r="P709" s="255" t="n"/>
      <c r="Q709" s="255" t="n"/>
      <c r="R709" s="255" t="n"/>
      <c r="S709" s="255" t="n"/>
      <c r="T709" s="255" t="n"/>
      <c r="U709" s="255" t="n"/>
      <c r="V709" s="255" t="n"/>
      <c r="W709" s="255" t="n"/>
      <c r="X709" s="255" t="n"/>
      <c r="Y709" s="255" t="n"/>
      <c r="Z709" s="255" t="n"/>
    </row>
    <row r="710" ht="12.75" customHeight="1">
      <c r="A710" s="333" t="n"/>
      <c r="B710" s="255" t="n"/>
      <c r="C710" s="255" t="n"/>
      <c r="D710" s="255" t="n"/>
      <c r="E710" s="255" t="n"/>
      <c r="F710" s="255" t="n"/>
      <c r="G710" s="255" t="n"/>
      <c r="H710" s="255" t="n"/>
      <c r="I710" s="255" t="n"/>
      <c r="J710" s="255" t="n"/>
      <c r="K710" s="255" t="n"/>
      <c r="L710" s="255" t="n"/>
      <c r="M710" s="255" t="n"/>
      <c r="N710" s="255" t="n"/>
      <c r="O710" s="255" t="n"/>
      <c r="P710" s="255" t="n"/>
      <c r="Q710" s="255" t="n"/>
      <c r="R710" s="255" t="n"/>
      <c r="S710" s="255" t="n"/>
      <c r="T710" s="255" t="n"/>
      <c r="U710" s="255" t="n"/>
      <c r="V710" s="255" t="n"/>
      <c r="W710" s="255" t="n"/>
      <c r="X710" s="255" t="n"/>
      <c r="Y710" s="255" t="n"/>
      <c r="Z710" s="255" t="n"/>
    </row>
    <row r="711" ht="12.75" customHeight="1">
      <c r="A711" s="333" t="n"/>
      <c r="B711" s="255" t="n"/>
      <c r="C711" s="255" t="n"/>
      <c r="D711" s="255" t="n"/>
      <c r="E711" s="255" t="n"/>
      <c r="F711" s="255" t="n"/>
      <c r="G711" s="255" t="n"/>
      <c r="H711" s="255" t="n"/>
      <c r="I711" s="255" t="n"/>
      <c r="J711" s="255" t="n"/>
      <c r="K711" s="255" t="n"/>
      <c r="L711" s="255" t="n"/>
      <c r="M711" s="255" t="n"/>
      <c r="N711" s="255" t="n"/>
      <c r="O711" s="255" t="n"/>
      <c r="P711" s="255" t="n"/>
      <c r="Q711" s="255" t="n"/>
      <c r="R711" s="255" t="n"/>
      <c r="S711" s="255" t="n"/>
      <c r="T711" s="255" t="n"/>
      <c r="U711" s="255" t="n"/>
      <c r="V711" s="255" t="n"/>
      <c r="W711" s="255" t="n"/>
      <c r="X711" s="255" t="n"/>
      <c r="Y711" s="255" t="n"/>
      <c r="Z711" s="255" t="n"/>
    </row>
    <row r="712" ht="12.75" customHeight="1">
      <c r="A712" s="333" t="n"/>
      <c r="B712" s="255" t="n"/>
      <c r="C712" s="255" t="n"/>
      <c r="D712" s="255" t="n"/>
      <c r="E712" s="255" t="n"/>
      <c r="F712" s="255" t="n"/>
      <c r="G712" s="255" t="n"/>
      <c r="H712" s="255" t="n"/>
      <c r="I712" s="255" t="n"/>
      <c r="J712" s="255" t="n"/>
      <c r="K712" s="255" t="n"/>
      <c r="L712" s="255" t="n"/>
      <c r="M712" s="255" t="n"/>
      <c r="N712" s="255" t="n"/>
      <c r="O712" s="255" t="n"/>
      <c r="P712" s="255" t="n"/>
      <c r="Q712" s="255" t="n"/>
      <c r="R712" s="255" t="n"/>
      <c r="S712" s="255" t="n"/>
      <c r="T712" s="255" t="n"/>
      <c r="U712" s="255" t="n"/>
      <c r="V712" s="255" t="n"/>
      <c r="W712" s="255" t="n"/>
      <c r="X712" s="255" t="n"/>
      <c r="Y712" s="255" t="n"/>
      <c r="Z712" s="255" t="n"/>
    </row>
    <row r="713" ht="12.75" customHeight="1">
      <c r="A713" s="333" t="n"/>
      <c r="B713" s="255" t="n"/>
      <c r="C713" s="255" t="n"/>
      <c r="D713" s="255" t="n"/>
      <c r="E713" s="255" t="n"/>
      <c r="F713" s="255" t="n"/>
      <c r="G713" s="255" t="n"/>
      <c r="H713" s="255" t="n"/>
      <c r="I713" s="255" t="n"/>
      <c r="J713" s="255" t="n"/>
      <c r="K713" s="255" t="n"/>
      <c r="L713" s="255" t="n"/>
      <c r="M713" s="255" t="n"/>
      <c r="N713" s="255" t="n"/>
      <c r="O713" s="255" t="n"/>
      <c r="P713" s="255" t="n"/>
      <c r="Q713" s="255" t="n"/>
      <c r="R713" s="255" t="n"/>
      <c r="S713" s="255" t="n"/>
      <c r="T713" s="255" t="n"/>
      <c r="U713" s="255" t="n"/>
      <c r="V713" s="255" t="n"/>
      <c r="W713" s="255" t="n"/>
      <c r="X713" s="255" t="n"/>
      <c r="Y713" s="255" t="n"/>
      <c r="Z713" s="255" t="n"/>
    </row>
    <row r="714" ht="12.75" customHeight="1">
      <c r="A714" s="333" t="n"/>
      <c r="B714" s="255" t="n"/>
      <c r="C714" s="255" t="n"/>
      <c r="D714" s="255" t="n"/>
      <c r="E714" s="255" t="n"/>
      <c r="F714" s="255" t="n"/>
      <c r="G714" s="255" t="n"/>
      <c r="H714" s="255" t="n"/>
      <c r="I714" s="255" t="n"/>
      <c r="J714" s="255" t="n"/>
      <c r="K714" s="255" t="n"/>
      <c r="L714" s="255" t="n"/>
      <c r="M714" s="255" t="n"/>
      <c r="N714" s="255" t="n"/>
      <c r="O714" s="255" t="n"/>
      <c r="P714" s="255" t="n"/>
      <c r="Q714" s="255" t="n"/>
      <c r="R714" s="255" t="n"/>
      <c r="S714" s="255" t="n"/>
      <c r="T714" s="255" t="n"/>
      <c r="U714" s="255" t="n"/>
      <c r="V714" s="255" t="n"/>
      <c r="W714" s="255" t="n"/>
      <c r="X714" s="255" t="n"/>
      <c r="Y714" s="255" t="n"/>
      <c r="Z714" s="255" t="n"/>
    </row>
    <row r="715" ht="12.75" customHeight="1">
      <c r="A715" s="333" t="n"/>
      <c r="B715" s="255" t="n"/>
      <c r="C715" s="255" t="n"/>
      <c r="D715" s="255" t="n"/>
      <c r="E715" s="255" t="n"/>
      <c r="F715" s="255" t="n"/>
      <c r="G715" s="255" t="n"/>
      <c r="H715" s="255" t="n"/>
      <c r="I715" s="255" t="n"/>
      <c r="J715" s="255" t="n"/>
      <c r="K715" s="255" t="n"/>
      <c r="L715" s="255" t="n"/>
      <c r="M715" s="255" t="n"/>
      <c r="N715" s="255" t="n"/>
      <c r="O715" s="255" t="n"/>
      <c r="P715" s="255" t="n"/>
      <c r="Q715" s="255" t="n"/>
      <c r="R715" s="255" t="n"/>
      <c r="S715" s="255" t="n"/>
      <c r="T715" s="255" t="n"/>
      <c r="U715" s="255" t="n"/>
      <c r="V715" s="255" t="n"/>
      <c r="W715" s="255" t="n"/>
      <c r="X715" s="255" t="n"/>
      <c r="Y715" s="255" t="n"/>
      <c r="Z715" s="255" t="n"/>
    </row>
    <row r="716" ht="12.75" customHeight="1">
      <c r="A716" s="333" t="n"/>
      <c r="B716" s="255" t="n"/>
      <c r="C716" s="255" t="n"/>
      <c r="D716" s="255" t="n"/>
      <c r="E716" s="255" t="n"/>
      <c r="F716" s="255" t="n"/>
      <c r="G716" s="255" t="n"/>
      <c r="H716" s="255" t="n"/>
      <c r="I716" s="255" t="n"/>
      <c r="J716" s="255" t="n"/>
      <c r="K716" s="255" t="n"/>
      <c r="L716" s="255" t="n"/>
      <c r="M716" s="255" t="n"/>
      <c r="N716" s="255" t="n"/>
      <c r="O716" s="255" t="n"/>
      <c r="P716" s="255" t="n"/>
      <c r="Q716" s="255" t="n"/>
      <c r="R716" s="255" t="n"/>
      <c r="S716" s="255" t="n"/>
      <c r="T716" s="255" t="n"/>
      <c r="U716" s="255" t="n"/>
      <c r="V716" s="255" t="n"/>
      <c r="W716" s="255" t="n"/>
      <c r="X716" s="255" t="n"/>
      <c r="Y716" s="255" t="n"/>
      <c r="Z716" s="255" t="n"/>
    </row>
    <row r="717" ht="12.75" customHeight="1">
      <c r="A717" s="333" t="n"/>
      <c r="B717" s="255" t="n"/>
      <c r="C717" s="255" t="n"/>
      <c r="D717" s="255" t="n"/>
      <c r="E717" s="255" t="n"/>
      <c r="F717" s="255" t="n"/>
      <c r="G717" s="255" t="n"/>
      <c r="H717" s="255" t="n"/>
      <c r="I717" s="255" t="n"/>
      <c r="J717" s="255" t="n"/>
      <c r="K717" s="255" t="n"/>
      <c r="L717" s="255" t="n"/>
      <c r="M717" s="255" t="n"/>
      <c r="N717" s="255" t="n"/>
      <c r="O717" s="255" t="n"/>
      <c r="P717" s="255" t="n"/>
      <c r="Q717" s="255" t="n"/>
      <c r="R717" s="255" t="n"/>
      <c r="S717" s="255" t="n"/>
      <c r="T717" s="255" t="n"/>
      <c r="U717" s="255" t="n"/>
      <c r="V717" s="255" t="n"/>
      <c r="W717" s="255" t="n"/>
      <c r="X717" s="255" t="n"/>
      <c r="Y717" s="255" t="n"/>
      <c r="Z717" s="255" t="n"/>
    </row>
    <row r="718" ht="12.75" customHeight="1">
      <c r="A718" s="333" t="n"/>
      <c r="B718" s="255" t="n"/>
      <c r="C718" s="255" t="n"/>
      <c r="D718" s="255" t="n"/>
      <c r="E718" s="255" t="n"/>
      <c r="F718" s="255" t="n"/>
      <c r="G718" s="255" t="n"/>
      <c r="H718" s="255" t="n"/>
      <c r="I718" s="255" t="n"/>
      <c r="J718" s="255" t="n"/>
      <c r="K718" s="255" t="n"/>
      <c r="L718" s="255" t="n"/>
      <c r="M718" s="255" t="n"/>
      <c r="N718" s="255" t="n"/>
      <c r="O718" s="255" t="n"/>
      <c r="P718" s="255" t="n"/>
      <c r="Q718" s="255" t="n"/>
      <c r="R718" s="255" t="n"/>
      <c r="S718" s="255" t="n"/>
      <c r="T718" s="255" t="n"/>
      <c r="U718" s="255" t="n"/>
      <c r="V718" s="255" t="n"/>
      <c r="W718" s="255" t="n"/>
      <c r="X718" s="255" t="n"/>
      <c r="Y718" s="255" t="n"/>
      <c r="Z718" s="255" t="n"/>
    </row>
    <row r="719" ht="12.75" customHeight="1">
      <c r="A719" s="333" t="n"/>
      <c r="B719" s="255" t="n"/>
      <c r="C719" s="255" t="n"/>
      <c r="D719" s="255" t="n"/>
      <c r="E719" s="255" t="n"/>
      <c r="F719" s="255" t="n"/>
      <c r="G719" s="255" t="n"/>
      <c r="H719" s="255" t="n"/>
      <c r="I719" s="255" t="n"/>
      <c r="J719" s="255" t="n"/>
      <c r="K719" s="255" t="n"/>
      <c r="L719" s="255" t="n"/>
      <c r="M719" s="255" t="n"/>
      <c r="N719" s="255" t="n"/>
      <c r="O719" s="255" t="n"/>
      <c r="P719" s="255" t="n"/>
      <c r="Q719" s="255" t="n"/>
      <c r="R719" s="255" t="n"/>
      <c r="S719" s="255" t="n"/>
      <c r="T719" s="255" t="n"/>
      <c r="U719" s="255" t="n"/>
      <c r="V719" s="255" t="n"/>
      <c r="W719" s="255" t="n"/>
      <c r="X719" s="255" t="n"/>
      <c r="Y719" s="255" t="n"/>
      <c r="Z719" s="255" t="n"/>
    </row>
    <row r="720" ht="12.75" customHeight="1">
      <c r="A720" s="333" t="n"/>
      <c r="B720" s="255" t="n"/>
      <c r="C720" s="255" t="n"/>
      <c r="D720" s="255" t="n"/>
      <c r="E720" s="255" t="n"/>
      <c r="F720" s="255" t="n"/>
      <c r="G720" s="255" t="n"/>
      <c r="H720" s="255" t="n"/>
      <c r="I720" s="255" t="n"/>
      <c r="J720" s="255" t="n"/>
      <c r="K720" s="255" t="n"/>
      <c r="L720" s="255" t="n"/>
      <c r="M720" s="255" t="n"/>
      <c r="N720" s="255" t="n"/>
      <c r="O720" s="255" t="n"/>
      <c r="P720" s="255" t="n"/>
      <c r="Q720" s="255" t="n"/>
      <c r="R720" s="255" t="n"/>
      <c r="S720" s="255" t="n"/>
      <c r="T720" s="255" t="n"/>
      <c r="U720" s="255" t="n"/>
      <c r="V720" s="255" t="n"/>
      <c r="W720" s="255" t="n"/>
      <c r="X720" s="255" t="n"/>
      <c r="Y720" s="255" t="n"/>
      <c r="Z720" s="255" t="n"/>
    </row>
    <row r="721" ht="12.75" customHeight="1">
      <c r="A721" s="333" t="n"/>
      <c r="B721" s="255" t="n"/>
      <c r="C721" s="255" t="n"/>
      <c r="D721" s="255" t="n"/>
      <c r="E721" s="255" t="n"/>
      <c r="F721" s="255" t="n"/>
      <c r="G721" s="255" t="n"/>
      <c r="H721" s="255" t="n"/>
      <c r="I721" s="255" t="n"/>
      <c r="J721" s="255" t="n"/>
      <c r="K721" s="255" t="n"/>
      <c r="L721" s="255" t="n"/>
      <c r="M721" s="255" t="n"/>
      <c r="N721" s="255" t="n"/>
      <c r="O721" s="255" t="n"/>
      <c r="P721" s="255" t="n"/>
      <c r="Q721" s="255" t="n"/>
      <c r="R721" s="255" t="n"/>
      <c r="S721" s="255" t="n"/>
      <c r="T721" s="255" t="n"/>
      <c r="U721" s="255" t="n"/>
      <c r="V721" s="255" t="n"/>
      <c r="W721" s="255" t="n"/>
      <c r="X721" s="255" t="n"/>
      <c r="Y721" s="255" t="n"/>
      <c r="Z721" s="255" t="n"/>
    </row>
    <row r="722" ht="12.75" customHeight="1">
      <c r="A722" s="333" t="n"/>
      <c r="B722" s="255" t="n"/>
      <c r="C722" s="255" t="n"/>
      <c r="D722" s="255" t="n"/>
      <c r="E722" s="255" t="n"/>
      <c r="F722" s="255" t="n"/>
      <c r="G722" s="255" t="n"/>
      <c r="H722" s="255" t="n"/>
      <c r="I722" s="255" t="n"/>
      <c r="J722" s="255" t="n"/>
      <c r="K722" s="255" t="n"/>
      <c r="L722" s="255" t="n"/>
      <c r="M722" s="255" t="n"/>
      <c r="N722" s="255" t="n"/>
      <c r="O722" s="255" t="n"/>
      <c r="P722" s="255" t="n"/>
      <c r="Q722" s="255" t="n"/>
      <c r="R722" s="255" t="n"/>
      <c r="S722" s="255" t="n"/>
      <c r="T722" s="255" t="n"/>
      <c r="U722" s="255" t="n"/>
      <c r="V722" s="255" t="n"/>
      <c r="W722" s="255" t="n"/>
      <c r="X722" s="255" t="n"/>
      <c r="Y722" s="255" t="n"/>
      <c r="Z722" s="255" t="n"/>
    </row>
    <row r="723" ht="12.75" customHeight="1">
      <c r="A723" s="333" t="n"/>
      <c r="B723" s="255" t="n"/>
      <c r="C723" s="255" t="n"/>
      <c r="D723" s="255" t="n"/>
      <c r="E723" s="255" t="n"/>
      <c r="F723" s="255" t="n"/>
      <c r="G723" s="255" t="n"/>
      <c r="H723" s="255" t="n"/>
      <c r="I723" s="255" t="n"/>
      <c r="J723" s="255" t="n"/>
      <c r="K723" s="255" t="n"/>
      <c r="L723" s="255" t="n"/>
      <c r="M723" s="255" t="n"/>
      <c r="N723" s="255" t="n"/>
      <c r="O723" s="255" t="n"/>
      <c r="P723" s="255" t="n"/>
      <c r="Q723" s="255" t="n"/>
      <c r="R723" s="255" t="n"/>
      <c r="S723" s="255" t="n"/>
      <c r="T723" s="255" t="n"/>
      <c r="U723" s="255" t="n"/>
      <c r="V723" s="255" t="n"/>
      <c r="W723" s="255" t="n"/>
      <c r="X723" s="255" t="n"/>
      <c r="Y723" s="255" t="n"/>
      <c r="Z723" s="255" t="n"/>
    </row>
    <row r="724" ht="12.75" customHeight="1">
      <c r="A724" s="333" t="n"/>
      <c r="B724" s="255" t="n"/>
      <c r="C724" s="255" t="n"/>
      <c r="D724" s="255" t="n"/>
      <c r="E724" s="255" t="n"/>
      <c r="F724" s="255" t="n"/>
      <c r="G724" s="255" t="n"/>
      <c r="H724" s="255" t="n"/>
      <c r="I724" s="255" t="n"/>
      <c r="J724" s="255" t="n"/>
      <c r="K724" s="255" t="n"/>
      <c r="L724" s="255" t="n"/>
      <c r="M724" s="255" t="n"/>
      <c r="N724" s="255" t="n"/>
      <c r="O724" s="255" t="n"/>
      <c r="P724" s="255" t="n"/>
      <c r="Q724" s="255" t="n"/>
      <c r="R724" s="255" t="n"/>
      <c r="S724" s="255" t="n"/>
      <c r="T724" s="255" t="n"/>
      <c r="U724" s="255" t="n"/>
      <c r="V724" s="255" t="n"/>
      <c r="W724" s="255" t="n"/>
      <c r="X724" s="255" t="n"/>
      <c r="Y724" s="255" t="n"/>
      <c r="Z724" s="255" t="n"/>
    </row>
    <row r="725" ht="12.75" customHeight="1">
      <c r="A725" s="333" t="n"/>
      <c r="B725" s="255" t="n"/>
      <c r="C725" s="255" t="n"/>
      <c r="D725" s="255" t="n"/>
      <c r="E725" s="255" t="n"/>
      <c r="F725" s="255" t="n"/>
      <c r="G725" s="255" t="n"/>
      <c r="H725" s="255" t="n"/>
      <c r="I725" s="255" t="n"/>
      <c r="J725" s="255" t="n"/>
      <c r="K725" s="255" t="n"/>
      <c r="L725" s="255" t="n"/>
      <c r="M725" s="255" t="n"/>
      <c r="N725" s="255" t="n"/>
      <c r="O725" s="255" t="n"/>
      <c r="P725" s="255" t="n"/>
      <c r="Q725" s="255" t="n"/>
      <c r="R725" s="255" t="n"/>
      <c r="S725" s="255" t="n"/>
      <c r="T725" s="255" t="n"/>
      <c r="U725" s="255" t="n"/>
      <c r="V725" s="255" t="n"/>
      <c r="W725" s="255" t="n"/>
      <c r="X725" s="255" t="n"/>
      <c r="Y725" s="255" t="n"/>
      <c r="Z725" s="255" t="n"/>
    </row>
    <row r="726" ht="12.75" customHeight="1">
      <c r="A726" s="333" t="n"/>
      <c r="B726" s="255" t="n"/>
      <c r="C726" s="255" t="n"/>
      <c r="D726" s="255" t="n"/>
      <c r="E726" s="255" t="n"/>
      <c r="F726" s="255" t="n"/>
      <c r="G726" s="255" t="n"/>
      <c r="H726" s="255" t="n"/>
      <c r="I726" s="255" t="n"/>
      <c r="J726" s="255" t="n"/>
      <c r="K726" s="255" t="n"/>
      <c r="L726" s="255" t="n"/>
      <c r="M726" s="255" t="n"/>
      <c r="N726" s="255" t="n"/>
      <c r="O726" s="255" t="n"/>
      <c r="P726" s="255" t="n"/>
      <c r="Q726" s="255" t="n"/>
      <c r="R726" s="255" t="n"/>
      <c r="S726" s="255" t="n"/>
      <c r="T726" s="255" t="n"/>
      <c r="U726" s="255" t="n"/>
      <c r="V726" s="255" t="n"/>
      <c r="W726" s="255" t="n"/>
      <c r="X726" s="255" t="n"/>
      <c r="Y726" s="255" t="n"/>
      <c r="Z726" s="255" t="n"/>
    </row>
    <row r="727" ht="12.75" customHeight="1">
      <c r="A727" s="333" t="n"/>
      <c r="B727" s="255" t="n"/>
      <c r="C727" s="255" t="n"/>
      <c r="D727" s="255" t="n"/>
      <c r="E727" s="255" t="n"/>
      <c r="F727" s="255" t="n"/>
      <c r="G727" s="255" t="n"/>
      <c r="H727" s="255" t="n"/>
      <c r="I727" s="255" t="n"/>
      <c r="J727" s="255" t="n"/>
      <c r="K727" s="255" t="n"/>
      <c r="L727" s="255" t="n"/>
      <c r="M727" s="255" t="n"/>
      <c r="N727" s="255" t="n"/>
      <c r="O727" s="255" t="n"/>
      <c r="P727" s="255" t="n"/>
      <c r="Q727" s="255" t="n"/>
      <c r="R727" s="255" t="n"/>
      <c r="S727" s="255" t="n"/>
      <c r="T727" s="255" t="n"/>
      <c r="U727" s="255" t="n"/>
      <c r="V727" s="255" t="n"/>
      <c r="W727" s="255" t="n"/>
      <c r="X727" s="255" t="n"/>
      <c r="Y727" s="255" t="n"/>
      <c r="Z727" s="255" t="n"/>
    </row>
    <row r="728" ht="12.75" customHeight="1">
      <c r="A728" s="333" t="n"/>
      <c r="B728" s="255" t="n"/>
      <c r="C728" s="255" t="n"/>
      <c r="D728" s="255" t="n"/>
      <c r="E728" s="255" t="n"/>
      <c r="F728" s="255" t="n"/>
      <c r="G728" s="255" t="n"/>
      <c r="H728" s="255" t="n"/>
      <c r="I728" s="255" t="n"/>
      <c r="J728" s="255" t="n"/>
      <c r="K728" s="255" t="n"/>
      <c r="L728" s="255" t="n"/>
      <c r="M728" s="255" t="n"/>
      <c r="N728" s="255" t="n"/>
      <c r="O728" s="255" t="n"/>
      <c r="P728" s="255" t="n"/>
      <c r="Q728" s="255" t="n"/>
      <c r="R728" s="255" t="n"/>
      <c r="S728" s="255" t="n"/>
      <c r="T728" s="255" t="n"/>
      <c r="U728" s="255" t="n"/>
      <c r="V728" s="255" t="n"/>
      <c r="W728" s="255" t="n"/>
      <c r="X728" s="255" t="n"/>
      <c r="Y728" s="255" t="n"/>
      <c r="Z728" s="255" t="n"/>
    </row>
    <row r="729" ht="12.75" customHeight="1">
      <c r="A729" s="333" t="n"/>
      <c r="B729" s="255" t="n"/>
      <c r="C729" s="255" t="n"/>
      <c r="D729" s="255" t="n"/>
      <c r="E729" s="255" t="n"/>
      <c r="F729" s="255" t="n"/>
      <c r="G729" s="255" t="n"/>
      <c r="H729" s="255" t="n"/>
      <c r="I729" s="255" t="n"/>
      <c r="J729" s="255" t="n"/>
      <c r="K729" s="255" t="n"/>
      <c r="L729" s="255" t="n"/>
      <c r="M729" s="255" t="n"/>
      <c r="N729" s="255" t="n"/>
      <c r="O729" s="255" t="n"/>
      <c r="P729" s="255" t="n"/>
      <c r="Q729" s="255" t="n"/>
      <c r="R729" s="255" t="n"/>
      <c r="S729" s="255" t="n"/>
      <c r="T729" s="255" t="n"/>
      <c r="U729" s="255" t="n"/>
      <c r="V729" s="255" t="n"/>
      <c r="W729" s="255" t="n"/>
      <c r="X729" s="255" t="n"/>
      <c r="Y729" s="255" t="n"/>
      <c r="Z729" s="255" t="n"/>
    </row>
    <row r="730" ht="12.75" customHeight="1">
      <c r="A730" s="333" t="n"/>
      <c r="B730" s="255" t="n"/>
      <c r="C730" s="255" t="n"/>
      <c r="D730" s="255" t="n"/>
      <c r="E730" s="255" t="n"/>
      <c r="F730" s="255" t="n"/>
      <c r="G730" s="255" t="n"/>
      <c r="H730" s="255" t="n"/>
      <c r="I730" s="255" t="n"/>
      <c r="J730" s="255" t="n"/>
      <c r="K730" s="255" t="n"/>
      <c r="L730" s="255" t="n"/>
      <c r="M730" s="255" t="n"/>
      <c r="N730" s="255" t="n"/>
      <c r="O730" s="255" t="n"/>
      <c r="P730" s="255" t="n"/>
      <c r="Q730" s="255" t="n"/>
      <c r="R730" s="255" t="n"/>
      <c r="S730" s="255" t="n"/>
      <c r="T730" s="255" t="n"/>
      <c r="U730" s="255" t="n"/>
      <c r="V730" s="255" t="n"/>
      <c r="W730" s="255" t="n"/>
      <c r="X730" s="255" t="n"/>
      <c r="Y730" s="255" t="n"/>
      <c r="Z730" s="255" t="n"/>
    </row>
    <row r="731" ht="12.75" customHeight="1">
      <c r="A731" s="333" t="n"/>
      <c r="B731" s="255" t="n"/>
      <c r="C731" s="255" t="n"/>
      <c r="D731" s="255" t="n"/>
      <c r="E731" s="255" t="n"/>
      <c r="F731" s="255" t="n"/>
      <c r="G731" s="255" t="n"/>
      <c r="H731" s="255" t="n"/>
      <c r="I731" s="255" t="n"/>
      <c r="J731" s="255" t="n"/>
      <c r="K731" s="255" t="n"/>
      <c r="L731" s="255" t="n"/>
      <c r="M731" s="255" t="n"/>
      <c r="N731" s="255" t="n"/>
      <c r="O731" s="255" t="n"/>
      <c r="P731" s="255" t="n"/>
      <c r="Q731" s="255" t="n"/>
      <c r="R731" s="255" t="n"/>
      <c r="S731" s="255" t="n"/>
      <c r="T731" s="255" t="n"/>
      <c r="U731" s="255" t="n"/>
      <c r="V731" s="255" t="n"/>
      <c r="W731" s="255" t="n"/>
      <c r="X731" s="255" t="n"/>
      <c r="Y731" s="255" t="n"/>
      <c r="Z731" s="255" t="n"/>
    </row>
    <row r="732" ht="12.75" customHeight="1">
      <c r="A732" s="333" t="n"/>
      <c r="B732" s="255" t="n"/>
      <c r="C732" s="255" t="n"/>
      <c r="D732" s="255" t="n"/>
      <c r="E732" s="255" t="n"/>
      <c r="F732" s="255" t="n"/>
      <c r="G732" s="255" t="n"/>
      <c r="H732" s="255" t="n"/>
      <c r="I732" s="255" t="n"/>
      <c r="J732" s="255" t="n"/>
      <c r="K732" s="255" t="n"/>
      <c r="L732" s="255" t="n"/>
      <c r="M732" s="255" t="n"/>
      <c r="N732" s="255" t="n"/>
      <c r="O732" s="255" t="n"/>
      <c r="P732" s="255" t="n"/>
      <c r="Q732" s="255" t="n"/>
      <c r="R732" s="255" t="n"/>
      <c r="S732" s="255" t="n"/>
      <c r="T732" s="255" t="n"/>
      <c r="U732" s="255" t="n"/>
      <c r="V732" s="255" t="n"/>
      <c r="W732" s="255" t="n"/>
      <c r="X732" s="255" t="n"/>
      <c r="Y732" s="255" t="n"/>
      <c r="Z732" s="255" t="n"/>
    </row>
    <row r="733" ht="12.75" customHeight="1">
      <c r="A733" s="333" t="n"/>
      <c r="B733" s="255" t="n"/>
      <c r="C733" s="255" t="n"/>
      <c r="D733" s="255" t="n"/>
      <c r="E733" s="255" t="n"/>
      <c r="F733" s="255" t="n"/>
      <c r="G733" s="255" t="n"/>
      <c r="H733" s="255" t="n"/>
      <c r="I733" s="255" t="n"/>
      <c r="J733" s="255" t="n"/>
      <c r="K733" s="255" t="n"/>
      <c r="L733" s="255" t="n"/>
      <c r="M733" s="255" t="n"/>
      <c r="N733" s="255" t="n"/>
      <c r="O733" s="255" t="n"/>
      <c r="P733" s="255" t="n"/>
      <c r="Q733" s="255" t="n"/>
      <c r="R733" s="255" t="n"/>
      <c r="S733" s="255" t="n"/>
      <c r="T733" s="255" t="n"/>
      <c r="U733" s="255" t="n"/>
      <c r="V733" s="255" t="n"/>
      <c r="W733" s="255" t="n"/>
      <c r="X733" s="255" t="n"/>
      <c r="Y733" s="255" t="n"/>
      <c r="Z733" s="255" t="n"/>
    </row>
    <row r="734" ht="12.75" customHeight="1">
      <c r="A734" s="333" t="n"/>
      <c r="B734" s="255" t="n"/>
      <c r="C734" s="255" t="n"/>
      <c r="D734" s="255" t="n"/>
      <c r="E734" s="255" t="n"/>
      <c r="F734" s="255" t="n"/>
      <c r="G734" s="255" t="n"/>
      <c r="H734" s="255" t="n"/>
      <c r="I734" s="255" t="n"/>
      <c r="J734" s="255" t="n"/>
      <c r="K734" s="255" t="n"/>
      <c r="L734" s="255" t="n"/>
      <c r="M734" s="255" t="n"/>
      <c r="N734" s="255" t="n"/>
      <c r="O734" s="255" t="n"/>
      <c r="P734" s="255" t="n"/>
      <c r="Q734" s="255" t="n"/>
      <c r="R734" s="255" t="n"/>
      <c r="S734" s="255" t="n"/>
      <c r="T734" s="255" t="n"/>
      <c r="U734" s="255" t="n"/>
      <c r="V734" s="255" t="n"/>
      <c r="W734" s="255" t="n"/>
      <c r="X734" s="255" t="n"/>
      <c r="Y734" s="255" t="n"/>
      <c r="Z734" s="255" t="n"/>
    </row>
    <row r="735" ht="12.75" customHeight="1">
      <c r="A735" s="333" t="n"/>
      <c r="B735" s="255" t="n"/>
      <c r="C735" s="255" t="n"/>
      <c r="D735" s="255" t="n"/>
      <c r="E735" s="255" t="n"/>
      <c r="F735" s="255" t="n"/>
      <c r="G735" s="255" t="n"/>
      <c r="H735" s="255" t="n"/>
      <c r="I735" s="255" t="n"/>
      <c r="J735" s="255" t="n"/>
      <c r="K735" s="255" t="n"/>
      <c r="L735" s="255" t="n"/>
      <c r="M735" s="255" t="n"/>
      <c r="N735" s="255" t="n"/>
      <c r="O735" s="255" t="n"/>
      <c r="P735" s="255" t="n"/>
      <c r="Q735" s="255" t="n"/>
      <c r="R735" s="255" t="n"/>
      <c r="S735" s="255" t="n"/>
      <c r="T735" s="255" t="n"/>
      <c r="U735" s="255" t="n"/>
      <c r="V735" s="255" t="n"/>
      <c r="W735" s="255" t="n"/>
      <c r="X735" s="255" t="n"/>
      <c r="Y735" s="255" t="n"/>
      <c r="Z735" s="255" t="n"/>
    </row>
    <row r="736" ht="12.75" customHeight="1">
      <c r="A736" s="333" t="n"/>
      <c r="B736" s="255" t="n"/>
      <c r="C736" s="255" t="n"/>
      <c r="D736" s="255" t="n"/>
      <c r="E736" s="255" t="n"/>
      <c r="F736" s="255" t="n"/>
      <c r="G736" s="255" t="n"/>
      <c r="H736" s="255" t="n"/>
      <c r="I736" s="255" t="n"/>
      <c r="J736" s="255" t="n"/>
      <c r="K736" s="255" t="n"/>
      <c r="L736" s="255" t="n"/>
      <c r="M736" s="255" t="n"/>
      <c r="N736" s="255" t="n"/>
      <c r="O736" s="255" t="n"/>
      <c r="P736" s="255" t="n"/>
      <c r="Q736" s="255" t="n"/>
      <c r="R736" s="255" t="n"/>
      <c r="S736" s="255" t="n"/>
      <c r="T736" s="255" t="n"/>
      <c r="U736" s="255" t="n"/>
      <c r="V736" s="255" t="n"/>
      <c r="W736" s="255" t="n"/>
      <c r="X736" s="255" t="n"/>
      <c r="Y736" s="255" t="n"/>
      <c r="Z736" s="255" t="n"/>
    </row>
    <row r="737" ht="12.75" customHeight="1">
      <c r="A737" s="333" t="n"/>
      <c r="B737" s="255" t="n"/>
      <c r="C737" s="255" t="n"/>
      <c r="D737" s="255" t="n"/>
      <c r="E737" s="255" t="n"/>
      <c r="F737" s="255" t="n"/>
      <c r="G737" s="255" t="n"/>
      <c r="H737" s="255" t="n"/>
      <c r="I737" s="255" t="n"/>
      <c r="J737" s="255" t="n"/>
      <c r="K737" s="255" t="n"/>
      <c r="L737" s="255" t="n"/>
      <c r="M737" s="255" t="n"/>
      <c r="N737" s="255" t="n"/>
      <c r="O737" s="255" t="n"/>
      <c r="P737" s="255" t="n"/>
      <c r="Q737" s="255" t="n"/>
      <c r="R737" s="255" t="n"/>
      <c r="S737" s="255" t="n"/>
      <c r="T737" s="255" t="n"/>
      <c r="U737" s="255" t="n"/>
      <c r="V737" s="255" t="n"/>
      <c r="W737" s="255" t="n"/>
      <c r="X737" s="255" t="n"/>
      <c r="Y737" s="255" t="n"/>
      <c r="Z737" s="255" t="n"/>
    </row>
    <row r="738" ht="12.75" customHeight="1">
      <c r="A738" s="333" t="n"/>
      <c r="B738" s="255" t="n"/>
      <c r="C738" s="255" t="n"/>
      <c r="D738" s="255" t="n"/>
      <c r="E738" s="255" t="n"/>
      <c r="F738" s="255" t="n"/>
      <c r="G738" s="255" t="n"/>
      <c r="H738" s="255" t="n"/>
      <c r="I738" s="255" t="n"/>
      <c r="J738" s="255" t="n"/>
      <c r="K738" s="255" t="n"/>
      <c r="L738" s="255" t="n"/>
      <c r="M738" s="255" t="n"/>
      <c r="N738" s="255" t="n"/>
      <c r="O738" s="255" t="n"/>
      <c r="P738" s="255" t="n"/>
      <c r="Q738" s="255" t="n"/>
      <c r="R738" s="255" t="n"/>
      <c r="S738" s="255" t="n"/>
      <c r="T738" s="255" t="n"/>
      <c r="U738" s="255" t="n"/>
      <c r="V738" s="255" t="n"/>
      <c r="W738" s="255" t="n"/>
      <c r="X738" s="255" t="n"/>
      <c r="Y738" s="255" t="n"/>
      <c r="Z738" s="255" t="n"/>
    </row>
    <row r="739" ht="12.75" customHeight="1">
      <c r="A739" s="333" t="n"/>
      <c r="B739" s="255" t="n"/>
      <c r="C739" s="255" t="n"/>
      <c r="D739" s="255" t="n"/>
      <c r="E739" s="255" t="n"/>
      <c r="F739" s="255" t="n"/>
      <c r="G739" s="255" t="n"/>
      <c r="H739" s="255" t="n"/>
      <c r="I739" s="255" t="n"/>
      <c r="J739" s="255" t="n"/>
      <c r="K739" s="255" t="n"/>
      <c r="L739" s="255" t="n"/>
      <c r="M739" s="255" t="n"/>
      <c r="N739" s="255" t="n"/>
      <c r="O739" s="255" t="n"/>
      <c r="P739" s="255" t="n"/>
      <c r="Q739" s="255" t="n"/>
      <c r="R739" s="255" t="n"/>
      <c r="S739" s="255" t="n"/>
      <c r="T739" s="255" t="n"/>
      <c r="U739" s="255" t="n"/>
      <c r="V739" s="255" t="n"/>
      <c r="W739" s="255" t="n"/>
      <c r="X739" s="255" t="n"/>
      <c r="Y739" s="255" t="n"/>
      <c r="Z739" s="255" t="n"/>
    </row>
    <row r="740" ht="12.75" customHeight="1">
      <c r="A740" s="333" t="n"/>
      <c r="B740" s="255" t="n"/>
      <c r="C740" s="255" t="n"/>
      <c r="D740" s="255" t="n"/>
      <c r="E740" s="255" t="n"/>
      <c r="F740" s="255" t="n"/>
      <c r="G740" s="255" t="n"/>
      <c r="H740" s="255" t="n"/>
      <c r="I740" s="255" t="n"/>
      <c r="J740" s="255" t="n"/>
      <c r="K740" s="255" t="n"/>
      <c r="L740" s="255" t="n"/>
      <c r="M740" s="255" t="n"/>
      <c r="N740" s="255" t="n"/>
      <c r="O740" s="255" t="n"/>
      <c r="P740" s="255" t="n"/>
      <c r="Q740" s="255" t="n"/>
      <c r="R740" s="255" t="n"/>
      <c r="S740" s="255" t="n"/>
      <c r="T740" s="255" t="n"/>
      <c r="U740" s="255" t="n"/>
      <c r="V740" s="255" t="n"/>
      <c r="W740" s="255" t="n"/>
      <c r="X740" s="255" t="n"/>
      <c r="Y740" s="255" t="n"/>
      <c r="Z740" s="255" t="n"/>
    </row>
    <row r="741" ht="12.75" customHeight="1">
      <c r="A741" s="333" t="n"/>
      <c r="B741" s="255" t="n"/>
      <c r="C741" s="255" t="n"/>
      <c r="D741" s="255" t="n"/>
      <c r="E741" s="255" t="n"/>
      <c r="F741" s="255" t="n"/>
      <c r="G741" s="255" t="n"/>
      <c r="H741" s="255" t="n"/>
      <c r="I741" s="255" t="n"/>
      <c r="J741" s="255" t="n"/>
      <c r="K741" s="255" t="n"/>
      <c r="L741" s="255" t="n"/>
      <c r="M741" s="255" t="n"/>
      <c r="N741" s="255" t="n"/>
      <c r="O741" s="255" t="n"/>
      <c r="P741" s="255" t="n"/>
      <c r="Q741" s="255" t="n"/>
      <c r="R741" s="255" t="n"/>
      <c r="S741" s="255" t="n"/>
      <c r="T741" s="255" t="n"/>
      <c r="U741" s="255" t="n"/>
      <c r="V741" s="255" t="n"/>
      <c r="W741" s="255" t="n"/>
      <c r="X741" s="255" t="n"/>
      <c r="Y741" s="255" t="n"/>
      <c r="Z741" s="255" t="n"/>
    </row>
    <row r="742" ht="12.75" customHeight="1">
      <c r="A742" s="333" t="n"/>
      <c r="B742" s="255" t="n"/>
      <c r="C742" s="255" t="n"/>
      <c r="D742" s="255" t="n"/>
      <c r="E742" s="255" t="n"/>
      <c r="F742" s="255" t="n"/>
      <c r="G742" s="255" t="n"/>
      <c r="H742" s="255" t="n"/>
      <c r="I742" s="255" t="n"/>
      <c r="J742" s="255" t="n"/>
      <c r="K742" s="255" t="n"/>
      <c r="L742" s="255" t="n"/>
      <c r="M742" s="255" t="n"/>
      <c r="N742" s="255" t="n"/>
      <c r="O742" s="255" t="n"/>
      <c r="P742" s="255" t="n"/>
      <c r="Q742" s="255" t="n"/>
      <c r="R742" s="255" t="n"/>
      <c r="S742" s="255" t="n"/>
      <c r="T742" s="255" t="n"/>
      <c r="U742" s="255" t="n"/>
      <c r="V742" s="255" t="n"/>
      <c r="W742" s="255" t="n"/>
      <c r="X742" s="255" t="n"/>
      <c r="Y742" s="255" t="n"/>
      <c r="Z742" s="255" t="n"/>
    </row>
    <row r="743" ht="12.75" customHeight="1">
      <c r="A743" s="333" t="n"/>
      <c r="B743" s="255" t="n"/>
      <c r="C743" s="255" t="n"/>
      <c r="D743" s="255" t="n"/>
      <c r="E743" s="255" t="n"/>
      <c r="F743" s="255" t="n"/>
      <c r="G743" s="255" t="n"/>
      <c r="H743" s="255" t="n"/>
      <c r="I743" s="255" t="n"/>
      <c r="J743" s="255" t="n"/>
      <c r="K743" s="255" t="n"/>
      <c r="L743" s="255" t="n"/>
      <c r="M743" s="255" t="n"/>
      <c r="N743" s="255" t="n"/>
      <c r="O743" s="255" t="n"/>
      <c r="P743" s="255" t="n"/>
      <c r="Q743" s="255" t="n"/>
      <c r="R743" s="255" t="n"/>
      <c r="S743" s="255" t="n"/>
      <c r="T743" s="255" t="n"/>
      <c r="U743" s="255" t="n"/>
      <c r="V743" s="255" t="n"/>
      <c r="W743" s="255" t="n"/>
      <c r="X743" s="255" t="n"/>
      <c r="Y743" s="255" t="n"/>
      <c r="Z743" s="255" t="n"/>
    </row>
    <row r="744" ht="12.75" customHeight="1">
      <c r="A744" s="333" t="n"/>
      <c r="B744" s="255" t="n"/>
      <c r="C744" s="255" t="n"/>
      <c r="D744" s="255" t="n"/>
      <c r="E744" s="255" t="n"/>
      <c r="F744" s="255" t="n"/>
      <c r="G744" s="255" t="n"/>
      <c r="H744" s="255" t="n"/>
      <c r="I744" s="255" t="n"/>
      <c r="J744" s="255" t="n"/>
      <c r="K744" s="255" t="n"/>
      <c r="L744" s="255" t="n"/>
      <c r="M744" s="255" t="n"/>
      <c r="N744" s="255" t="n"/>
      <c r="O744" s="255" t="n"/>
      <c r="P744" s="255" t="n"/>
      <c r="Q744" s="255" t="n"/>
      <c r="R744" s="255" t="n"/>
      <c r="S744" s="255" t="n"/>
      <c r="T744" s="255" t="n"/>
      <c r="U744" s="255" t="n"/>
      <c r="V744" s="255" t="n"/>
      <c r="W744" s="255" t="n"/>
      <c r="X744" s="255" t="n"/>
      <c r="Y744" s="255" t="n"/>
      <c r="Z744" s="255" t="n"/>
    </row>
    <row r="745" ht="12.75" customHeight="1">
      <c r="A745" s="333" t="n"/>
      <c r="B745" s="255" t="n"/>
      <c r="C745" s="255" t="n"/>
      <c r="D745" s="255" t="n"/>
      <c r="E745" s="255" t="n"/>
      <c r="F745" s="255" t="n"/>
      <c r="G745" s="255" t="n"/>
      <c r="H745" s="255" t="n"/>
      <c r="I745" s="255" t="n"/>
      <c r="J745" s="255" t="n"/>
      <c r="K745" s="255" t="n"/>
      <c r="L745" s="255" t="n"/>
      <c r="M745" s="255" t="n"/>
      <c r="N745" s="255" t="n"/>
      <c r="O745" s="255" t="n"/>
      <c r="P745" s="255" t="n"/>
      <c r="Q745" s="255" t="n"/>
      <c r="R745" s="255" t="n"/>
      <c r="S745" s="255" t="n"/>
      <c r="T745" s="255" t="n"/>
      <c r="U745" s="255" t="n"/>
      <c r="V745" s="255" t="n"/>
      <c r="W745" s="255" t="n"/>
      <c r="X745" s="255" t="n"/>
      <c r="Y745" s="255" t="n"/>
      <c r="Z745" s="255" t="n"/>
    </row>
    <row r="746" ht="12.75" customHeight="1">
      <c r="A746" s="333" t="n"/>
      <c r="B746" s="255" t="n"/>
      <c r="C746" s="255" t="n"/>
      <c r="D746" s="255" t="n"/>
      <c r="E746" s="255" t="n"/>
      <c r="F746" s="255" t="n"/>
      <c r="G746" s="255" t="n"/>
      <c r="H746" s="255" t="n"/>
      <c r="I746" s="255" t="n"/>
      <c r="J746" s="255" t="n"/>
      <c r="K746" s="255" t="n"/>
      <c r="L746" s="255" t="n"/>
      <c r="M746" s="255" t="n"/>
      <c r="N746" s="255" t="n"/>
      <c r="O746" s="255" t="n"/>
      <c r="P746" s="255" t="n"/>
      <c r="Q746" s="255" t="n"/>
      <c r="R746" s="255" t="n"/>
      <c r="S746" s="255" t="n"/>
      <c r="T746" s="255" t="n"/>
      <c r="U746" s="255" t="n"/>
      <c r="V746" s="255" t="n"/>
      <c r="W746" s="255" t="n"/>
      <c r="X746" s="255" t="n"/>
      <c r="Y746" s="255" t="n"/>
      <c r="Z746" s="255" t="n"/>
    </row>
    <row r="747" ht="12.75" customHeight="1">
      <c r="A747" s="333" t="n"/>
      <c r="B747" s="255" t="n"/>
      <c r="C747" s="255" t="n"/>
      <c r="D747" s="255" t="n"/>
      <c r="E747" s="255" t="n"/>
      <c r="F747" s="255" t="n"/>
      <c r="G747" s="255" t="n"/>
      <c r="H747" s="255" t="n"/>
      <c r="I747" s="255" t="n"/>
      <c r="J747" s="255" t="n"/>
      <c r="K747" s="255" t="n"/>
      <c r="L747" s="255" t="n"/>
      <c r="M747" s="255" t="n"/>
      <c r="N747" s="255" t="n"/>
      <c r="O747" s="255" t="n"/>
      <c r="P747" s="255" t="n"/>
      <c r="Q747" s="255" t="n"/>
      <c r="R747" s="255" t="n"/>
      <c r="S747" s="255" t="n"/>
      <c r="T747" s="255" t="n"/>
      <c r="U747" s="255" t="n"/>
      <c r="V747" s="255" t="n"/>
      <c r="W747" s="255" t="n"/>
      <c r="X747" s="255" t="n"/>
      <c r="Y747" s="255" t="n"/>
      <c r="Z747" s="255" t="n"/>
    </row>
    <row r="748" ht="12.75" customHeight="1">
      <c r="A748" s="333" t="n"/>
      <c r="B748" s="255" t="n"/>
      <c r="C748" s="255" t="n"/>
      <c r="D748" s="255" t="n"/>
      <c r="E748" s="255" t="n"/>
      <c r="F748" s="255" t="n"/>
      <c r="G748" s="255" t="n"/>
      <c r="H748" s="255" t="n"/>
      <c r="I748" s="255" t="n"/>
      <c r="J748" s="255" t="n"/>
      <c r="K748" s="255" t="n"/>
      <c r="L748" s="255" t="n"/>
      <c r="M748" s="255" t="n"/>
      <c r="N748" s="255" t="n"/>
      <c r="O748" s="255" t="n"/>
      <c r="P748" s="255" t="n"/>
      <c r="Q748" s="255" t="n"/>
      <c r="R748" s="255" t="n"/>
      <c r="S748" s="255" t="n"/>
      <c r="T748" s="255" t="n"/>
      <c r="U748" s="255" t="n"/>
      <c r="V748" s="255" t="n"/>
      <c r="W748" s="255" t="n"/>
      <c r="X748" s="255" t="n"/>
      <c r="Y748" s="255" t="n"/>
      <c r="Z748" s="255" t="n"/>
    </row>
    <row r="749" ht="12.75" customHeight="1">
      <c r="A749" s="333" t="n"/>
      <c r="B749" s="255" t="n"/>
      <c r="C749" s="255" t="n"/>
      <c r="D749" s="255" t="n"/>
      <c r="E749" s="255" t="n"/>
      <c r="F749" s="255" t="n"/>
      <c r="G749" s="255" t="n"/>
      <c r="H749" s="255" t="n"/>
      <c r="I749" s="255" t="n"/>
      <c r="J749" s="255" t="n"/>
      <c r="K749" s="255" t="n"/>
      <c r="L749" s="255" t="n"/>
      <c r="M749" s="255" t="n"/>
      <c r="N749" s="255" t="n"/>
      <c r="O749" s="255" t="n"/>
      <c r="P749" s="255" t="n"/>
      <c r="Q749" s="255" t="n"/>
      <c r="R749" s="255" t="n"/>
      <c r="S749" s="255" t="n"/>
      <c r="T749" s="255" t="n"/>
      <c r="U749" s="255" t="n"/>
      <c r="V749" s="255" t="n"/>
      <c r="W749" s="255" t="n"/>
      <c r="X749" s="255" t="n"/>
      <c r="Y749" s="255" t="n"/>
      <c r="Z749" s="255" t="n"/>
    </row>
    <row r="750" ht="12.75" customHeight="1">
      <c r="A750" s="333" t="n"/>
      <c r="B750" s="255" t="n"/>
      <c r="C750" s="255" t="n"/>
      <c r="D750" s="255" t="n"/>
      <c r="E750" s="255" t="n"/>
      <c r="F750" s="255" t="n"/>
      <c r="G750" s="255" t="n"/>
      <c r="H750" s="255" t="n"/>
      <c r="I750" s="255" t="n"/>
      <c r="J750" s="255" t="n"/>
      <c r="K750" s="255" t="n"/>
      <c r="L750" s="255" t="n"/>
      <c r="M750" s="255" t="n"/>
      <c r="N750" s="255" t="n"/>
      <c r="O750" s="255" t="n"/>
      <c r="P750" s="255" t="n"/>
      <c r="Q750" s="255" t="n"/>
      <c r="R750" s="255" t="n"/>
      <c r="S750" s="255" t="n"/>
      <c r="T750" s="255" t="n"/>
      <c r="U750" s="255" t="n"/>
      <c r="V750" s="255" t="n"/>
      <c r="W750" s="255" t="n"/>
      <c r="X750" s="255" t="n"/>
      <c r="Y750" s="255" t="n"/>
      <c r="Z750" s="255" t="n"/>
    </row>
    <row r="751" ht="12.75" customHeight="1">
      <c r="A751" s="333" t="n"/>
      <c r="B751" s="255" t="n"/>
      <c r="C751" s="255" t="n"/>
      <c r="D751" s="255" t="n"/>
      <c r="E751" s="255" t="n"/>
      <c r="F751" s="255" t="n"/>
      <c r="G751" s="255" t="n"/>
      <c r="H751" s="255" t="n"/>
      <c r="I751" s="255" t="n"/>
      <c r="J751" s="255" t="n"/>
      <c r="K751" s="255" t="n"/>
      <c r="L751" s="255" t="n"/>
      <c r="M751" s="255" t="n"/>
      <c r="N751" s="255" t="n"/>
      <c r="O751" s="255" t="n"/>
      <c r="P751" s="255" t="n"/>
      <c r="Q751" s="255" t="n"/>
      <c r="R751" s="255" t="n"/>
      <c r="S751" s="255" t="n"/>
      <c r="T751" s="255" t="n"/>
      <c r="U751" s="255" t="n"/>
      <c r="V751" s="255" t="n"/>
      <c r="W751" s="255" t="n"/>
      <c r="X751" s="255" t="n"/>
      <c r="Y751" s="255" t="n"/>
      <c r="Z751" s="255" t="n"/>
    </row>
    <row r="752" ht="12.75" customHeight="1">
      <c r="A752" s="333" t="n"/>
      <c r="B752" s="255" t="n"/>
      <c r="C752" s="255" t="n"/>
      <c r="D752" s="255" t="n"/>
      <c r="E752" s="255" t="n"/>
      <c r="F752" s="255" t="n"/>
      <c r="G752" s="255" t="n"/>
      <c r="H752" s="255" t="n"/>
      <c r="I752" s="255" t="n"/>
      <c r="J752" s="255" t="n"/>
      <c r="K752" s="255" t="n"/>
      <c r="L752" s="255" t="n"/>
      <c r="M752" s="255" t="n"/>
      <c r="N752" s="255" t="n"/>
      <c r="O752" s="255" t="n"/>
      <c r="P752" s="255" t="n"/>
      <c r="Q752" s="255" t="n"/>
      <c r="R752" s="255" t="n"/>
      <c r="S752" s="255" t="n"/>
      <c r="T752" s="255" t="n"/>
      <c r="U752" s="255" t="n"/>
      <c r="V752" s="255" t="n"/>
      <c r="W752" s="255" t="n"/>
      <c r="X752" s="255" t="n"/>
      <c r="Y752" s="255" t="n"/>
      <c r="Z752" s="255" t="n"/>
    </row>
    <row r="753" ht="12.75" customHeight="1">
      <c r="A753" s="333" t="n"/>
      <c r="B753" s="255" t="n"/>
      <c r="C753" s="255" t="n"/>
      <c r="D753" s="255" t="n"/>
      <c r="E753" s="255" t="n"/>
      <c r="F753" s="255" t="n"/>
      <c r="G753" s="255" t="n"/>
      <c r="H753" s="255" t="n"/>
      <c r="I753" s="255" t="n"/>
      <c r="J753" s="255" t="n"/>
      <c r="K753" s="255" t="n"/>
      <c r="L753" s="255" t="n"/>
      <c r="M753" s="255" t="n"/>
      <c r="N753" s="255" t="n"/>
      <c r="O753" s="255" t="n"/>
      <c r="P753" s="255" t="n"/>
      <c r="Q753" s="255" t="n"/>
      <c r="R753" s="255" t="n"/>
      <c r="S753" s="255" t="n"/>
      <c r="T753" s="255" t="n"/>
      <c r="U753" s="255" t="n"/>
      <c r="V753" s="255" t="n"/>
      <c r="W753" s="255" t="n"/>
      <c r="X753" s="255" t="n"/>
      <c r="Y753" s="255" t="n"/>
      <c r="Z753" s="255" t="n"/>
    </row>
    <row r="754" ht="12.75" customHeight="1">
      <c r="A754" s="333" t="n"/>
      <c r="B754" s="255" t="n"/>
      <c r="C754" s="255" t="n"/>
      <c r="D754" s="255" t="n"/>
      <c r="E754" s="255" t="n"/>
      <c r="F754" s="255" t="n"/>
      <c r="G754" s="255" t="n"/>
      <c r="H754" s="255" t="n"/>
      <c r="I754" s="255" t="n"/>
      <c r="J754" s="255" t="n"/>
      <c r="K754" s="255" t="n"/>
      <c r="L754" s="255" t="n"/>
      <c r="M754" s="255" t="n"/>
      <c r="N754" s="255" t="n"/>
      <c r="O754" s="255" t="n"/>
      <c r="P754" s="255" t="n"/>
      <c r="Q754" s="255" t="n"/>
      <c r="R754" s="255" t="n"/>
      <c r="S754" s="255" t="n"/>
      <c r="T754" s="255" t="n"/>
      <c r="U754" s="255" t="n"/>
      <c r="V754" s="255" t="n"/>
      <c r="W754" s="255" t="n"/>
      <c r="X754" s="255" t="n"/>
      <c r="Y754" s="255" t="n"/>
      <c r="Z754" s="255" t="n"/>
    </row>
    <row r="755" ht="12.75" customHeight="1">
      <c r="A755" s="333" t="n"/>
      <c r="B755" s="255" t="n"/>
      <c r="C755" s="255" t="n"/>
      <c r="D755" s="255" t="n"/>
      <c r="E755" s="255" t="n"/>
      <c r="F755" s="255" t="n"/>
      <c r="G755" s="255" t="n"/>
      <c r="H755" s="255" t="n"/>
      <c r="I755" s="255" t="n"/>
      <c r="J755" s="255" t="n"/>
      <c r="K755" s="255" t="n"/>
      <c r="L755" s="255" t="n"/>
      <c r="M755" s="255" t="n"/>
      <c r="N755" s="255" t="n"/>
      <c r="O755" s="255" t="n"/>
      <c r="P755" s="255" t="n"/>
      <c r="Q755" s="255" t="n"/>
      <c r="R755" s="255" t="n"/>
      <c r="S755" s="255" t="n"/>
      <c r="T755" s="255" t="n"/>
      <c r="U755" s="255" t="n"/>
      <c r="V755" s="255" t="n"/>
      <c r="W755" s="255" t="n"/>
      <c r="X755" s="255" t="n"/>
      <c r="Y755" s="255" t="n"/>
      <c r="Z755" s="255" t="n"/>
    </row>
    <row r="756" ht="12.75" customHeight="1">
      <c r="A756" s="333" t="n"/>
      <c r="B756" s="255" t="n"/>
      <c r="C756" s="255" t="n"/>
      <c r="D756" s="255" t="n"/>
      <c r="E756" s="255" t="n"/>
      <c r="F756" s="255" t="n"/>
      <c r="G756" s="255" t="n"/>
      <c r="H756" s="255" t="n"/>
      <c r="I756" s="255" t="n"/>
      <c r="J756" s="255" t="n"/>
      <c r="K756" s="255" t="n"/>
      <c r="L756" s="255" t="n"/>
      <c r="M756" s="255" t="n"/>
      <c r="N756" s="255" t="n"/>
      <c r="O756" s="255" t="n"/>
      <c r="P756" s="255" t="n"/>
      <c r="Q756" s="255" t="n"/>
      <c r="R756" s="255" t="n"/>
      <c r="S756" s="255" t="n"/>
      <c r="T756" s="255" t="n"/>
      <c r="U756" s="255" t="n"/>
      <c r="V756" s="255" t="n"/>
      <c r="W756" s="255" t="n"/>
      <c r="X756" s="255" t="n"/>
      <c r="Y756" s="255" t="n"/>
      <c r="Z756" s="255" t="n"/>
    </row>
    <row r="757" ht="12.75" customHeight="1">
      <c r="A757" s="333" t="n"/>
      <c r="B757" s="255" t="n"/>
      <c r="C757" s="255" t="n"/>
      <c r="D757" s="255" t="n"/>
      <c r="E757" s="255" t="n"/>
      <c r="F757" s="255" t="n"/>
      <c r="G757" s="255" t="n"/>
      <c r="H757" s="255" t="n"/>
      <c r="I757" s="255" t="n"/>
      <c r="J757" s="255" t="n"/>
      <c r="K757" s="255" t="n"/>
      <c r="L757" s="255" t="n"/>
      <c r="M757" s="255" t="n"/>
      <c r="N757" s="255" t="n"/>
      <c r="O757" s="255" t="n"/>
      <c r="P757" s="255" t="n"/>
      <c r="Q757" s="255" t="n"/>
      <c r="R757" s="255" t="n"/>
      <c r="S757" s="255" t="n"/>
      <c r="T757" s="255" t="n"/>
      <c r="U757" s="255" t="n"/>
      <c r="V757" s="255" t="n"/>
      <c r="W757" s="255" t="n"/>
      <c r="X757" s="255" t="n"/>
      <c r="Y757" s="255" t="n"/>
      <c r="Z757" s="255" t="n"/>
    </row>
    <row r="758" ht="12.75" customHeight="1">
      <c r="A758" s="333" t="n"/>
      <c r="B758" s="255" t="n"/>
      <c r="C758" s="255" t="n"/>
      <c r="D758" s="255" t="n"/>
      <c r="E758" s="255" t="n"/>
      <c r="F758" s="255" t="n"/>
      <c r="G758" s="255" t="n"/>
      <c r="H758" s="255" t="n"/>
      <c r="I758" s="255" t="n"/>
      <c r="J758" s="255" t="n"/>
      <c r="K758" s="255" t="n"/>
      <c r="L758" s="255" t="n"/>
      <c r="M758" s="255" t="n"/>
      <c r="N758" s="255" t="n"/>
      <c r="O758" s="255" t="n"/>
      <c r="P758" s="255" t="n"/>
      <c r="Q758" s="255" t="n"/>
      <c r="R758" s="255" t="n"/>
      <c r="S758" s="255" t="n"/>
      <c r="T758" s="255" t="n"/>
      <c r="U758" s="255" t="n"/>
      <c r="V758" s="255" t="n"/>
      <c r="W758" s="255" t="n"/>
      <c r="X758" s="255" t="n"/>
      <c r="Y758" s="255" t="n"/>
      <c r="Z758" s="255" t="n"/>
    </row>
    <row r="759" ht="12.75" customHeight="1">
      <c r="A759" s="333" t="n"/>
      <c r="B759" s="255" t="n"/>
      <c r="C759" s="255" t="n"/>
      <c r="D759" s="255" t="n"/>
      <c r="E759" s="255" t="n"/>
      <c r="F759" s="255" t="n"/>
      <c r="G759" s="255" t="n"/>
      <c r="H759" s="255" t="n"/>
      <c r="I759" s="255" t="n"/>
      <c r="J759" s="255" t="n"/>
      <c r="K759" s="255" t="n"/>
      <c r="L759" s="255" t="n"/>
      <c r="M759" s="255" t="n"/>
      <c r="N759" s="255" t="n"/>
      <c r="O759" s="255" t="n"/>
      <c r="P759" s="255" t="n"/>
      <c r="Q759" s="255" t="n"/>
      <c r="R759" s="255" t="n"/>
      <c r="S759" s="255" t="n"/>
      <c r="T759" s="255" t="n"/>
      <c r="U759" s="255" t="n"/>
      <c r="V759" s="255" t="n"/>
      <c r="W759" s="255" t="n"/>
      <c r="X759" s="255" t="n"/>
      <c r="Y759" s="255" t="n"/>
      <c r="Z759" s="255" t="n"/>
    </row>
    <row r="760" ht="12.75" customHeight="1">
      <c r="A760" s="333" t="n"/>
      <c r="B760" s="255" t="n"/>
      <c r="C760" s="255" t="n"/>
      <c r="D760" s="255" t="n"/>
      <c r="E760" s="255" t="n"/>
      <c r="F760" s="255" t="n"/>
      <c r="G760" s="255" t="n"/>
      <c r="H760" s="255" t="n"/>
      <c r="I760" s="255" t="n"/>
      <c r="J760" s="255" t="n"/>
      <c r="K760" s="255" t="n"/>
      <c r="L760" s="255" t="n"/>
      <c r="M760" s="255" t="n"/>
      <c r="N760" s="255" t="n"/>
      <c r="O760" s="255" t="n"/>
      <c r="P760" s="255" t="n"/>
      <c r="Q760" s="255" t="n"/>
      <c r="R760" s="255" t="n"/>
      <c r="S760" s="255" t="n"/>
      <c r="T760" s="255" t="n"/>
      <c r="U760" s="255" t="n"/>
      <c r="V760" s="255" t="n"/>
      <c r="W760" s="255" t="n"/>
      <c r="X760" s="255" t="n"/>
      <c r="Y760" s="255" t="n"/>
      <c r="Z760" s="255" t="n"/>
    </row>
    <row r="761" ht="12.75" customHeight="1">
      <c r="A761" s="333" t="n"/>
      <c r="B761" s="255" t="n"/>
      <c r="C761" s="255" t="n"/>
      <c r="D761" s="255" t="n"/>
      <c r="E761" s="255" t="n"/>
      <c r="F761" s="255" t="n"/>
      <c r="G761" s="255" t="n"/>
      <c r="H761" s="255" t="n"/>
      <c r="I761" s="255" t="n"/>
      <c r="J761" s="255" t="n"/>
      <c r="K761" s="255" t="n"/>
      <c r="L761" s="255" t="n"/>
      <c r="M761" s="255" t="n"/>
      <c r="N761" s="255" t="n"/>
      <c r="O761" s="255" t="n"/>
      <c r="P761" s="255" t="n"/>
      <c r="Q761" s="255" t="n"/>
      <c r="R761" s="255" t="n"/>
      <c r="S761" s="255" t="n"/>
      <c r="T761" s="255" t="n"/>
      <c r="U761" s="255" t="n"/>
      <c r="V761" s="255" t="n"/>
      <c r="W761" s="255" t="n"/>
      <c r="X761" s="255" t="n"/>
      <c r="Y761" s="255" t="n"/>
      <c r="Z761" s="255" t="n"/>
    </row>
    <row r="762" ht="12.75" customHeight="1">
      <c r="A762" s="333" t="n"/>
      <c r="B762" s="255" t="n"/>
      <c r="C762" s="255" t="n"/>
      <c r="D762" s="255" t="n"/>
      <c r="E762" s="255" t="n"/>
      <c r="F762" s="255" t="n"/>
      <c r="G762" s="255" t="n"/>
      <c r="H762" s="255" t="n"/>
      <c r="I762" s="255" t="n"/>
      <c r="J762" s="255" t="n"/>
      <c r="K762" s="255" t="n"/>
      <c r="L762" s="255" t="n"/>
      <c r="M762" s="255" t="n"/>
      <c r="N762" s="255" t="n"/>
      <c r="O762" s="255" t="n"/>
      <c r="P762" s="255" t="n"/>
      <c r="Q762" s="255" t="n"/>
      <c r="R762" s="255" t="n"/>
      <c r="S762" s="255" t="n"/>
      <c r="T762" s="255" t="n"/>
      <c r="U762" s="255" t="n"/>
      <c r="V762" s="255" t="n"/>
      <c r="W762" s="255" t="n"/>
      <c r="X762" s="255" t="n"/>
      <c r="Y762" s="255" t="n"/>
      <c r="Z762" s="255" t="n"/>
    </row>
    <row r="763" ht="12.75" customHeight="1">
      <c r="A763" s="333" t="n"/>
      <c r="B763" s="255" t="n"/>
      <c r="C763" s="255" t="n"/>
      <c r="D763" s="255" t="n"/>
      <c r="E763" s="255" t="n"/>
      <c r="F763" s="255" t="n"/>
      <c r="G763" s="255" t="n"/>
      <c r="H763" s="255" t="n"/>
      <c r="I763" s="255" t="n"/>
      <c r="J763" s="255" t="n"/>
      <c r="K763" s="255" t="n"/>
      <c r="L763" s="255" t="n"/>
      <c r="M763" s="255" t="n"/>
      <c r="N763" s="255" t="n"/>
      <c r="O763" s="255" t="n"/>
      <c r="P763" s="255" t="n"/>
      <c r="Q763" s="255" t="n"/>
      <c r="R763" s="255" t="n"/>
      <c r="S763" s="255" t="n"/>
      <c r="T763" s="255" t="n"/>
      <c r="U763" s="255" t="n"/>
      <c r="V763" s="255" t="n"/>
      <c r="W763" s="255" t="n"/>
      <c r="X763" s="255" t="n"/>
      <c r="Y763" s="255" t="n"/>
      <c r="Z763" s="255" t="n"/>
    </row>
    <row r="764" ht="12.75" customHeight="1">
      <c r="A764" s="333" t="n"/>
      <c r="B764" s="255" t="n"/>
      <c r="C764" s="255" t="n"/>
      <c r="D764" s="255" t="n"/>
      <c r="E764" s="255" t="n"/>
      <c r="F764" s="255" t="n"/>
      <c r="G764" s="255" t="n"/>
      <c r="H764" s="255" t="n"/>
      <c r="I764" s="255" t="n"/>
      <c r="J764" s="255" t="n"/>
      <c r="K764" s="255" t="n"/>
      <c r="L764" s="255" t="n"/>
      <c r="M764" s="255" t="n"/>
      <c r="N764" s="255" t="n"/>
      <c r="O764" s="255" t="n"/>
      <c r="P764" s="255" t="n"/>
      <c r="Q764" s="255" t="n"/>
      <c r="R764" s="255" t="n"/>
      <c r="S764" s="255" t="n"/>
      <c r="T764" s="255" t="n"/>
      <c r="U764" s="255" t="n"/>
      <c r="V764" s="255" t="n"/>
      <c r="W764" s="255" t="n"/>
      <c r="X764" s="255" t="n"/>
      <c r="Y764" s="255" t="n"/>
      <c r="Z764" s="255" t="n"/>
    </row>
    <row r="765" ht="12.75" customHeight="1">
      <c r="A765" s="333" t="n"/>
      <c r="B765" s="255" t="n"/>
      <c r="C765" s="255" t="n"/>
      <c r="D765" s="255" t="n"/>
      <c r="E765" s="255" t="n"/>
      <c r="F765" s="255" t="n"/>
      <c r="G765" s="255" t="n"/>
      <c r="H765" s="255" t="n"/>
      <c r="I765" s="255" t="n"/>
      <c r="J765" s="255" t="n"/>
      <c r="K765" s="255" t="n"/>
      <c r="L765" s="255" t="n"/>
      <c r="M765" s="255" t="n"/>
      <c r="N765" s="255" t="n"/>
      <c r="O765" s="255" t="n"/>
      <c r="P765" s="255" t="n"/>
      <c r="Q765" s="255" t="n"/>
      <c r="R765" s="255" t="n"/>
      <c r="S765" s="255" t="n"/>
      <c r="T765" s="255" t="n"/>
      <c r="U765" s="255" t="n"/>
      <c r="V765" s="255" t="n"/>
      <c r="W765" s="255" t="n"/>
      <c r="X765" s="255" t="n"/>
      <c r="Y765" s="255" t="n"/>
      <c r="Z765" s="255" t="n"/>
    </row>
    <row r="766" ht="12.75" customHeight="1">
      <c r="A766" s="333" t="n"/>
      <c r="B766" s="255" t="n"/>
      <c r="C766" s="255" t="n"/>
      <c r="D766" s="255" t="n"/>
      <c r="E766" s="255" t="n"/>
      <c r="F766" s="255" t="n"/>
      <c r="G766" s="255" t="n"/>
      <c r="H766" s="255" t="n"/>
      <c r="I766" s="255" t="n"/>
      <c r="J766" s="255" t="n"/>
      <c r="K766" s="255" t="n"/>
      <c r="L766" s="255" t="n"/>
      <c r="M766" s="255" t="n"/>
      <c r="N766" s="255" t="n"/>
      <c r="O766" s="255" t="n"/>
      <c r="P766" s="255" t="n"/>
      <c r="Q766" s="255" t="n"/>
      <c r="R766" s="255" t="n"/>
      <c r="S766" s="255" t="n"/>
      <c r="T766" s="255" t="n"/>
      <c r="U766" s="255" t="n"/>
      <c r="V766" s="255" t="n"/>
      <c r="W766" s="255" t="n"/>
      <c r="X766" s="255" t="n"/>
      <c r="Y766" s="255" t="n"/>
      <c r="Z766" s="255" t="n"/>
    </row>
    <row r="767" ht="12.75" customHeight="1">
      <c r="A767" s="333" t="n"/>
      <c r="B767" s="255" t="n"/>
      <c r="C767" s="255" t="n"/>
      <c r="D767" s="255" t="n"/>
      <c r="E767" s="255" t="n"/>
      <c r="F767" s="255" t="n"/>
      <c r="G767" s="255" t="n"/>
      <c r="H767" s="255" t="n"/>
      <c r="I767" s="255" t="n"/>
      <c r="J767" s="255" t="n"/>
      <c r="K767" s="255" t="n"/>
      <c r="L767" s="255" t="n"/>
      <c r="M767" s="255" t="n"/>
      <c r="N767" s="255" t="n"/>
      <c r="O767" s="255" t="n"/>
      <c r="P767" s="255" t="n"/>
      <c r="Q767" s="255" t="n"/>
      <c r="R767" s="255" t="n"/>
      <c r="S767" s="255" t="n"/>
      <c r="T767" s="255" t="n"/>
      <c r="U767" s="255" t="n"/>
      <c r="V767" s="255" t="n"/>
      <c r="W767" s="255" t="n"/>
      <c r="X767" s="255" t="n"/>
      <c r="Y767" s="255" t="n"/>
      <c r="Z767" s="255" t="n"/>
    </row>
    <row r="768" ht="12.75" customHeight="1">
      <c r="A768" s="333" t="n"/>
      <c r="B768" s="255" t="n"/>
      <c r="C768" s="255" t="n"/>
      <c r="D768" s="255" t="n"/>
      <c r="E768" s="255" t="n"/>
      <c r="F768" s="255" t="n"/>
      <c r="G768" s="255" t="n"/>
      <c r="H768" s="255" t="n"/>
      <c r="I768" s="255" t="n"/>
      <c r="J768" s="255" t="n"/>
      <c r="K768" s="255" t="n"/>
      <c r="L768" s="255" t="n"/>
      <c r="M768" s="255" t="n"/>
      <c r="N768" s="255" t="n"/>
      <c r="O768" s="255" t="n"/>
      <c r="P768" s="255" t="n"/>
      <c r="Q768" s="255" t="n"/>
      <c r="R768" s="255" t="n"/>
      <c r="S768" s="255" t="n"/>
      <c r="T768" s="255" t="n"/>
      <c r="U768" s="255" t="n"/>
      <c r="V768" s="255" t="n"/>
      <c r="W768" s="255" t="n"/>
      <c r="X768" s="255" t="n"/>
      <c r="Y768" s="255" t="n"/>
      <c r="Z768" s="255" t="n"/>
    </row>
    <row r="769" ht="12.75" customHeight="1">
      <c r="A769" s="333" t="n"/>
      <c r="B769" s="255" t="n"/>
      <c r="C769" s="255" t="n"/>
      <c r="D769" s="255" t="n"/>
      <c r="E769" s="255" t="n"/>
      <c r="F769" s="255" t="n"/>
      <c r="G769" s="255" t="n"/>
      <c r="H769" s="255" t="n"/>
      <c r="I769" s="255" t="n"/>
      <c r="J769" s="255" t="n"/>
      <c r="K769" s="255" t="n"/>
      <c r="L769" s="255" t="n"/>
      <c r="M769" s="255" t="n"/>
      <c r="N769" s="255" t="n"/>
      <c r="O769" s="255" t="n"/>
      <c r="P769" s="255" t="n"/>
      <c r="Q769" s="255" t="n"/>
      <c r="R769" s="255" t="n"/>
      <c r="S769" s="255" t="n"/>
      <c r="T769" s="255" t="n"/>
      <c r="U769" s="255" t="n"/>
      <c r="V769" s="255" t="n"/>
      <c r="W769" s="255" t="n"/>
      <c r="X769" s="255" t="n"/>
      <c r="Y769" s="255" t="n"/>
      <c r="Z769" s="255" t="n"/>
    </row>
    <row r="770" ht="12.75" customHeight="1">
      <c r="A770" s="333" t="n"/>
      <c r="B770" s="255" t="n"/>
      <c r="C770" s="255" t="n"/>
      <c r="D770" s="255" t="n"/>
      <c r="E770" s="255" t="n"/>
      <c r="F770" s="255" t="n"/>
      <c r="G770" s="255" t="n"/>
      <c r="H770" s="255" t="n"/>
      <c r="I770" s="255" t="n"/>
      <c r="J770" s="255" t="n"/>
      <c r="K770" s="255" t="n"/>
      <c r="L770" s="255" t="n"/>
      <c r="M770" s="255" t="n"/>
      <c r="N770" s="255" t="n"/>
      <c r="O770" s="255" t="n"/>
      <c r="P770" s="255" t="n"/>
      <c r="Q770" s="255" t="n"/>
      <c r="R770" s="255" t="n"/>
      <c r="S770" s="255" t="n"/>
      <c r="T770" s="255" t="n"/>
      <c r="U770" s="255" t="n"/>
      <c r="V770" s="255" t="n"/>
      <c r="W770" s="255" t="n"/>
      <c r="X770" s="255" t="n"/>
      <c r="Y770" s="255" t="n"/>
      <c r="Z770" s="255" t="n"/>
    </row>
    <row r="771" ht="12.75" customHeight="1">
      <c r="A771" s="333" t="n"/>
      <c r="B771" s="255" t="n"/>
      <c r="C771" s="255" t="n"/>
      <c r="D771" s="255" t="n"/>
      <c r="E771" s="255" t="n"/>
      <c r="F771" s="255" t="n"/>
      <c r="G771" s="255" t="n"/>
      <c r="H771" s="255" t="n"/>
      <c r="I771" s="255" t="n"/>
      <c r="J771" s="255" t="n"/>
      <c r="K771" s="255" t="n"/>
      <c r="L771" s="255" t="n"/>
      <c r="M771" s="255" t="n"/>
      <c r="N771" s="255" t="n"/>
      <c r="O771" s="255" t="n"/>
      <c r="P771" s="255" t="n"/>
      <c r="Q771" s="255" t="n"/>
      <c r="R771" s="255" t="n"/>
      <c r="S771" s="255" t="n"/>
      <c r="T771" s="255" t="n"/>
      <c r="U771" s="255" t="n"/>
      <c r="V771" s="255" t="n"/>
      <c r="W771" s="255" t="n"/>
      <c r="X771" s="255" t="n"/>
      <c r="Y771" s="255" t="n"/>
      <c r="Z771" s="255" t="n"/>
    </row>
    <row r="772" ht="12.75" customHeight="1">
      <c r="A772" s="333" t="n"/>
      <c r="B772" s="255" t="n"/>
      <c r="C772" s="255" t="n"/>
      <c r="D772" s="255" t="n"/>
      <c r="E772" s="255" t="n"/>
      <c r="F772" s="255" t="n"/>
      <c r="G772" s="255" t="n"/>
      <c r="H772" s="255" t="n"/>
      <c r="I772" s="255" t="n"/>
      <c r="J772" s="255" t="n"/>
      <c r="K772" s="255" t="n"/>
      <c r="L772" s="255" t="n"/>
      <c r="M772" s="255" t="n"/>
      <c r="N772" s="255" t="n"/>
      <c r="O772" s="255" t="n"/>
      <c r="P772" s="255" t="n"/>
      <c r="Q772" s="255" t="n"/>
      <c r="R772" s="255" t="n"/>
      <c r="S772" s="255" t="n"/>
      <c r="T772" s="255" t="n"/>
      <c r="U772" s="255" t="n"/>
      <c r="V772" s="255" t="n"/>
      <c r="W772" s="255" t="n"/>
      <c r="X772" s="255" t="n"/>
      <c r="Y772" s="255" t="n"/>
      <c r="Z772" s="255" t="n"/>
    </row>
    <row r="773" ht="12.75" customHeight="1">
      <c r="A773" s="333" t="n"/>
      <c r="B773" s="255" t="n"/>
      <c r="C773" s="255" t="n"/>
      <c r="D773" s="255" t="n"/>
      <c r="E773" s="255" t="n"/>
      <c r="F773" s="255" t="n"/>
      <c r="G773" s="255" t="n"/>
      <c r="H773" s="255" t="n"/>
      <c r="I773" s="255" t="n"/>
      <c r="J773" s="255" t="n"/>
      <c r="K773" s="255" t="n"/>
      <c r="L773" s="255" t="n"/>
      <c r="M773" s="255" t="n"/>
      <c r="N773" s="255" t="n"/>
      <c r="O773" s="255" t="n"/>
      <c r="P773" s="255" t="n"/>
      <c r="Q773" s="255" t="n"/>
      <c r="R773" s="255" t="n"/>
      <c r="S773" s="255" t="n"/>
      <c r="T773" s="255" t="n"/>
      <c r="U773" s="255" t="n"/>
      <c r="V773" s="255" t="n"/>
      <c r="W773" s="255" t="n"/>
      <c r="X773" s="255" t="n"/>
      <c r="Y773" s="255" t="n"/>
      <c r="Z773" s="255" t="n"/>
    </row>
    <row r="774" ht="12.75" customHeight="1">
      <c r="A774" s="333" t="n"/>
      <c r="B774" s="255" t="n"/>
      <c r="C774" s="255" t="n"/>
      <c r="D774" s="255" t="n"/>
      <c r="E774" s="255" t="n"/>
      <c r="F774" s="255" t="n"/>
      <c r="G774" s="255" t="n"/>
      <c r="H774" s="255" t="n"/>
      <c r="I774" s="255" t="n"/>
      <c r="J774" s="255" t="n"/>
      <c r="K774" s="255" t="n"/>
      <c r="L774" s="255" t="n"/>
      <c r="M774" s="255" t="n"/>
      <c r="N774" s="255" t="n"/>
      <c r="O774" s="255" t="n"/>
      <c r="P774" s="255" t="n"/>
      <c r="Q774" s="255" t="n"/>
      <c r="R774" s="255" t="n"/>
      <c r="S774" s="255" t="n"/>
      <c r="T774" s="255" t="n"/>
      <c r="U774" s="255" t="n"/>
      <c r="V774" s="255" t="n"/>
      <c r="W774" s="255" t="n"/>
      <c r="X774" s="255" t="n"/>
      <c r="Y774" s="255" t="n"/>
      <c r="Z774" s="255" t="n"/>
    </row>
    <row r="775" ht="12.75" customHeight="1">
      <c r="A775" s="333" t="n"/>
      <c r="B775" s="255" t="n"/>
      <c r="C775" s="255" t="n"/>
      <c r="D775" s="255" t="n"/>
      <c r="E775" s="255" t="n"/>
      <c r="F775" s="255" t="n"/>
      <c r="G775" s="255" t="n"/>
      <c r="H775" s="255" t="n"/>
      <c r="I775" s="255" t="n"/>
      <c r="J775" s="255" t="n"/>
      <c r="K775" s="255" t="n"/>
      <c r="L775" s="255" t="n"/>
      <c r="M775" s="255" t="n"/>
      <c r="N775" s="255" t="n"/>
      <c r="O775" s="255" t="n"/>
      <c r="P775" s="255" t="n"/>
      <c r="Q775" s="255" t="n"/>
      <c r="R775" s="255" t="n"/>
      <c r="S775" s="255" t="n"/>
      <c r="T775" s="255" t="n"/>
      <c r="U775" s="255" t="n"/>
      <c r="V775" s="255" t="n"/>
      <c r="W775" s="255" t="n"/>
      <c r="X775" s="255" t="n"/>
      <c r="Y775" s="255" t="n"/>
      <c r="Z775" s="255" t="n"/>
    </row>
    <row r="776" ht="12.75" customHeight="1">
      <c r="A776" s="333" t="n"/>
      <c r="B776" s="255" t="n"/>
      <c r="C776" s="255" t="n"/>
      <c r="D776" s="255" t="n"/>
      <c r="E776" s="255" t="n"/>
      <c r="F776" s="255" t="n"/>
      <c r="G776" s="255" t="n"/>
      <c r="H776" s="255" t="n"/>
      <c r="I776" s="255" t="n"/>
      <c r="J776" s="255" t="n"/>
      <c r="K776" s="255" t="n"/>
      <c r="L776" s="255" t="n"/>
      <c r="M776" s="255" t="n"/>
      <c r="N776" s="255" t="n"/>
      <c r="O776" s="255" t="n"/>
      <c r="P776" s="255" t="n"/>
      <c r="Q776" s="255" t="n"/>
      <c r="R776" s="255" t="n"/>
      <c r="S776" s="255" t="n"/>
      <c r="T776" s="255" t="n"/>
      <c r="U776" s="255" t="n"/>
      <c r="V776" s="255" t="n"/>
      <c r="W776" s="255" t="n"/>
      <c r="X776" s="255" t="n"/>
      <c r="Y776" s="255" t="n"/>
      <c r="Z776" s="255" t="n"/>
    </row>
    <row r="777" ht="12.75" customHeight="1">
      <c r="A777" s="333" t="n"/>
      <c r="B777" s="255" t="n"/>
      <c r="C777" s="255" t="n"/>
      <c r="D777" s="255" t="n"/>
      <c r="E777" s="255" t="n"/>
      <c r="F777" s="255" t="n"/>
      <c r="G777" s="255" t="n"/>
      <c r="H777" s="255" t="n"/>
      <c r="I777" s="255" t="n"/>
      <c r="J777" s="255" t="n"/>
      <c r="K777" s="255" t="n"/>
      <c r="L777" s="255" t="n"/>
      <c r="M777" s="255" t="n"/>
      <c r="N777" s="255" t="n"/>
      <c r="O777" s="255" t="n"/>
      <c r="P777" s="255" t="n"/>
      <c r="Q777" s="255" t="n"/>
      <c r="R777" s="255" t="n"/>
      <c r="S777" s="255" t="n"/>
      <c r="T777" s="255" t="n"/>
      <c r="U777" s="255" t="n"/>
      <c r="V777" s="255" t="n"/>
      <c r="W777" s="255" t="n"/>
      <c r="X777" s="255" t="n"/>
      <c r="Y777" s="255" t="n"/>
      <c r="Z777" s="255" t="n"/>
    </row>
    <row r="778" ht="12.75" customHeight="1">
      <c r="A778" s="333" t="n"/>
      <c r="B778" s="255" t="n"/>
      <c r="C778" s="255" t="n"/>
      <c r="D778" s="255" t="n"/>
      <c r="E778" s="255" t="n"/>
      <c r="F778" s="255" t="n"/>
      <c r="G778" s="255" t="n"/>
      <c r="H778" s="255" t="n"/>
      <c r="I778" s="255" t="n"/>
      <c r="J778" s="255" t="n"/>
      <c r="K778" s="255" t="n"/>
      <c r="L778" s="255" t="n"/>
      <c r="M778" s="255" t="n"/>
      <c r="N778" s="255" t="n"/>
      <c r="O778" s="255" t="n"/>
      <c r="P778" s="255" t="n"/>
      <c r="Q778" s="255" t="n"/>
      <c r="R778" s="255" t="n"/>
      <c r="S778" s="255" t="n"/>
      <c r="T778" s="255" t="n"/>
      <c r="U778" s="255" t="n"/>
      <c r="V778" s="255" t="n"/>
      <c r="W778" s="255" t="n"/>
      <c r="X778" s="255" t="n"/>
      <c r="Y778" s="255" t="n"/>
      <c r="Z778" s="255" t="n"/>
    </row>
    <row r="779" ht="12.75" customHeight="1">
      <c r="A779" s="333" t="n"/>
      <c r="B779" s="255" t="n"/>
      <c r="C779" s="255" t="n"/>
      <c r="D779" s="255" t="n"/>
      <c r="E779" s="255" t="n"/>
      <c r="F779" s="255" t="n"/>
      <c r="G779" s="255" t="n"/>
      <c r="H779" s="255" t="n"/>
      <c r="I779" s="255" t="n"/>
      <c r="J779" s="255" t="n"/>
      <c r="K779" s="255" t="n"/>
      <c r="L779" s="255" t="n"/>
      <c r="M779" s="255" t="n"/>
      <c r="N779" s="255" t="n"/>
      <c r="O779" s="255" t="n"/>
      <c r="P779" s="255" t="n"/>
      <c r="Q779" s="255" t="n"/>
      <c r="R779" s="255" t="n"/>
      <c r="S779" s="255" t="n"/>
      <c r="T779" s="255" t="n"/>
      <c r="U779" s="255" t="n"/>
      <c r="V779" s="255" t="n"/>
      <c r="W779" s="255" t="n"/>
      <c r="X779" s="255" t="n"/>
      <c r="Y779" s="255" t="n"/>
      <c r="Z779" s="255" t="n"/>
    </row>
    <row r="780" ht="12.75" customHeight="1">
      <c r="A780" s="333" t="n"/>
      <c r="B780" s="255" t="n"/>
      <c r="C780" s="255" t="n"/>
      <c r="D780" s="255" t="n"/>
      <c r="E780" s="255" t="n"/>
      <c r="F780" s="255" t="n"/>
      <c r="G780" s="255" t="n"/>
      <c r="H780" s="255" t="n"/>
      <c r="I780" s="255" t="n"/>
      <c r="J780" s="255" t="n"/>
      <c r="K780" s="255" t="n"/>
      <c r="L780" s="255" t="n"/>
      <c r="M780" s="255" t="n"/>
      <c r="N780" s="255" t="n"/>
      <c r="O780" s="255" t="n"/>
      <c r="P780" s="255" t="n"/>
      <c r="Q780" s="255" t="n"/>
      <c r="R780" s="255" t="n"/>
      <c r="S780" s="255" t="n"/>
      <c r="T780" s="255" t="n"/>
      <c r="U780" s="255" t="n"/>
      <c r="V780" s="255" t="n"/>
      <c r="W780" s="255" t="n"/>
      <c r="X780" s="255" t="n"/>
      <c r="Y780" s="255" t="n"/>
      <c r="Z780" s="255" t="n"/>
    </row>
    <row r="781" ht="12.75" customHeight="1">
      <c r="A781" s="333" t="n"/>
      <c r="B781" s="255" t="n"/>
      <c r="C781" s="255" t="n"/>
      <c r="D781" s="255" t="n"/>
      <c r="E781" s="255" t="n"/>
      <c r="F781" s="255" t="n"/>
      <c r="G781" s="255" t="n"/>
      <c r="H781" s="255" t="n"/>
      <c r="I781" s="255" t="n"/>
      <c r="J781" s="255" t="n"/>
      <c r="K781" s="255" t="n"/>
      <c r="L781" s="255" t="n"/>
      <c r="M781" s="255" t="n"/>
      <c r="N781" s="255" t="n"/>
      <c r="O781" s="255" t="n"/>
      <c r="P781" s="255" t="n"/>
      <c r="Q781" s="255" t="n"/>
      <c r="R781" s="255" t="n"/>
      <c r="S781" s="255" t="n"/>
      <c r="T781" s="255" t="n"/>
      <c r="U781" s="255" t="n"/>
      <c r="V781" s="255" t="n"/>
      <c r="W781" s="255" t="n"/>
      <c r="X781" s="255" t="n"/>
      <c r="Y781" s="255" t="n"/>
      <c r="Z781" s="255" t="n"/>
    </row>
    <row r="782" ht="12.75" customHeight="1">
      <c r="A782" s="333" t="n"/>
      <c r="B782" s="255" t="n"/>
      <c r="C782" s="255" t="n"/>
      <c r="D782" s="255" t="n"/>
      <c r="E782" s="255" t="n"/>
      <c r="F782" s="255" t="n"/>
      <c r="G782" s="255" t="n"/>
      <c r="H782" s="255" t="n"/>
      <c r="I782" s="255" t="n"/>
      <c r="J782" s="255" t="n"/>
      <c r="K782" s="255" t="n"/>
      <c r="L782" s="255" t="n"/>
      <c r="M782" s="255" t="n"/>
      <c r="N782" s="255" t="n"/>
      <c r="O782" s="255" t="n"/>
      <c r="P782" s="255" t="n"/>
      <c r="Q782" s="255" t="n"/>
      <c r="R782" s="255" t="n"/>
      <c r="S782" s="255" t="n"/>
      <c r="T782" s="255" t="n"/>
      <c r="U782" s="255" t="n"/>
      <c r="V782" s="255" t="n"/>
      <c r="W782" s="255" t="n"/>
      <c r="X782" s="255" t="n"/>
      <c r="Y782" s="255" t="n"/>
      <c r="Z782" s="255" t="n"/>
    </row>
    <row r="783" ht="12.75" customHeight="1">
      <c r="A783" s="333" t="n"/>
      <c r="B783" s="255" t="n"/>
      <c r="C783" s="255" t="n"/>
      <c r="D783" s="255" t="n"/>
      <c r="E783" s="255" t="n"/>
      <c r="F783" s="255" t="n"/>
      <c r="G783" s="255" t="n"/>
      <c r="H783" s="255" t="n"/>
      <c r="I783" s="255" t="n"/>
      <c r="J783" s="255" t="n"/>
      <c r="K783" s="255" t="n"/>
      <c r="L783" s="255" t="n"/>
      <c r="M783" s="255" t="n"/>
      <c r="N783" s="255" t="n"/>
      <c r="O783" s="255" t="n"/>
      <c r="P783" s="255" t="n"/>
      <c r="Q783" s="255" t="n"/>
      <c r="R783" s="255" t="n"/>
      <c r="S783" s="255" t="n"/>
      <c r="T783" s="255" t="n"/>
      <c r="U783" s="255" t="n"/>
      <c r="V783" s="255" t="n"/>
      <c r="W783" s="255" t="n"/>
      <c r="X783" s="255" t="n"/>
      <c r="Y783" s="255" t="n"/>
      <c r="Z783" s="255" t="n"/>
    </row>
    <row r="784" ht="12.75" customHeight="1">
      <c r="A784" s="333" t="n"/>
      <c r="B784" s="255" t="n"/>
      <c r="C784" s="255" t="n"/>
      <c r="D784" s="255" t="n"/>
      <c r="E784" s="255" t="n"/>
      <c r="F784" s="255" t="n"/>
      <c r="G784" s="255" t="n"/>
      <c r="H784" s="255" t="n"/>
      <c r="I784" s="255" t="n"/>
      <c r="J784" s="255" t="n"/>
      <c r="K784" s="255" t="n"/>
      <c r="L784" s="255" t="n"/>
      <c r="M784" s="255" t="n"/>
      <c r="N784" s="255" t="n"/>
      <c r="O784" s="255" t="n"/>
      <c r="P784" s="255" t="n"/>
      <c r="Q784" s="255" t="n"/>
      <c r="R784" s="255" t="n"/>
      <c r="S784" s="255" t="n"/>
      <c r="T784" s="255" t="n"/>
      <c r="U784" s="255" t="n"/>
      <c r="V784" s="255" t="n"/>
      <c r="W784" s="255" t="n"/>
      <c r="X784" s="255" t="n"/>
      <c r="Y784" s="255" t="n"/>
      <c r="Z784" s="255" t="n"/>
    </row>
    <row r="785" ht="12.75" customHeight="1">
      <c r="A785" s="333" t="n"/>
      <c r="B785" s="255" t="n"/>
      <c r="C785" s="255" t="n"/>
      <c r="D785" s="255" t="n"/>
      <c r="E785" s="255" t="n"/>
      <c r="F785" s="255" t="n"/>
      <c r="G785" s="255" t="n"/>
      <c r="H785" s="255" t="n"/>
      <c r="I785" s="255" t="n"/>
      <c r="J785" s="255" t="n"/>
      <c r="K785" s="255" t="n"/>
      <c r="L785" s="255" t="n"/>
      <c r="M785" s="255" t="n"/>
      <c r="N785" s="255" t="n"/>
      <c r="O785" s="255" t="n"/>
      <c r="P785" s="255" t="n"/>
      <c r="Q785" s="255" t="n"/>
      <c r="R785" s="255" t="n"/>
      <c r="S785" s="255" t="n"/>
      <c r="T785" s="255" t="n"/>
      <c r="U785" s="255" t="n"/>
      <c r="V785" s="255" t="n"/>
      <c r="W785" s="255" t="n"/>
      <c r="X785" s="255" t="n"/>
      <c r="Y785" s="255" t="n"/>
      <c r="Z785" s="255" t="n"/>
    </row>
    <row r="786" ht="12.75" customHeight="1">
      <c r="A786" s="333" t="n"/>
      <c r="B786" s="255" t="n"/>
      <c r="C786" s="255" t="n"/>
      <c r="D786" s="255" t="n"/>
      <c r="E786" s="255" t="n"/>
      <c r="F786" s="255" t="n"/>
      <c r="G786" s="255" t="n"/>
      <c r="H786" s="255" t="n"/>
      <c r="I786" s="255" t="n"/>
      <c r="J786" s="255" t="n"/>
      <c r="K786" s="255" t="n"/>
      <c r="L786" s="255" t="n"/>
      <c r="M786" s="255" t="n"/>
      <c r="N786" s="255" t="n"/>
      <c r="O786" s="255" t="n"/>
      <c r="P786" s="255" t="n"/>
      <c r="Q786" s="255" t="n"/>
      <c r="R786" s="255" t="n"/>
      <c r="S786" s="255" t="n"/>
      <c r="T786" s="255" t="n"/>
      <c r="U786" s="255" t="n"/>
      <c r="V786" s="255" t="n"/>
      <c r="W786" s="255" t="n"/>
      <c r="X786" s="255" t="n"/>
      <c r="Y786" s="255" t="n"/>
      <c r="Z786" s="255" t="n"/>
    </row>
    <row r="787" ht="12.75" customHeight="1">
      <c r="A787" s="333" t="n"/>
      <c r="B787" s="255" t="n"/>
      <c r="C787" s="255" t="n"/>
      <c r="D787" s="255" t="n"/>
      <c r="E787" s="255" t="n"/>
      <c r="F787" s="255" t="n"/>
      <c r="G787" s="255" t="n"/>
      <c r="H787" s="255" t="n"/>
      <c r="I787" s="255" t="n"/>
      <c r="J787" s="255" t="n"/>
      <c r="K787" s="255" t="n"/>
      <c r="L787" s="255" t="n"/>
      <c r="M787" s="255" t="n"/>
      <c r="N787" s="255" t="n"/>
      <c r="O787" s="255" t="n"/>
      <c r="P787" s="255" t="n"/>
      <c r="Q787" s="255" t="n"/>
      <c r="R787" s="255" t="n"/>
      <c r="S787" s="255" t="n"/>
      <c r="T787" s="255" t="n"/>
      <c r="U787" s="255" t="n"/>
      <c r="V787" s="255" t="n"/>
      <c r="W787" s="255" t="n"/>
      <c r="X787" s="255" t="n"/>
      <c r="Y787" s="255" t="n"/>
      <c r="Z787" s="255" t="n"/>
    </row>
    <row r="788" ht="12.75" customHeight="1">
      <c r="A788" s="333" t="n"/>
      <c r="B788" s="255" t="n"/>
      <c r="C788" s="255" t="n"/>
      <c r="D788" s="255" t="n"/>
      <c r="E788" s="255" t="n"/>
      <c r="F788" s="255" t="n"/>
      <c r="G788" s="255" t="n"/>
      <c r="H788" s="255" t="n"/>
      <c r="I788" s="255" t="n"/>
      <c r="J788" s="255" t="n"/>
      <c r="K788" s="255" t="n"/>
      <c r="L788" s="255" t="n"/>
      <c r="M788" s="255" t="n"/>
      <c r="N788" s="255" t="n"/>
      <c r="O788" s="255" t="n"/>
      <c r="P788" s="255" t="n"/>
      <c r="Q788" s="255" t="n"/>
      <c r="R788" s="255" t="n"/>
      <c r="S788" s="255" t="n"/>
      <c r="T788" s="255" t="n"/>
      <c r="U788" s="255" t="n"/>
      <c r="V788" s="255" t="n"/>
      <c r="W788" s="255" t="n"/>
      <c r="X788" s="255" t="n"/>
      <c r="Y788" s="255" t="n"/>
      <c r="Z788" s="255" t="n"/>
    </row>
    <row r="789" ht="12.75" customHeight="1">
      <c r="A789" s="333" t="n"/>
      <c r="B789" s="255" t="n"/>
      <c r="C789" s="255" t="n"/>
      <c r="D789" s="255" t="n"/>
      <c r="E789" s="255" t="n"/>
      <c r="F789" s="255" t="n"/>
      <c r="G789" s="255" t="n"/>
      <c r="H789" s="255" t="n"/>
      <c r="I789" s="255" t="n"/>
      <c r="J789" s="255" t="n"/>
      <c r="K789" s="255" t="n"/>
      <c r="L789" s="255" t="n"/>
      <c r="M789" s="255" t="n"/>
      <c r="N789" s="255" t="n"/>
      <c r="O789" s="255" t="n"/>
      <c r="P789" s="255" t="n"/>
      <c r="Q789" s="255" t="n"/>
      <c r="R789" s="255" t="n"/>
      <c r="S789" s="255" t="n"/>
      <c r="T789" s="255" t="n"/>
      <c r="U789" s="255" t="n"/>
      <c r="V789" s="255" t="n"/>
      <c r="W789" s="255" t="n"/>
      <c r="X789" s="255" t="n"/>
      <c r="Y789" s="255" t="n"/>
      <c r="Z789" s="255" t="n"/>
    </row>
    <row r="790" ht="12.75" customHeight="1">
      <c r="A790" s="333" t="n"/>
      <c r="B790" s="255" t="n"/>
      <c r="C790" s="255" t="n"/>
      <c r="D790" s="255" t="n"/>
      <c r="E790" s="255" t="n"/>
      <c r="F790" s="255" t="n"/>
      <c r="G790" s="255" t="n"/>
      <c r="H790" s="255" t="n"/>
      <c r="I790" s="255" t="n"/>
      <c r="J790" s="255" t="n"/>
      <c r="K790" s="255" t="n"/>
      <c r="L790" s="255" t="n"/>
      <c r="M790" s="255" t="n"/>
      <c r="N790" s="255" t="n"/>
      <c r="O790" s="255" t="n"/>
      <c r="P790" s="255" t="n"/>
      <c r="Q790" s="255" t="n"/>
      <c r="R790" s="255" t="n"/>
      <c r="S790" s="255" t="n"/>
      <c r="T790" s="255" t="n"/>
      <c r="U790" s="255" t="n"/>
      <c r="V790" s="255" t="n"/>
      <c r="W790" s="255" t="n"/>
      <c r="X790" s="255" t="n"/>
      <c r="Y790" s="255" t="n"/>
      <c r="Z790" s="255" t="n"/>
    </row>
    <row r="791" ht="12.75" customHeight="1">
      <c r="A791" s="333" t="n"/>
      <c r="B791" s="255" t="n"/>
      <c r="C791" s="255" t="n"/>
      <c r="D791" s="255" t="n"/>
      <c r="E791" s="255" t="n"/>
      <c r="F791" s="255" t="n"/>
      <c r="G791" s="255" t="n"/>
      <c r="H791" s="255" t="n"/>
      <c r="I791" s="255" t="n"/>
      <c r="J791" s="255" t="n"/>
      <c r="K791" s="255" t="n"/>
      <c r="L791" s="255" t="n"/>
      <c r="M791" s="255" t="n"/>
      <c r="N791" s="255" t="n"/>
      <c r="O791" s="255" t="n"/>
      <c r="P791" s="255" t="n"/>
      <c r="Q791" s="255" t="n"/>
      <c r="R791" s="255" t="n"/>
      <c r="S791" s="255" t="n"/>
      <c r="T791" s="255" t="n"/>
      <c r="U791" s="255" t="n"/>
      <c r="V791" s="255" t="n"/>
      <c r="W791" s="255" t="n"/>
      <c r="X791" s="255" t="n"/>
      <c r="Y791" s="255" t="n"/>
      <c r="Z791" s="255" t="n"/>
    </row>
    <row r="792" ht="12.75" customHeight="1">
      <c r="A792" s="333" t="n"/>
      <c r="B792" s="255" t="n"/>
      <c r="C792" s="255" t="n"/>
      <c r="D792" s="255" t="n"/>
      <c r="E792" s="255" t="n"/>
      <c r="F792" s="255" t="n"/>
      <c r="G792" s="255" t="n"/>
      <c r="H792" s="255" t="n"/>
      <c r="I792" s="255" t="n"/>
      <c r="J792" s="255" t="n"/>
      <c r="K792" s="255" t="n"/>
      <c r="L792" s="255" t="n"/>
      <c r="M792" s="255" t="n"/>
      <c r="N792" s="255" t="n"/>
      <c r="O792" s="255" t="n"/>
      <c r="P792" s="255" t="n"/>
      <c r="Q792" s="255" t="n"/>
      <c r="R792" s="255" t="n"/>
      <c r="S792" s="255" t="n"/>
      <c r="T792" s="255" t="n"/>
      <c r="U792" s="255" t="n"/>
      <c r="V792" s="255" t="n"/>
      <c r="W792" s="255" t="n"/>
      <c r="X792" s="255" t="n"/>
      <c r="Y792" s="255" t="n"/>
      <c r="Z792" s="255" t="n"/>
    </row>
    <row r="793" ht="12.75" customHeight="1">
      <c r="A793" s="333" t="n"/>
      <c r="B793" s="255" t="n"/>
      <c r="C793" s="255" t="n"/>
      <c r="D793" s="255" t="n"/>
      <c r="E793" s="255" t="n"/>
      <c r="F793" s="255" t="n"/>
      <c r="G793" s="255" t="n"/>
      <c r="H793" s="255" t="n"/>
      <c r="I793" s="255" t="n"/>
      <c r="J793" s="255" t="n"/>
      <c r="K793" s="255" t="n"/>
      <c r="L793" s="255" t="n"/>
      <c r="M793" s="255" t="n"/>
      <c r="N793" s="255" t="n"/>
      <c r="O793" s="255" t="n"/>
      <c r="P793" s="255" t="n"/>
      <c r="Q793" s="255" t="n"/>
      <c r="R793" s="255" t="n"/>
      <c r="S793" s="255" t="n"/>
      <c r="T793" s="255" t="n"/>
      <c r="U793" s="255" t="n"/>
      <c r="V793" s="255" t="n"/>
      <c r="W793" s="255" t="n"/>
      <c r="X793" s="255" t="n"/>
      <c r="Y793" s="255" t="n"/>
      <c r="Z793" s="255" t="n"/>
    </row>
    <row r="794" ht="12.75" customHeight="1">
      <c r="A794" s="333" t="n"/>
      <c r="B794" s="255" t="n"/>
      <c r="C794" s="255" t="n"/>
      <c r="D794" s="255" t="n"/>
      <c r="E794" s="255" t="n"/>
      <c r="F794" s="255" t="n"/>
      <c r="G794" s="255" t="n"/>
      <c r="H794" s="255" t="n"/>
      <c r="I794" s="255" t="n"/>
      <c r="J794" s="255" t="n"/>
      <c r="K794" s="255" t="n"/>
      <c r="L794" s="255" t="n"/>
      <c r="M794" s="255" t="n"/>
      <c r="N794" s="255" t="n"/>
      <c r="O794" s="255" t="n"/>
      <c r="P794" s="255" t="n"/>
      <c r="Q794" s="255" t="n"/>
      <c r="R794" s="255" t="n"/>
      <c r="S794" s="255" t="n"/>
      <c r="T794" s="255" t="n"/>
      <c r="U794" s="255" t="n"/>
      <c r="V794" s="255" t="n"/>
      <c r="W794" s="255" t="n"/>
      <c r="X794" s="255" t="n"/>
      <c r="Y794" s="255" t="n"/>
      <c r="Z794" s="255" t="n"/>
    </row>
    <row r="795" ht="12.75" customHeight="1">
      <c r="A795" s="333" t="n"/>
      <c r="B795" s="255" t="n"/>
      <c r="C795" s="255" t="n"/>
      <c r="D795" s="255" t="n"/>
      <c r="E795" s="255" t="n"/>
      <c r="F795" s="255" t="n"/>
      <c r="G795" s="255" t="n"/>
      <c r="H795" s="255" t="n"/>
      <c r="I795" s="255" t="n"/>
      <c r="J795" s="255" t="n"/>
      <c r="K795" s="255" t="n"/>
      <c r="L795" s="255" t="n"/>
      <c r="M795" s="255" t="n"/>
      <c r="N795" s="255" t="n"/>
      <c r="O795" s="255" t="n"/>
      <c r="P795" s="255" t="n"/>
      <c r="Q795" s="255" t="n"/>
      <c r="R795" s="255" t="n"/>
      <c r="S795" s="255" t="n"/>
      <c r="T795" s="255" t="n"/>
      <c r="U795" s="255" t="n"/>
      <c r="V795" s="255" t="n"/>
      <c r="W795" s="255" t="n"/>
      <c r="X795" s="255" t="n"/>
      <c r="Y795" s="255" t="n"/>
      <c r="Z795" s="255" t="n"/>
    </row>
    <row r="796" ht="12.75" customHeight="1">
      <c r="A796" s="333" t="n"/>
      <c r="B796" s="255" t="n"/>
      <c r="C796" s="255" t="n"/>
      <c r="D796" s="255" t="n"/>
      <c r="E796" s="255" t="n"/>
      <c r="F796" s="255" t="n"/>
      <c r="G796" s="255" t="n"/>
      <c r="H796" s="255" t="n"/>
      <c r="I796" s="255" t="n"/>
      <c r="J796" s="255" t="n"/>
      <c r="K796" s="255" t="n"/>
      <c r="L796" s="255" t="n"/>
      <c r="M796" s="255" t="n"/>
      <c r="N796" s="255" t="n"/>
      <c r="O796" s="255" t="n"/>
      <c r="P796" s="255" t="n"/>
      <c r="Q796" s="255" t="n"/>
      <c r="R796" s="255" t="n"/>
      <c r="S796" s="255" t="n"/>
      <c r="T796" s="255" t="n"/>
      <c r="U796" s="255" t="n"/>
      <c r="V796" s="255" t="n"/>
      <c r="W796" s="255" t="n"/>
      <c r="X796" s="255" t="n"/>
      <c r="Y796" s="255" t="n"/>
      <c r="Z796" s="255" t="n"/>
    </row>
    <row r="797" ht="12.75" customHeight="1">
      <c r="A797" s="333" t="n"/>
      <c r="B797" s="255" t="n"/>
      <c r="C797" s="255" t="n"/>
      <c r="D797" s="255" t="n"/>
      <c r="E797" s="255" t="n"/>
      <c r="F797" s="255" t="n"/>
      <c r="G797" s="255" t="n"/>
      <c r="H797" s="255" t="n"/>
      <c r="I797" s="255" t="n"/>
      <c r="J797" s="255" t="n"/>
      <c r="K797" s="255" t="n"/>
      <c r="L797" s="255" t="n"/>
      <c r="M797" s="255" t="n"/>
      <c r="N797" s="255" t="n"/>
      <c r="O797" s="255" t="n"/>
      <c r="P797" s="255" t="n"/>
      <c r="Q797" s="255" t="n"/>
      <c r="R797" s="255" t="n"/>
      <c r="S797" s="255" t="n"/>
      <c r="T797" s="255" t="n"/>
      <c r="U797" s="255" t="n"/>
      <c r="V797" s="255" t="n"/>
      <c r="W797" s="255" t="n"/>
      <c r="X797" s="255" t="n"/>
      <c r="Y797" s="255" t="n"/>
      <c r="Z797" s="255" t="n"/>
    </row>
    <row r="798" ht="12.75" customHeight="1">
      <c r="A798" s="333" t="n"/>
      <c r="B798" s="255" t="n"/>
      <c r="C798" s="255" t="n"/>
      <c r="D798" s="255" t="n"/>
      <c r="E798" s="255" t="n"/>
      <c r="F798" s="255" t="n"/>
      <c r="G798" s="255" t="n"/>
      <c r="H798" s="255" t="n"/>
      <c r="I798" s="255" t="n"/>
      <c r="J798" s="255" t="n"/>
      <c r="K798" s="255" t="n"/>
      <c r="L798" s="255" t="n"/>
      <c r="M798" s="255" t="n"/>
      <c r="N798" s="255" t="n"/>
      <c r="O798" s="255" t="n"/>
      <c r="P798" s="255" t="n"/>
      <c r="Q798" s="255" t="n"/>
      <c r="R798" s="255" t="n"/>
      <c r="S798" s="255" t="n"/>
      <c r="T798" s="255" t="n"/>
      <c r="U798" s="255" t="n"/>
      <c r="V798" s="255" t="n"/>
      <c r="W798" s="255" t="n"/>
      <c r="X798" s="255" t="n"/>
      <c r="Y798" s="255" t="n"/>
      <c r="Z798" s="255" t="n"/>
    </row>
    <row r="799" ht="12.75" customHeight="1">
      <c r="A799" s="333" t="n"/>
      <c r="B799" s="255" t="n"/>
      <c r="C799" s="255" t="n"/>
      <c r="D799" s="255" t="n"/>
      <c r="E799" s="255" t="n"/>
      <c r="F799" s="255" t="n"/>
      <c r="G799" s="255" t="n"/>
      <c r="H799" s="255" t="n"/>
      <c r="I799" s="255" t="n"/>
      <c r="J799" s="255" t="n"/>
      <c r="K799" s="255" t="n"/>
      <c r="L799" s="255" t="n"/>
      <c r="M799" s="255" t="n"/>
      <c r="N799" s="255" t="n"/>
      <c r="O799" s="255" t="n"/>
      <c r="P799" s="255" t="n"/>
      <c r="Q799" s="255" t="n"/>
      <c r="R799" s="255" t="n"/>
      <c r="S799" s="255" t="n"/>
      <c r="T799" s="255" t="n"/>
      <c r="U799" s="255" t="n"/>
      <c r="V799" s="255" t="n"/>
      <c r="W799" s="255" t="n"/>
      <c r="X799" s="255" t="n"/>
      <c r="Y799" s="255" t="n"/>
      <c r="Z799" s="255" t="n"/>
    </row>
    <row r="800" ht="12.75" customHeight="1">
      <c r="A800" s="333" t="n"/>
      <c r="B800" s="255" t="n"/>
      <c r="C800" s="255" t="n"/>
      <c r="D800" s="255" t="n"/>
      <c r="E800" s="255" t="n"/>
      <c r="F800" s="255" t="n"/>
      <c r="G800" s="255" t="n"/>
      <c r="H800" s="255" t="n"/>
      <c r="I800" s="255" t="n"/>
      <c r="J800" s="255" t="n"/>
      <c r="K800" s="255" t="n"/>
      <c r="L800" s="255" t="n"/>
      <c r="M800" s="255" t="n"/>
      <c r="N800" s="255" t="n"/>
      <c r="O800" s="255" t="n"/>
      <c r="P800" s="255" t="n"/>
      <c r="Q800" s="255" t="n"/>
      <c r="R800" s="255" t="n"/>
      <c r="S800" s="255" t="n"/>
      <c r="T800" s="255" t="n"/>
      <c r="U800" s="255" t="n"/>
      <c r="V800" s="255" t="n"/>
      <c r="W800" s="255" t="n"/>
      <c r="X800" s="255" t="n"/>
      <c r="Y800" s="255" t="n"/>
      <c r="Z800" s="255" t="n"/>
    </row>
    <row r="801" ht="12.75" customHeight="1">
      <c r="A801" s="333" t="n"/>
      <c r="B801" s="255" t="n"/>
      <c r="C801" s="255" t="n"/>
      <c r="D801" s="255" t="n"/>
      <c r="E801" s="255" t="n"/>
      <c r="F801" s="255" t="n"/>
      <c r="G801" s="255" t="n"/>
      <c r="H801" s="255" t="n"/>
      <c r="I801" s="255" t="n"/>
      <c r="J801" s="255" t="n"/>
      <c r="K801" s="255" t="n"/>
      <c r="L801" s="255" t="n"/>
      <c r="M801" s="255" t="n"/>
      <c r="N801" s="255" t="n"/>
      <c r="O801" s="255" t="n"/>
      <c r="P801" s="255" t="n"/>
      <c r="Q801" s="255" t="n"/>
      <c r="R801" s="255" t="n"/>
      <c r="S801" s="255" t="n"/>
      <c r="T801" s="255" t="n"/>
      <c r="U801" s="255" t="n"/>
      <c r="V801" s="255" t="n"/>
      <c r="W801" s="255" t="n"/>
      <c r="X801" s="255" t="n"/>
      <c r="Y801" s="255" t="n"/>
      <c r="Z801" s="255" t="n"/>
    </row>
    <row r="802" ht="12.75" customHeight="1">
      <c r="A802" s="333" t="n"/>
      <c r="B802" s="255" t="n"/>
      <c r="C802" s="255" t="n"/>
      <c r="D802" s="255" t="n"/>
      <c r="E802" s="255" t="n"/>
      <c r="F802" s="255" t="n"/>
      <c r="G802" s="255" t="n"/>
      <c r="H802" s="255" t="n"/>
      <c r="I802" s="255" t="n"/>
      <c r="J802" s="255" t="n"/>
      <c r="K802" s="255" t="n"/>
      <c r="L802" s="255" t="n"/>
      <c r="M802" s="255" t="n"/>
      <c r="N802" s="255" t="n"/>
      <c r="O802" s="255" t="n"/>
      <c r="P802" s="255" t="n"/>
      <c r="Q802" s="255" t="n"/>
      <c r="R802" s="255" t="n"/>
      <c r="S802" s="255" t="n"/>
      <c r="T802" s="255" t="n"/>
      <c r="U802" s="255" t="n"/>
      <c r="V802" s="255" t="n"/>
      <c r="W802" s="255" t="n"/>
      <c r="X802" s="255" t="n"/>
      <c r="Y802" s="255" t="n"/>
      <c r="Z802" s="255" t="n"/>
    </row>
    <row r="803" ht="12.75" customHeight="1">
      <c r="A803" s="333" t="n"/>
      <c r="B803" s="255" t="n"/>
      <c r="C803" s="255" t="n"/>
      <c r="D803" s="255" t="n"/>
      <c r="E803" s="255" t="n"/>
      <c r="F803" s="255" t="n"/>
      <c r="G803" s="255" t="n"/>
      <c r="H803" s="255" t="n"/>
      <c r="I803" s="255" t="n"/>
      <c r="J803" s="255" t="n"/>
      <c r="K803" s="255" t="n"/>
      <c r="L803" s="255" t="n"/>
      <c r="M803" s="255" t="n"/>
      <c r="N803" s="255" t="n"/>
      <c r="O803" s="255" t="n"/>
      <c r="P803" s="255" t="n"/>
      <c r="Q803" s="255" t="n"/>
      <c r="R803" s="255" t="n"/>
      <c r="S803" s="255" t="n"/>
      <c r="T803" s="255" t="n"/>
      <c r="U803" s="255" t="n"/>
      <c r="V803" s="255" t="n"/>
      <c r="W803" s="255" t="n"/>
      <c r="X803" s="255" t="n"/>
      <c r="Y803" s="255" t="n"/>
      <c r="Z803" s="255" t="n"/>
    </row>
    <row r="804" ht="12.75" customHeight="1">
      <c r="A804" s="333" t="n"/>
      <c r="B804" s="255" t="n"/>
      <c r="C804" s="255" t="n"/>
      <c r="D804" s="255" t="n"/>
      <c r="E804" s="255" t="n"/>
      <c r="F804" s="255" t="n"/>
      <c r="G804" s="255" t="n"/>
      <c r="H804" s="255" t="n"/>
      <c r="I804" s="255" t="n"/>
      <c r="J804" s="255" t="n"/>
      <c r="K804" s="255" t="n"/>
      <c r="L804" s="255" t="n"/>
      <c r="M804" s="255" t="n"/>
      <c r="N804" s="255" t="n"/>
      <c r="O804" s="255" t="n"/>
      <c r="P804" s="255" t="n"/>
      <c r="Q804" s="255" t="n"/>
      <c r="R804" s="255" t="n"/>
      <c r="S804" s="255" t="n"/>
      <c r="T804" s="255" t="n"/>
      <c r="U804" s="255" t="n"/>
      <c r="V804" s="255" t="n"/>
      <c r="W804" s="255" t="n"/>
      <c r="X804" s="255" t="n"/>
      <c r="Y804" s="255" t="n"/>
      <c r="Z804" s="255" t="n"/>
    </row>
    <row r="805" ht="12.75" customHeight="1">
      <c r="A805" s="333" t="n"/>
      <c r="B805" s="255" t="n"/>
      <c r="C805" s="255" t="n"/>
      <c r="D805" s="255" t="n"/>
      <c r="E805" s="255" t="n"/>
      <c r="F805" s="255" t="n"/>
      <c r="G805" s="255" t="n"/>
      <c r="H805" s="255" t="n"/>
      <c r="I805" s="255" t="n"/>
      <c r="J805" s="255" t="n"/>
      <c r="K805" s="255" t="n"/>
      <c r="L805" s="255" t="n"/>
      <c r="M805" s="255" t="n"/>
      <c r="N805" s="255" t="n"/>
      <c r="O805" s="255" t="n"/>
      <c r="P805" s="255" t="n"/>
      <c r="Q805" s="255" t="n"/>
      <c r="R805" s="255" t="n"/>
      <c r="S805" s="255" t="n"/>
      <c r="T805" s="255" t="n"/>
      <c r="U805" s="255" t="n"/>
      <c r="V805" s="255" t="n"/>
      <c r="W805" s="255" t="n"/>
      <c r="X805" s="255" t="n"/>
      <c r="Y805" s="255" t="n"/>
      <c r="Z805" s="255" t="n"/>
    </row>
    <row r="806" ht="12.75" customHeight="1">
      <c r="A806" s="333" t="n"/>
      <c r="B806" s="255" t="n"/>
      <c r="C806" s="255" t="n"/>
      <c r="D806" s="255" t="n"/>
      <c r="E806" s="255" t="n"/>
      <c r="F806" s="255" t="n"/>
      <c r="G806" s="255" t="n"/>
      <c r="H806" s="255" t="n"/>
      <c r="I806" s="255" t="n"/>
      <c r="J806" s="255" t="n"/>
      <c r="K806" s="255" t="n"/>
      <c r="L806" s="255" t="n"/>
      <c r="M806" s="255" t="n"/>
      <c r="N806" s="255" t="n"/>
      <c r="O806" s="255" t="n"/>
      <c r="P806" s="255" t="n"/>
      <c r="Q806" s="255" t="n"/>
      <c r="R806" s="255" t="n"/>
      <c r="S806" s="255" t="n"/>
      <c r="T806" s="255" t="n"/>
      <c r="U806" s="255" t="n"/>
      <c r="V806" s="255" t="n"/>
      <c r="W806" s="255" t="n"/>
      <c r="X806" s="255" t="n"/>
      <c r="Y806" s="255" t="n"/>
      <c r="Z806" s="255" t="n"/>
    </row>
    <row r="807" ht="12.75" customHeight="1">
      <c r="A807" s="333" t="n"/>
      <c r="B807" s="255" t="n"/>
      <c r="C807" s="255" t="n"/>
      <c r="D807" s="255" t="n"/>
      <c r="E807" s="255" t="n"/>
      <c r="F807" s="255" t="n"/>
      <c r="G807" s="255" t="n"/>
      <c r="H807" s="255" t="n"/>
      <c r="I807" s="255" t="n"/>
      <c r="J807" s="255" t="n"/>
      <c r="K807" s="255" t="n"/>
      <c r="L807" s="255" t="n"/>
      <c r="M807" s="255" t="n"/>
      <c r="N807" s="255" t="n"/>
      <c r="O807" s="255" t="n"/>
      <c r="P807" s="255" t="n"/>
      <c r="Q807" s="255" t="n"/>
      <c r="R807" s="255" t="n"/>
      <c r="S807" s="255" t="n"/>
      <c r="T807" s="255" t="n"/>
      <c r="U807" s="255" t="n"/>
      <c r="V807" s="255" t="n"/>
      <c r="W807" s="255" t="n"/>
      <c r="X807" s="255" t="n"/>
      <c r="Y807" s="255" t="n"/>
      <c r="Z807" s="255" t="n"/>
    </row>
    <row r="808" ht="12.75" customHeight="1">
      <c r="A808" s="333" t="n"/>
      <c r="B808" s="255" t="n"/>
      <c r="C808" s="255" t="n"/>
      <c r="D808" s="255" t="n"/>
      <c r="E808" s="255" t="n"/>
      <c r="F808" s="255" t="n"/>
      <c r="G808" s="255" t="n"/>
      <c r="H808" s="255" t="n"/>
      <c r="I808" s="255" t="n"/>
      <c r="J808" s="255" t="n"/>
      <c r="K808" s="255" t="n"/>
      <c r="L808" s="255" t="n"/>
      <c r="M808" s="255" t="n"/>
      <c r="N808" s="255" t="n"/>
      <c r="O808" s="255" t="n"/>
      <c r="P808" s="255" t="n"/>
      <c r="Q808" s="255" t="n"/>
      <c r="R808" s="255" t="n"/>
      <c r="S808" s="255" t="n"/>
      <c r="T808" s="255" t="n"/>
      <c r="U808" s="255" t="n"/>
      <c r="V808" s="255" t="n"/>
      <c r="W808" s="255" t="n"/>
      <c r="X808" s="255" t="n"/>
      <c r="Y808" s="255" t="n"/>
      <c r="Z808" s="255" t="n"/>
    </row>
    <row r="809" ht="12.75" customHeight="1">
      <c r="A809" s="333" t="n"/>
      <c r="B809" s="255" t="n"/>
      <c r="C809" s="255" t="n"/>
      <c r="D809" s="255" t="n"/>
      <c r="E809" s="255" t="n"/>
      <c r="F809" s="255" t="n"/>
      <c r="G809" s="255" t="n"/>
      <c r="H809" s="255" t="n"/>
      <c r="I809" s="255" t="n"/>
      <c r="J809" s="255" t="n"/>
      <c r="K809" s="255" t="n"/>
      <c r="L809" s="255" t="n"/>
      <c r="M809" s="255" t="n"/>
      <c r="N809" s="255" t="n"/>
      <c r="O809" s="255" t="n"/>
      <c r="P809" s="255" t="n"/>
      <c r="Q809" s="255" t="n"/>
      <c r="R809" s="255" t="n"/>
      <c r="S809" s="255" t="n"/>
      <c r="T809" s="255" t="n"/>
      <c r="U809" s="255" t="n"/>
      <c r="V809" s="255" t="n"/>
      <c r="W809" s="255" t="n"/>
      <c r="X809" s="255" t="n"/>
      <c r="Y809" s="255" t="n"/>
      <c r="Z809" s="255" t="n"/>
    </row>
    <row r="810" ht="12.75" customHeight="1">
      <c r="A810" s="333" t="n"/>
      <c r="B810" s="255" t="n"/>
      <c r="C810" s="255" t="n"/>
      <c r="D810" s="255" t="n"/>
      <c r="E810" s="255" t="n"/>
      <c r="F810" s="255" t="n"/>
      <c r="G810" s="255" t="n"/>
      <c r="H810" s="255" t="n"/>
      <c r="I810" s="255" t="n"/>
      <c r="J810" s="255" t="n"/>
      <c r="K810" s="255" t="n"/>
      <c r="L810" s="255" t="n"/>
      <c r="M810" s="255" t="n"/>
      <c r="N810" s="255" t="n"/>
      <c r="O810" s="255" t="n"/>
      <c r="P810" s="255" t="n"/>
      <c r="Q810" s="255" t="n"/>
      <c r="R810" s="255" t="n"/>
      <c r="S810" s="255" t="n"/>
      <c r="T810" s="255" t="n"/>
      <c r="U810" s="255" t="n"/>
      <c r="V810" s="255" t="n"/>
      <c r="W810" s="255" t="n"/>
      <c r="X810" s="255" t="n"/>
      <c r="Y810" s="255" t="n"/>
      <c r="Z810" s="255" t="n"/>
    </row>
    <row r="811" ht="12.75" customHeight="1">
      <c r="A811" s="333" t="n"/>
      <c r="B811" s="255" t="n"/>
      <c r="C811" s="255" t="n"/>
      <c r="D811" s="255" t="n"/>
      <c r="E811" s="255" t="n"/>
      <c r="F811" s="255" t="n"/>
      <c r="G811" s="255" t="n"/>
      <c r="H811" s="255" t="n"/>
      <c r="I811" s="255" t="n"/>
      <c r="J811" s="255" t="n"/>
      <c r="K811" s="255" t="n"/>
      <c r="L811" s="255" t="n"/>
      <c r="M811" s="255" t="n"/>
      <c r="N811" s="255" t="n"/>
      <c r="O811" s="255" t="n"/>
      <c r="P811" s="255" t="n"/>
      <c r="Q811" s="255" t="n"/>
      <c r="R811" s="255" t="n"/>
      <c r="S811" s="255" t="n"/>
      <c r="T811" s="255" t="n"/>
      <c r="U811" s="255" t="n"/>
      <c r="V811" s="255" t="n"/>
      <c r="W811" s="255" t="n"/>
      <c r="X811" s="255" t="n"/>
      <c r="Y811" s="255" t="n"/>
      <c r="Z811" s="255" t="n"/>
    </row>
    <row r="812" ht="12.75" customHeight="1">
      <c r="A812" s="333" t="n"/>
      <c r="B812" s="255" t="n"/>
      <c r="C812" s="255" t="n"/>
      <c r="D812" s="255" t="n"/>
      <c r="E812" s="255" t="n"/>
      <c r="F812" s="255" t="n"/>
      <c r="G812" s="255" t="n"/>
      <c r="H812" s="255" t="n"/>
      <c r="I812" s="255" t="n"/>
      <c r="J812" s="255" t="n"/>
      <c r="K812" s="255" t="n"/>
      <c r="L812" s="255" t="n"/>
      <c r="M812" s="255" t="n"/>
      <c r="N812" s="255" t="n"/>
      <c r="O812" s="255" t="n"/>
      <c r="P812" s="255" t="n"/>
      <c r="Q812" s="255" t="n"/>
      <c r="R812" s="255" t="n"/>
      <c r="S812" s="255" t="n"/>
      <c r="T812" s="255" t="n"/>
      <c r="U812" s="255" t="n"/>
      <c r="V812" s="255" t="n"/>
      <c r="W812" s="255" t="n"/>
      <c r="X812" s="255" t="n"/>
      <c r="Y812" s="255" t="n"/>
      <c r="Z812" s="255" t="n"/>
    </row>
    <row r="813" ht="12.75" customHeight="1">
      <c r="A813" s="333" t="n"/>
      <c r="B813" s="255" t="n"/>
      <c r="C813" s="255" t="n"/>
      <c r="D813" s="255" t="n"/>
      <c r="E813" s="255" t="n"/>
      <c r="F813" s="255" t="n"/>
      <c r="G813" s="255" t="n"/>
      <c r="H813" s="255" t="n"/>
      <c r="I813" s="255" t="n"/>
      <c r="J813" s="255" t="n"/>
      <c r="K813" s="255" t="n"/>
      <c r="L813" s="255" t="n"/>
      <c r="M813" s="255" t="n"/>
      <c r="N813" s="255" t="n"/>
      <c r="O813" s="255" t="n"/>
      <c r="P813" s="255" t="n"/>
      <c r="Q813" s="255" t="n"/>
      <c r="R813" s="255" t="n"/>
      <c r="S813" s="255" t="n"/>
      <c r="T813" s="255" t="n"/>
      <c r="U813" s="255" t="n"/>
      <c r="V813" s="255" t="n"/>
      <c r="W813" s="255" t="n"/>
      <c r="X813" s="255" t="n"/>
      <c r="Y813" s="255" t="n"/>
      <c r="Z813" s="255" t="n"/>
    </row>
    <row r="814" ht="12.75" customHeight="1">
      <c r="A814" s="333" t="n"/>
      <c r="B814" s="255" t="n"/>
      <c r="C814" s="255" t="n"/>
      <c r="D814" s="255" t="n"/>
      <c r="E814" s="255" t="n"/>
      <c r="F814" s="255" t="n"/>
      <c r="G814" s="255" t="n"/>
      <c r="H814" s="255" t="n"/>
      <c r="I814" s="255" t="n"/>
      <c r="J814" s="255" t="n"/>
      <c r="K814" s="255" t="n"/>
      <c r="L814" s="255" t="n"/>
      <c r="M814" s="255" t="n"/>
      <c r="N814" s="255" t="n"/>
      <c r="O814" s="255" t="n"/>
      <c r="P814" s="255" t="n"/>
      <c r="Q814" s="255" t="n"/>
      <c r="R814" s="255" t="n"/>
      <c r="S814" s="255" t="n"/>
      <c r="T814" s="255" t="n"/>
      <c r="U814" s="255" t="n"/>
      <c r="V814" s="255" t="n"/>
      <c r="W814" s="255" t="n"/>
      <c r="X814" s="255" t="n"/>
      <c r="Y814" s="255" t="n"/>
      <c r="Z814" s="255" t="n"/>
    </row>
    <row r="815" ht="12.75" customHeight="1">
      <c r="A815" s="333" t="n"/>
      <c r="B815" s="255" t="n"/>
      <c r="C815" s="255" t="n"/>
      <c r="D815" s="255" t="n"/>
      <c r="E815" s="255" t="n"/>
      <c r="F815" s="255" t="n"/>
      <c r="G815" s="255" t="n"/>
      <c r="H815" s="255" t="n"/>
      <c r="I815" s="255" t="n"/>
      <c r="J815" s="255" t="n"/>
      <c r="K815" s="255" t="n"/>
      <c r="L815" s="255" t="n"/>
      <c r="M815" s="255" t="n"/>
      <c r="N815" s="255" t="n"/>
      <c r="O815" s="255" t="n"/>
      <c r="P815" s="255" t="n"/>
      <c r="Q815" s="255" t="n"/>
      <c r="R815" s="255" t="n"/>
      <c r="S815" s="255" t="n"/>
      <c r="T815" s="255" t="n"/>
      <c r="U815" s="255" t="n"/>
      <c r="V815" s="255" t="n"/>
      <c r="W815" s="255" t="n"/>
      <c r="X815" s="255" t="n"/>
      <c r="Y815" s="255" t="n"/>
      <c r="Z815" s="255" t="n"/>
    </row>
    <row r="816" ht="12.75" customHeight="1">
      <c r="A816" s="333" t="n"/>
      <c r="B816" s="255" t="n"/>
      <c r="C816" s="255" t="n"/>
      <c r="D816" s="255" t="n"/>
      <c r="E816" s="255" t="n"/>
      <c r="F816" s="255" t="n"/>
      <c r="G816" s="255" t="n"/>
      <c r="H816" s="255" t="n"/>
      <c r="I816" s="255" t="n"/>
      <c r="J816" s="255" t="n"/>
      <c r="K816" s="255" t="n"/>
      <c r="L816" s="255" t="n"/>
      <c r="M816" s="255" t="n"/>
      <c r="N816" s="255" t="n"/>
      <c r="O816" s="255" t="n"/>
      <c r="P816" s="255" t="n"/>
      <c r="Q816" s="255" t="n"/>
      <c r="R816" s="255" t="n"/>
      <c r="S816" s="255" t="n"/>
      <c r="T816" s="255" t="n"/>
      <c r="U816" s="255" t="n"/>
      <c r="V816" s="255" t="n"/>
      <c r="W816" s="255" t="n"/>
      <c r="X816" s="255" t="n"/>
      <c r="Y816" s="255" t="n"/>
      <c r="Z816" s="255" t="n"/>
    </row>
    <row r="817" ht="12.75" customHeight="1">
      <c r="A817" s="333" t="n"/>
      <c r="B817" s="255" t="n"/>
      <c r="C817" s="255" t="n"/>
      <c r="D817" s="255" t="n"/>
      <c r="E817" s="255" t="n"/>
      <c r="F817" s="255" t="n"/>
      <c r="G817" s="255" t="n"/>
      <c r="H817" s="255" t="n"/>
      <c r="I817" s="255" t="n"/>
      <c r="J817" s="255" t="n"/>
      <c r="K817" s="255" t="n"/>
      <c r="L817" s="255" t="n"/>
      <c r="M817" s="255" t="n"/>
      <c r="N817" s="255" t="n"/>
      <c r="O817" s="255" t="n"/>
      <c r="P817" s="255" t="n"/>
      <c r="Q817" s="255" t="n"/>
      <c r="R817" s="255" t="n"/>
      <c r="S817" s="255" t="n"/>
      <c r="T817" s="255" t="n"/>
      <c r="U817" s="255" t="n"/>
      <c r="V817" s="255" t="n"/>
      <c r="W817" s="255" t="n"/>
      <c r="X817" s="255" t="n"/>
      <c r="Y817" s="255" t="n"/>
      <c r="Z817" s="255" t="n"/>
    </row>
    <row r="818" ht="12.75" customHeight="1">
      <c r="A818" s="333" t="n"/>
      <c r="B818" s="255" t="n"/>
      <c r="C818" s="255" t="n"/>
      <c r="D818" s="255" t="n"/>
      <c r="E818" s="255" t="n"/>
      <c r="F818" s="255" t="n"/>
      <c r="G818" s="255" t="n"/>
      <c r="H818" s="255" t="n"/>
      <c r="I818" s="255" t="n"/>
      <c r="J818" s="255" t="n"/>
      <c r="K818" s="255" t="n"/>
      <c r="L818" s="255" t="n"/>
      <c r="M818" s="255" t="n"/>
      <c r="N818" s="255" t="n"/>
      <c r="O818" s="255" t="n"/>
      <c r="P818" s="255" t="n"/>
      <c r="Q818" s="255" t="n"/>
      <c r="R818" s="255" t="n"/>
      <c r="S818" s="255" t="n"/>
      <c r="T818" s="255" t="n"/>
      <c r="U818" s="255" t="n"/>
      <c r="V818" s="255" t="n"/>
      <c r="W818" s="255" t="n"/>
      <c r="X818" s="255" t="n"/>
      <c r="Y818" s="255" t="n"/>
      <c r="Z818" s="255" t="n"/>
    </row>
    <row r="819" ht="12.75" customHeight="1">
      <c r="A819" s="333" t="n"/>
      <c r="B819" s="255" t="n"/>
      <c r="C819" s="255" t="n"/>
      <c r="D819" s="255" t="n"/>
      <c r="E819" s="255" t="n"/>
      <c r="F819" s="255" t="n"/>
      <c r="G819" s="255" t="n"/>
      <c r="H819" s="255" t="n"/>
      <c r="I819" s="255" t="n"/>
      <c r="J819" s="255" t="n"/>
      <c r="K819" s="255" t="n"/>
      <c r="L819" s="255" t="n"/>
      <c r="M819" s="255" t="n"/>
      <c r="N819" s="255" t="n"/>
      <c r="O819" s="255" t="n"/>
      <c r="P819" s="255" t="n"/>
      <c r="Q819" s="255" t="n"/>
      <c r="R819" s="255" t="n"/>
      <c r="S819" s="255" t="n"/>
      <c r="T819" s="255" t="n"/>
      <c r="U819" s="255" t="n"/>
      <c r="V819" s="255" t="n"/>
      <c r="W819" s="255" t="n"/>
      <c r="X819" s="255" t="n"/>
      <c r="Y819" s="255" t="n"/>
      <c r="Z819" s="255" t="n"/>
    </row>
    <row r="820" ht="12.75" customHeight="1">
      <c r="A820" s="333" t="n"/>
      <c r="B820" s="255" t="n"/>
      <c r="C820" s="255" t="n"/>
      <c r="D820" s="255" t="n"/>
      <c r="E820" s="255" t="n"/>
      <c r="F820" s="255" t="n"/>
      <c r="G820" s="255" t="n"/>
      <c r="H820" s="255" t="n"/>
      <c r="I820" s="255" t="n"/>
      <c r="J820" s="255" t="n"/>
      <c r="K820" s="255" t="n"/>
      <c r="L820" s="255" t="n"/>
      <c r="M820" s="255" t="n"/>
      <c r="N820" s="255" t="n"/>
      <c r="O820" s="255" t="n"/>
      <c r="P820" s="255" t="n"/>
      <c r="Q820" s="255" t="n"/>
      <c r="R820" s="255" t="n"/>
      <c r="S820" s="255" t="n"/>
      <c r="T820" s="255" t="n"/>
      <c r="U820" s="255" t="n"/>
      <c r="V820" s="255" t="n"/>
      <c r="W820" s="255" t="n"/>
      <c r="X820" s="255" t="n"/>
      <c r="Y820" s="255" t="n"/>
      <c r="Z820" s="255" t="n"/>
    </row>
    <row r="821" ht="12.75" customHeight="1">
      <c r="A821" s="333" t="n"/>
      <c r="B821" s="255" t="n"/>
      <c r="C821" s="255" t="n"/>
      <c r="D821" s="255" t="n"/>
      <c r="E821" s="255" t="n"/>
      <c r="F821" s="255" t="n"/>
      <c r="G821" s="255" t="n"/>
      <c r="H821" s="255" t="n"/>
      <c r="I821" s="255" t="n"/>
      <c r="J821" s="255" t="n"/>
      <c r="K821" s="255" t="n"/>
      <c r="L821" s="255" t="n"/>
      <c r="M821" s="255" t="n"/>
      <c r="N821" s="255" t="n"/>
      <c r="O821" s="255" t="n"/>
      <c r="P821" s="255" t="n"/>
      <c r="Q821" s="255" t="n"/>
      <c r="R821" s="255" t="n"/>
      <c r="S821" s="255" t="n"/>
      <c r="T821" s="255" t="n"/>
      <c r="U821" s="255" t="n"/>
      <c r="V821" s="255" t="n"/>
      <c r="W821" s="255" t="n"/>
      <c r="X821" s="255" t="n"/>
      <c r="Y821" s="255" t="n"/>
      <c r="Z821" s="255" t="n"/>
    </row>
    <row r="822" ht="12.75" customHeight="1">
      <c r="A822" s="333" t="n"/>
      <c r="B822" s="255" t="n"/>
      <c r="C822" s="255" t="n"/>
      <c r="D822" s="255" t="n"/>
      <c r="E822" s="255" t="n"/>
      <c r="F822" s="255" t="n"/>
      <c r="G822" s="255" t="n"/>
      <c r="H822" s="255" t="n"/>
      <c r="I822" s="255" t="n"/>
      <c r="J822" s="255" t="n"/>
      <c r="K822" s="255" t="n"/>
      <c r="L822" s="255" t="n"/>
      <c r="M822" s="255" t="n"/>
      <c r="N822" s="255" t="n"/>
      <c r="O822" s="255" t="n"/>
      <c r="P822" s="255" t="n"/>
      <c r="Q822" s="255" t="n"/>
      <c r="R822" s="255" t="n"/>
      <c r="S822" s="255" t="n"/>
      <c r="T822" s="255" t="n"/>
      <c r="U822" s="255" t="n"/>
      <c r="V822" s="255" t="n"/>
      <c r="W822" s="255" t="n"/>
      <c r="X822" s="255" t="n"/>
      <c r="Y822" s="255" t="n"/>
      <c r="Z822" s="255" t="n"/>
    </row>
    <row r="823" ht="12.75" customHeight="1">
      <c r="A823" s="333" t="n"/>
      <c r="B823" s="255" t="n"/>
      <c r="C823" s="255" t="n"/>
      <c r="D823" s="255" t="n"/>
      <c r="E823" s="255" t="n"/>
      <c r="F823" s="255" t="n"/>
      <c r="G823" s="255" t="n"/>
      <c r="H823" s="255" t="n"/>
      <c r="I823" s="255" t="n"/>
      <c r="J823" s="255" t="n"/>
      <c r="K823" s="255" t="n"/>
      <c r="L823" s="255" t="n"/>
      <c r="M823" s="255" t="n"/>
      <c r="N823" s="255" t="n"/>
      <c r="O823" s="255" t="n"/>
      <c r="P823" s="255" t="n"/>
      <c r="Q823" s="255" t="n"/>
      <c r="R823" s="255" t="n"/>
      <c r="S823" s="255" t="n"/>
      <c r="T823" s="255" t="n"/>
      <c r="U823" s="255" t="n"/>
      <c r="V823" s="255" t="n"/>
      <c r="W823" s="255" t="n"/>
      <c r="X823" s="255" t="n"/>
      <c r="Y823" s="255" t="n"/>
      <c r="Z823" s="255" t="n"/>
    </row>
    <row r="824" ht="12.75" customHeight="1">
      <c r="A824" s="333" t="n"/>
      <c r="B824" s="255" t="n"/>
      <c r="C824" s="255" t="n"/>
      <c r="D824" s="255" t="n"/>
      <c r="E824" s="255" t="n"/>
      <c r="F824" s="255" t="n"/>
      <c r="G824" s="255" t="n"/>
      <c r="H824" s="255" t="n"/>
      <c r="I824" s="255" t="n"/>
      <c r="J824" s="255" t="n"/>
      <c r="K824" s="255" t="n"/>
      <c r="L824" s="255" t="n"/>
      <c r="M824" s="255" t="n"/>
      <c r="N824" s="255" t="n"/>
      <c r="O824" s="255" t="n"/>
      <c r="P824" s="255" t="n"/>
      <c r="Q824" s="255" t="n"/>
      <c r="R824" s="255" t="n"/>
      <c r="S824" s="255" t="n"/>
      <c r="T824" s="255" t="n"/>
      <c r="U824" s="255" t="n"/>
      <c r="V824" s="255" t="n"/>
      <c r="W824" s="255" t="n"/>
      <c r="X824" s="255" t="n"/>
      <c r="Y824" s="255" t="n"/>
      <c r="Z824" s="255" t="n"/>
    </row>
    <row r="825" ht="12.75" customHeight="1">
      <c r="A825" s="333" t="n"/>
      <c r="B825" s="255" t="n"/>
      <c r="C825" s="255" t="n"/>
      <c r="D825" s="255" t="n"/>
      <c r="E825" s="255" t="n"/>
      <c r="F825" s="255" t="n"/>
      <c r="G825" s="255" t="n"/>
      <c r="H825" s="255" t="n"/>
      <c r="I825" s="255" t="n"/>
      <c r="J825" s="255" t="n"/>
      <c r="K825" s="255" t="n"/>
      <c r="L825" s="255" t="n"/>
      <c r="M825" s="255" t="n"/>
      <c r="N825" s="255" t="n"/>
      <c r="O825" s="255" t="n"/>
      <c r="P825" s="255" t="n"/>
      <c r="Q825" s="255" t="n"/>
      <c r="R825" s="255" t="n"/>
      <c r="S825" s="255" t="n"/>
      <c r="T825" s="255" t="n"/>
      <c r="U825" s="255" t="n"/>
      <c r="V825" s="255" t="n"/>
      <c r="W825" s="255" t="n"/>
      <c r="X825" s="255" t="n"/>
      <c r="Y825" s="255" t="n"/>
      <c r="Z825" s="255" t="n"/>
    </row>
    <row r="826" ht="12.75" customHeight="1">
      <c r="A826" s="333" t="n"/>
      <c r="B826" s="255" t="n"/>
      <c r="C826" s="255" t="n"/>
      <c r="D826" s="255" t="n"/>
      <c r="E826" s="255" t="n"/>
      <c r="F826" s="255" t="n"/>
      <c r="G826" s="255" t="n"/>
      <c r="H826" s="255" t="n"/>
      <c r="I826" s="255" t="n"/>
      <c r="J826" s="255" t="n"/>
      <c r="K826" s="255" t="n"/>
      <c r="L826" s="255" t="n"/>
      <c r="M826" s="255" t="n"/>
      <c r="N826" s="255" t="n"/>
      <c r="O826" s="255" t="n"/>
      <c r="P826" s="255" t="n"/>
      <c r="Q826" s="255" t="n"/>
      <c r="R826" s="255" t="n"/>
      <c r="S826" s="255" t="n"/>
      <c r="T826" s="255" t="n"/>
      <c r="U826" s="255" t="n"/>
      <c r="V826" s="255" t="n"/>
      <c r="W826" s="255" t="n"/>
      <c r="X826" s="255" t="n"/>
      <c r="Y826" s="255" t="n"/>
      <c r="Z826" s="255" t="n"/>
    </row>
    <row r="827" ht="12.75" customHeight="1">
      <c r="A827" s="333" t="n"/>
      <c r="B827" s="255" t="n"/>
      <c r="C827" s="255" t="n"/>
      <c r="D827" s="255" t="n"/>
      <c r="E827" s="255" t="n"/>
      <c r="F827" s="255" t="n"/>
      <c r="G827" s="255" t="n"/>
      <c r="H827" s="255" t="n"/>
      <c r="I827" s="255" t="n"/>
      <c r="J827" s="255" t="n"/>
      <c r="K827" s="255" t="n"/>
      <c r="L827" s="255" t="n"/>
      <c r="M827" s="255" t="n"/>
      <c r="N827" s="255" t="n"/>
      <c r="O827" s="255" t="n"/>
      <c r="P827" s="255" t="n"/>
      <c r="Q827" s="255" t="n"/>
      <c r="R827" s="255" t="n"/>
      <c r="S827" s="255" t="n"/>
      <c r="T827" s="255" t="n"/>
      <c r="U827" s="255" t="n"/>
      <c r="V827" s="255" t="n"/>
      <c r="W827" s="255" t="n"/>
      <c r="X827" s="255" t="n"/>
      <c r="Y827" s="255" t="n"/>
      <c r="Z827" s="255" t="n"/>
    </row>
    <row r="828" ht="12.75" customHeight="1">
      <c r="A828" s="333" t="n"/>
      <c r="B828" s="255" t="n"/>
      <c r="C828" s="255" t="n"/>
      <c r="D828" s="255" t="n"/>
      <c r="E828" s="255" t="n"/>
      <c r="F828" s="255" t="n"/>
      <c r="G828" s="255" t="n"/>
      <c r="H828" s="255" t="n"/>
      <c r="I828" s="255" t="n"/>
      <c r="J828" s="255" t="n"/>
      <c r="K828" s="255" t="n"/>
      <c r="L828" s="255" t="n"/>
      <c r="M828" s="255" t="n"/>
      <c r="N828" s="255" t="n"/>
      <c r="O828" s="255" t="n"/>
      <c r="P828" s="255" t="n"/>
      <c r="Q828" s="255" t="n"/>
      <c r="R828" s="255" t="n"/>
      <c r="S828" s="255" t="n"/>
      <c r="T828" s="255" t="n"/>
      <c r="U828" s="255" t="n"/>
      <c r="V828" s="255" t="n"/>
      <c r="W828" s="255" t="n"/>
      <c r="X828" s="255" t="n"/>
      <c r="Y828" s="255" t="n"/>
      <c r="Z828" s="255" t="n"/>
    </row>
    <row r="829" ht="12.75" customHeight="1">
      <c r="A829" s="333" t="n"/>
      <c r="B829" s="255" t="n"/>
      <c r="C829" s="255" t="n"/>
      <c r="D829" s="255" t="n"/>
      <c r="E829" s="255" t="n"/>
      <c r="F829" s="255" t="n"/>
      <c r="G829" s="255" t="n"/>
      <c r="H829" s="255" t="n"/>
      <c r="I829" s="255" t="n"/>
      <c r="J829" s="255" t="n"/>
      <c r="K829" s="255" t="n"/>
      <c r="L829" s="255" t="n"/>
      <c r="M829" s="255" t="n"/>
      <c r="N829" s="255" t="n"/>
      <c r="O829" s="255" t="n"/>
      <c r="P829" s="255" t="n"/>
      <c r="Q829" s="255" t="n"/>
      <c r="R829" s="255" t="n"/>
      <c r="S829" s="255" t="n"/>
      <c r="T829" s="255" t="n"/>
      <c r="U829" s="255" t="n"/>
      <c r="V829" s="255" t="n"/>
      <c r="W829" s="255" t="n"/>
      <c r="X829" s="255" t="n"/>
      <c r="Y829" s="255" t="n"/>
      <c r="Z829" s="255" t="n"/>
    </row>
    <row r="830" ht="12.75" customHeight="1">
      <c r="A830" s="333" t="n"/>
      <c r="B830" s="255" t="n"/>
      <c r="C830" s="255" t="n"/>
      <c r="D830" s="255" t="n"/>
      <c r="E830" s="255" t="n"/>
      <c r="F830" s="255" t="n"/>
      <c r="G830" s="255" t="n"/>
      <c r="H830" s="255" t="n"/>
      <c r="I830" s="255" t="n"/>
      <c r="J830" s="255" t="n"/>
      <c r="K830" s="255" t="n"/>
      <c r="L830" s="255" t="n"/>
      <c r="M830" s="255" t="n"/>
      <c r="N830" s="255" t="n"/>
      <c r="O830" s="255" t="n"/>
      <c r="P830" s="255" t="n"/>
      <c r="Q830" s="255" t="n"/>
      <c r="R830" s="255" t="n"/>
      <c r="S830" s="255" t="n"/>
      <c r="T830" s="255" t="n"/>
      <c r="U830" s="255" t="n"/>
      <c r="V830" s="255" t="n"/>
      <c r="W830" s="255" t="n"/>
      <c r="X830" s="255" t="n"/>
      <c r="Y830" s="255" t="n"/>
      <c r="Z830" s="255" t="n"/>
    </row>
    <row r="831" ht="12.75" customHeight="1">
      <c r="A831" s="333" t="n"/>
      <c r="B831" s="255" t="n"/>
      <c r="C831" s="255" t="n"/>
      <c r="D831" s="255" t="n"/>
      <c r="E831" s="255" t="n"/>
      <c r="F831" s="255" t="n"/>
      <c r="G831" s="255" t="n"/>
      <c r="H831" s="255" t="n"/>
      <c r="I831" s="255" t="n"/>
      <c r="J831" s="255" t="n"/>
      <c r="K831" s="255" t="n"/>
      <c r="L831" s="255" t="n"/>
      <c r="M831" s="255" t="n"/>
      <c r="N831" s="255" t="n"/>
      <c r="O831" s="255" t="n"/>
      <c r="P831" s="255" t="n"/>
      <c r="Q831" s="255" t="n"/>
      <c r="R831" s="255" t="n"/>
      <c r="S831" s="255" t="n"/>
      <c r="T831" s="255" t="n"/>
      <c r="U831" s="255" t="n"/>
      <c r="V831" s="255" t="n"/>
      <c r="W831" s="255" t="n"/>
      <c r="X831" s="255" t="n"/>
      <c r="Y831" s="255" t="n"/>
      <c r="Z831" s="255" t="n"/>
    </row>
    <row r="832" ht="12.75" customHeight="1">
      <c r="A832" s="333" t="n"/>
      <c r="B832" s="255" t="n"/>
      <c r="C832" s="255" t="n"/>
      <c r="D832" s="255" t="n"/>
      <c r="E832" s="255" t="n"/>
      <c r="F832" s="255" t="n"/>
      <c r="G832" s="255" t="n"/>
      <c r="H832" s="255" t="n"/>
      <c r="I832" s="255" t="n"/>
      <c r="J832" s="255" t="n"/>
      <c r="K832" s="255" t="n"/>
      <c r="L832" s="255" t="n"/>
      <c r="M832" s="255" t="n"/>
      <c r="N832" s="255" t="n"/>
      <c r="O832" s="255" t="n"/>
      <c r="P832" s="255" t="n"/>
      <c r="Q832" s="255" t="n"/>
      <c r="R832" s="255" t="n"/>
      <c r="S832" s="255" t="n"/>
      <c r="T832" s="255" t="n"/>
      <c r="U832" s="255" t="n"/>
      <c r="V832" s="255" t="n"/>
      <c r="W832" s="255" t="n"/>
      <c r="X832" s="255" t="n"/>
      <c r="Y832" s="255" t="n"/>
      <c r="Z832" s="255" t="n"/>
    </row>
    <row r="833" ht="12.75" customHeight="1">
      <c r="A833" s="333" t="n"/>
      <c r="B833" s="255" t="n"/>
      <c r="C833" s="255" t="n"/>
      <c r="D833" s="255" t="n"/>
      <c r="E833" s="255" t="n"/>
      <c r="F833" s="255" t="n"/>
      <c r="G833" s="255" t="n"/>
      <c r="H833" s="255" t="n"/>
      <c r="I833" s="255" t="n"/>
      <c r="J833" s="255" t="n"/>
      <c r="K833" s="255" t="n"/>
      <c r="L833" s="255" t="n"/>
      <c r="M833" s="255" t="n"/>
      <c r="N833" s="255" t="n"/>
      <c r="O833" s="255" t="n"/>
      <c r="P833" s="255" t="n"/>
      <c r="Q833" s="255" t="n"/>
      <c r="R833" s="255" t="n"/>
      <c r="S833" s="255" t="n"/>
      <c r="T833" s="255" t="n"/>
      <c r="U833" s="255" t="n"/>
      <c r="V833" s="255" t="n"/>
      <c r="W833" s="255" t="n"/>
      <c r="X833" s="255" t="n"/>
      <c r="Y833" s="255" t="n"/>
      <c r="Z833" s="255" t="n"/>
    </row>
    <row r="834" ht="12.75" customHeight="1">
      <c r="A834" s="333" t="n"/>
      <c r="B834" s="255" t="n"/>
      <c r="C834" s="255" t="n"/>
      <c r="D834" s="255" t="n"/>
      <c r="E834" s="255" t="n"/>
      <c r="F834" s="255" t="n"/>
      <c r="G834" s="255" t="n"/>
      <c r="H834" s="255" t="n"/>
      <c r="I834" s="255" t="n"/>
      <c r="J834" s="255" t="n"/>
      <c r="K834" s="255" t="n"/>
      <c r="L834" s="255" t="n"/>
      <c r="M834" s="255" t="n"/>
      <c r="N834" s="255" t="n"/>
      <c r="O834" s="255" t="n"/>
      <c r="P834" s="255" t="n"/>
      <c r="Q834" s="255" t="n"/>
      <c r="R834" s="255" t="n"/>
      <c r="S834" s="255" t="n"/>
      <c r="T834" s="255" t="n"/>
      <c r="U834" s="255" t="n"/>
      <c r="V834" s="255" t="n"/>
      <c r="W834" s="255" t="n"/>
      <c r="X834" s="255" t="n"/>
      <c r="Y834" s="255" t="n"/>
      <c r="Z834" s="255" t="n"/>
    </row>
    <row r="835" ht="12.75" customHeight="1">
      <c r="A835" s="333" t="n"/>
      <c r="B835" s="255" t="n"/>
      <c r="C835" s="255" t="n"/>
      <c r="D835" s="255" t="n"/>
      <c r="E835" s="255" t="n"/>
      <c r="F835" s="255" t="n"/>
      <c r="G835" s="255" t="n"/>
      <c r="H835" s="255" t="n"/>
      <c r="I835" s="255" t="n"/>
      <c r="J835" s="255" t="n"/>
      <c r="K835" s="255" t="n"/>
      <c r="L835" s="255" t="n"/>
      <c r="M835" s="255" t="n"/>
      <c r="N835" s="255" t="n"/>
      <c r="O835" s="255" t="n"/>
      <c r="P835" s="255" t="n"/>
      <c r="Q835" s="255" t="n"/>
      <c r="R835" s="255" t="n"/>
      <c r="S835" s="255" t="n"/>
      <c r="T835" s="255" t="n"/>
      <c r="U835" s="255" t="n"/>
      <c r="V835" s="255" t="n"/>
      <c r="W835" s="255" t="n"/>
      <c r="X835" s="255" t="n"/>
      <c r="Y835" s="255" t="n"/>
      <c r="Z835" s="255" t="n"/>
    </row>
    <row r="836" ht="12.75" customHeight="1">
      <c r="A836" s="333" t="n"/>
      <c r="B836" s="255" t="n"/>
      <c r="C836" s="255" t="n"/>
      <c r="D836" s="255" t="n"/>
      <c r="E836" s="255" t="n"/>
      <c r="F836" s="255" t="n"/>
      <c r="G836" s="255" t="n"/>
      <c r="H836" s="255" t="n"/>
      <c r="I836" s="255" t="n"/>
      <c r="J836" s="255" t="n"/>
      <c r="K836" s="255" t="n"/>
      <c r="L836" s="255" t="n"/>
      <c r="M836" s="255" t="n"/>
      <c r="N836" s="255" t="n"/>
      <c r="O836" s="255" t="n"/>
      <c r="P836" s="255" t="n"/>
      <c r="Q836" s="255" t="n"/>
      <c r="R836" s="255" t="n"/>
      <c r="S836" s="255" t="n"/>
      <c r="T836" s="255" t="n"/>
      <c r="U836" s="255" t="n"/>
      <c r="V836" s="255" t="n"/>
      <c r="W836" s="255" t="n"/>
      <c r="X836" s="255" t="n"/>
      <c r="Y836" s="255" t="n"/>
      <c r="Z836" s="255" t="n"/>
    </row>
    <row r="837" ht="12.75" customHeight="1">
      <c r="A837" s="333" t="n"/>
      <c r="B837" s="255" t="n"/>
      <c r="C837" s="255" t="n"/>
      <c r="D837" s="255" t="n"/>
      <c r="E837" s="255" t="n"/>
      <c r="F837" s="255" t="n"/>
      <c r="G837" s="255" t="n"/>
      <c r="H837" s="255" t="n"/>
      <c r="I837" s="255" t="n"/>
      <c r="J837" s="255" t="n"/>
      <c r="K837" s="255" t="n"/>
      <c r="L837" s="255" t="n"/>
      <c r="M837" s="255" t="n"/>
      <c r="N837" s="255" t="n"/>
      <c r="O837" s="255" t="n"/>
      <c r="P837" s="255" t="n"/>
      <c r="Q837" s="255" t="n"/>
      <c r="R837" s="255" t="n"/>
      <c r="S837" s="255" t="n"/>
      <c r="T837" s="255" t="n"/>
      <c r="U837" s="255" t="n"/>
      <c r="V837" s="255" t="n"/>
      <c r="W837" s="255" t="n"/>
      <c r="X837" s="255" t="n"/>
      <c r="Y837" s="255" t="n"/>
      <c r="Z837" s="255" t="n"/>
    </row>
    <row r="838" ht="12.75" customHeight="1">
      <c r="A838" s="333" t="n"/>
      <c r="B838" s="255" t="n"/>
      <c r="C838" s="255" t="n"/>
      <c r="D838" s="255" t="n"/>
      <c r="E838" s="255" t="n"/>
      <c r="F838" s="255" t="n"/>
      <c r="G838" s="255" t="n"/>
      <c r="H838" s="255" t="n"/>
      <c r="I838" s="255" t="n"/>
      <c r="J838" s="255" t="n"/>
      <c r="K838" s="255" t="n"/>
      <c r="L838" s="255" t="n"/>
      <c r="M838" s="255" t="n"/>
      <c r="N838" s="255" t="n"/>
      <c r="O838" s="255" t="n"/>
      <c r="P838" s="255" t="n"/>
      <c r="Q838" s="255" t="n"/>
      <c r="R838" s="255" t="n"/>
      <c r="S838" s="255" t="n"/>
      <c r="T838" s="255" t="n"/>
      <c r="U838" s="255" t="n"/>
      <c r="V838" s="255" t="n"/>
      <c r="W838" s="255" t="n"/>
      <c r="X838" s="255" t="n"/>
      <c r="Y838" s="255" t="n"/>
      <c r="Z838" s="255" t="n"/>
    </row>
    <row r="839" ht="12.75" customHeight="1">
      <c r="A839" s="333" t="n"/>
      <c r="B839" s="255" t="n"/>
      <c r="C839" s="255" t="n"/>
      <c r="D839" s="255" t="n"/>
      <c r="E839" s="255" t="n"/>
      <c r="F839" s="255" t="n"/>
      <c r="G839" s="255" t="n"/>
      <c r="H839" s="255" t="n"/>
      <c r="I839" s="255" t="n"/>
      <c r="J839" s="255" t="n"/>
      <c r="K839" s="255" t="n"/>
      <c r="L839" s="255" t="n"/>
      <c r="M839" s="255" t="n"/>
      <c r="N839" s="255" t="n"/>
      <c r="O839" s="255" t="n"/>
      <c r="P839" s="255" t="n"/>
      <c r="Q839" s="255" t="n"/>
      <c r="R839" s="255" t="n"/>
      <c r="S839" s="255" t="n"/>
      <c r="T839" s="255" t="n"/>
      <c r="U839" s="255" t="n"/>
      <c r="V839" s="255" t="n"/>
      <c r="W839" s="255" t="n"/>
      <c r="X839" s="255" t="n"/>
      <c r="Y839" s="255" t="n"/>
      <c r="Z839" s="255" t="n"/>
    </row>
    <row r="840" ht="12.75" customHeight="1">
      <c r="A840" s="333" t="n"/>
      <c r="B840" s="255" t="n"/>
      <c r="C840" s="255" t="n"/>
      <c r="D840" s="255" t="n"/>
      <c r="E840" s="255" t="n"/>
      <c r="F840" s="255" t="n"/>
      <c r="G840" s="255" t="n"/>
      <c r="H840" s="255" t="n"/>
      <c r="I840" s="255" t="n"/>
      <c r="J840" s="255" t="n"/>
      <c r="K840" s="255" t="n"/>
      <c r="L840" s="255" t="n"/>
      <c r="M840" s="255" t="n"/>
      <c r="N840" s="255" t="n"/>
      <c r="O840" s="255" t="n"/>
      <c r="P840" s="255" t="n"/>
      <c r="Q840" s="255" t="n"/>
      <c r="R840" s="255" t="n"/>
      <c r="S840" s="255" t="n"/>
      <c r="T840" s="255" t="n"/>
      <c r="U840" s="255" t="n"/>
      <c r="V840" s="255" t="n"/>
      <c r="W840" s="255" t="n"/>
      <c r="X840" s="255" t="n"/>
      <c r="Y840" s="255" t="n"/>
      <c r="Z840" s="255" t="n"/>
    </row>
    <row r="841" ht="12.75" customHeight="1">
      <c r="A841" s="333" t="n"/>
      <c r="B841" s="255" t="n"/>
      <c r="C841" s="255" t="n"/>
      <c r="D841" s="255" t="n"/>
      <c r="E841" s="255" t="n"/>
      <c r="F841" s="255" t="n"/>
      <c r="G841" s="255" t="n"/>
      <c r="H841" s="255" t="n"/>
      <c r="I841" s="255" t="n"/>
      <c r="J841" s="255" t="n"/>
      <c r="K841" s="255" t="n"/>
      <c r="L841" s="255" t="n"/>
      <c r="M841" s="255" t="n"/>
      <c r="N841" s="255" t="n"/>
      <c r="O841" s="255" t="n"/>
      <c r="P841" s="255" t="n"/>
      <c r="Q841" s="255" t="n"/>
      <c r="R841" s="255" t="n"/>
      <c r="S841" s="255" t="n"/>
      <c r="T841" s="255" t="n"/>
      <c r="U841" s="255" t="n"/>
      <c r="V841" s="255" t="n"/>
      <c r="W841" s="255" t="n"/>
      <c r="X841" s="255" t="n"/>
      <c r="Y841" s="255" t="n"/>
      <c r="Z841" s="255" t="n"/>
    </row>
    <row r="842" ht="12.75" customHeight="1">
      <c r="A842" s="333" t="n"/>
      <c r="B842" s="255" t="n"/>
      <c r="C842" s="255" t="n"/>
      <c r="D842" s="255" t="n"/>
      <c r="E842" s="255" t="n"/>
      <c r="F842" s="255" t="n"/>
      <c r="G842" s="255" t="n"/>
      <c r="H842" s="255" t="n"/>
      <c r="I842" s="255" t="n"/>
      <c r="J842" s="255" t="n"/>
      <c r="K842" s="255" t="n"/>
      <c r="L842" s="255" t="n"/>
      <c r="M842" s="255" t="n"/>
      <c r="N842" s="255" t="n"/>
      <c r="O842" s="255" t="n"/>
      <c r="P842" s="255" t="n"/>
      <c r="Q842" s="255" t="n"/>
      <c r="R842" s="255" t="n"/>
      <c r="S842" s="255" t="n"/>
      <c r="T842" s="255" t="n"/>
      <c r="U842" s="255" t="n"/>
      <c r="V842" s="255" t="n"/>
      <c r="W842" s="255" t="n"/>
      <c r="X842" s="255" t="n"/>
      <c r="Y842" s="255" t="n"/>
      <c r="Z842" s="255" t="n"/>
    </row>
    <row r="843" ht="12.75" customHeight="1">
      <c r="A843" s="333" t="n"/>
      <c r="B843" s="255" t="n"/>
      <c r="C843" s="255" t="n"/>
      <c r="D843" s="255" t="n"/>
      <c r="E843" s="255" t="n"/>
      <c r="F843" s="255" t="n"/>
      <c r="G843" s="255" t="n"/>
      <c r="H843" s="255" t="n"/>
      <c r="I843" s="255" t="n"/>
      <c r="J843" s="255" t="n"/>
      <c r="K843" s="255" t="n"/>
      <c r="L843" s="255" t="n"/>
      <c r="M843" s="255" t="n"/>
      <c r="N843" s="255" t="n"/>
      <c r="O843" s="255" t="n"/>
      <c r="P843" s="255" t="n"/>
      <c r="Q843" s="255" t="n"/>
      <c r="R843" s="255" t="n"/>
      <c r="S843" s="255" t="n"/>
      <c r="T843" s="255" t="n"/>
      <c r="U843" s="255" t="n"/>
      <c r="V843" s="255" t="n"/>
      <c r="W843" s="255" t="n"/>
      <c r="X843" s="255" t="n"/>
      <c r="Y843" s="255" t="n"/>
      <c r="Z843" s="255" t="n"/>
    </row>
    <row r="844" ht="12.75" customHeight="1">
      <c r="A844" s="333" t="n"/>
      <c r="B844" s="255" t="n"/>
      <c r="C844" s="255" t="n"/>
      <c r="D844" s="255" t="n"/>
      <c r="E844" s="255" t="n"/>
      <c r="F844" s="255" t="n"/>
      <c r="G844" s="255" t="n"/>
      <c r="H844" s="255" t="n"/>
      <c r="I844" s="255" t="n"/>
      <c r="J844" s="255" t="n"/>
      <c r="K844" s="255" t="n"/>
      <c r="L844" s="255" t="n"/>
      <c r="M844" s="255" t="n"/>
      <c r="N844" s="255" t="n"/>
      <c r="O844" s="255" t="n"/>
      <c r="P844" s="255" t="n"/>
      <c r="Q844" s="255" t="n"/>
      <c r="R844" s="255" t="n"/>
      <c r="S844" s="255" t="n"/>
      <c r="T844" s="255" t="n"/>
      <c r="U844" s="255" t="n"/>
      <c r="V844" s="255" t="n"/>
      <c r="W844" s="255" t="n"/>
      <c r="X844" s="255" t="n"/>
      <c r="Y844" s="255" t="n"/>
      <c r="Z844" s="255" t="n"/>
    </row>
    <row r="845" ht="12.75" customHeight="1">
      <c r="A845" s="333" t="n"/>
      <c r="B845" s="255" t="n"/>
      <c r="C845" s="255" t="n"/>
      <c r="D845" s="255" t="n"/>
      <c r="E845" s="255" t="n"/>
      <c r="F845" s="255" t="n"/>
      <c r="G845" s="255" t="n"/>
      <c r="H845" s="255" t="n"/>
      <c r="I845" s="255" t="n"/>
      <c r="J845" s="255" t="n"/>
      <c r="K845" s="255" t="n"/>
      <c r="L845" s="255" t="n"/>
      <c r="M845" s="255" t="n"/>
      <c r="N845" s="255" t="n"/>
      <c r="O845" s="255" t="n"/>
      <c r="P845" s="255" t="n"/>
      <c r="Q845" s="255" t="n"/>
      <c r="R845" s="255" t="n"/>
      <c r="S845" s="255" t="n"/>
      <c r="T845" s="255" t="n"/>
      <c r="U845" s="255" t="n"/>
      <c r="V845" s="255" t="n"/>
      <c r="W845" s="255" t="n"/>
      <c r="X845" s="255" t="n"/>
      <c r="Y845" s="255" t="n"/>
      <c r="Z845" s="255" t="n"/>
    </row>
    <row r="846" ht="12.75" customHeight="1">
      <c r="A846" s="333" t="n"/>
      <c r="B846" s="255" t="n"/>
      <c r="C846" s="255" t="n"/>
      <c r="D846" s="255" t="n"/>
      <c r="E846" s="255" t="n"/>
      <c r="F846" s="255" t="n"/>
      <c r="G846" s="255" t="n"/>
      <c r="H846" s="255" t="n"/>
      <c r="I846" s="255" t="n"/>
      <c r="J846" s="255" t="n"/>
      <c r="K846" s="255" t="n"/>
      <c r="L846" s="255" t="n"/>
      <c r="M846" s="255" t="n"/>
      <c r="N846" s="255" t="n"/>
      <c r="O846" s="255" t="n"/>
      <c r="P846" s="255" t="n"/>
      <c r="Q846" s="255" t="n"/>
      <c r="R846" s="255" t="n"/>
      <c r="S846" s="255" t="n"/>
      <c r="T846" s="255" t="n"/>
      <c r="U846" s="255" t="n"/>
      <c r="V846" s="255" t="n"/>
      <c r="W846" s="255" t="n"/>
      <c r="X846" s="255" t="n"/>
      <c r="Y846" s="255" t="n"/>
      <c r="Z846" s="255" t="n"/>
    </row>
    <row r="847" ht="12.75" customHeight="1">
      <c r="A847" s="333" t="n"/>
      <c r="B847" s="255" t="n"/>
      <c r="C847" s="255" t="n"/>
      <c r="D847" s="255" t="n"/>
      <c r="E847" s="255" t="n"/>
      <c r="F847" s="255" t="n"/>
      <c r="G847" s="255" t="n"/>
      <c r="H847" s="255" t="n"/>
      <c r="I847" s="255" t="n"/>
      <c r="J847" s="255" t="n"/>
      <c r="K847" s="255" t="n"/>
      <c r="L847" s="255" t="n"/>
      <c r="M847" s="255" t="n"/>
      <c r="N847" s="255" t="n"/>
      <c r="O847" s="255" t="n"/>
      <c r="P847" s="255" t="n"/>
      <c r="Q847" s="255" t="n"/>
      <c r="R847" s="255" t="n"/>
      <c r="S847" s="255" t="n"/>
      <c r="T847" s="255" t="n"/>
      <c r="U847" s="255" t="n"/>
      <c r="V847" s="255" t="n"/>
      <c r="W847" s="255" t="n"/>
      <c r="X847" s="255" t="n"/>
      <c r="Y847" s="255" t="n"/>
      <c r="Z847" s="255" t="n"/>
    </row>
    <row r="848" ht="12.75" customHeight="1">
      <c r="A848" s="333" t="n"/>
      <c r="B848" s="255" t="n"/>
      <c r="C848" s="255" t="n"/>
      <c r="D848" s="255" t="n"/>
      <c r="E848" s="255" t="n"/>
      <c r="F848" s="255" t="n"/>
      <c r="G848" s="255" t="n"/>
      <c r="H848" s="255" t="n"/>
      <c r="I848" s="255" t="n"/>
      <c r="J848" s="255" t="n"/>
      <c r="K848" s="255" t="n"/>
      <c r="L848" s="255" t="n"/>
      <c r="M848" s="255" t="n"/>
      <c r="N848" s="255" t="n"/>
      <c r="O848" s="255" t="n"/>
      <c r="P848" s="255" t="n"/>
      <c r="Q848" s="255" t="n"/>
      <c r="R848" s="255" t="n"/>
      <c r="S848" s="255" t="n"/>
      <c r="T848" s="255" t="n"/>
      <c r="U848" s="255" t="n"/>
      <c r="V848" s="255" t="n"/>
      <c r="W848" s="255" t="n"/>
      <c r="X848" s="255" t="n"/>
      <c r="Y848" s="255" t="n"/>
      <c r="Z848" s="255" t="n"/>
    </row>
    <row r="849" ht="12.75" customHeight="1">
      <c r="A849" s="333" t="n"/>
      <c r="B849" s="255" t="n"/>
      <c r="C849" s="255" t="n"/>
      <c r="D849" s="255" t="n"/>
      <c r="E849" s="255" t="n"/>
      <c r="F849" s="255" t="n"/>
      <c r="G849" s="255" t="n"/>
      <c r="H849" s="255" t="n"/>
      <c r="I849" s="255" t="n"/>
      <c r="J849" s="255" t="n"/>
      <c r="K849" s="255" t="n"/>
      <c r="L849" s="255" t="n"/>
      <c r="M849" s="255" t="n"/>
      <c r="N849" s="255" t="n"/>
      <c r="O849" s="255" t="n"/>
      <c r="P849" s="255" t="n"/>
      <c r="Q849" s="255" t="n"/>
      <c r="R849" s="255" t="n"/>
      <c r="S849" s="255" t="n"/>
      <c r="T849" s="255" t="n"/>
      <c r="U849" s="255" t="n"/>
      <c r="V849" s="255" t="n"/>
      <c r="W849" s="255" t="n"/>
      <c r="X849" s="255" t="n"/>
      <c r="Y849" s="255" t="n"/>
      <c r="Z849" s="255" t="n"/>
    </row>
    <row r="850" ht="12.75" customHeight="1">
      <c r="A850" s="333" t="n"/>
      <c r="B850" s="255" t="n"/>
      <c r="C850" s="255" t="n"/>
      <c r="D850" s="255" t="n"/>
      <c r="E850" s="255" t="n"/>
      <c r="F850" s="255" t="n"/>
      <c r="G850" s="255" t="n"/>
      <c r="H850" s="255" t="n"/>
      <c r="I850" s="255" t="n"/>
      <c r="J850" s="255" t="n"/>
      <c r="K850" s="255" t="n"/>
      <c r="L850" s="255" t="n"/>
      <c r="M850" s="255" t="n"/>
      <c r="N850" s="255" t="n"/>
      <c r="O850" s="255" t="n"/>
      <c r="P850" s="255" t="n"/>
      <c r="Q850" s="255" t="n"/>
      <c r="R850" s="255" t="n"/>
      <c r="S850" s="255" t="n"/>
      <c r="T850" s="255" t="n"/>
      <c r="U850" s="255" t="n"/>
      <c r="V850" s="255" t="n"/>
      <c r="W850" s="255" t="n"/>
      <c r="X850" s="255" t="n"/>
      <c r="Y850" s="255" t="n"/>
      <c r="Z850" s="255" t="n"/>
    </row>
    <row r="851" ht="12.75" customHeight="1">
      <c r="A851" s="333" t="n"/>
      <c r="B851" s="255" t="n"/>
      <c r="C851" s="255" t="n"/>
      <c r="D851" s="255" t="n"/>
      <c r="E851" s="255" t="n"/>
      <c r="F851" s="255" t="n"/>
      <c r="G851" s="255" t="n"/>
      <c r="H851" s="255" t="n"/>
      <c r="I851" s="255" t="n"/>
      <c r="J851" s="255" t="n"/>
      <c r="K851" s="255" t="n"/>
      <c r="L851" s="255" t="n"/>
      <c r="M851" s="255" t="n"/>
      <c r="N851" s="255" t="n"/>
      <c r="O851" s="255" t="n"/>
      <c r="P851" s="255" t="n"/>
      <c r="Q851" s="255" t="n"/>
      <c r="R851" s="255" t="n"/>
      <c r="S851" s="255" t="n"/>
      <c r="T851" s="255" t="n"/>
      <c r="U851" s="255" t="n"/>
      <c r="V851" s="255" t="n"/>
      <c r="W851" s="255" t="n"/>
      <c r="X851" s="255" t="n"/>
      <c r="Y851" s="255" t="n"/>
      <c r="Z851" s="255" t="n"/>
    </row>
    <row r="852" ht="12.75" customHeight="1">
      <c r="A852" s="333" t="n"/>
      <c r="B852" s="255" t="n"/>
      <c r="C852" s="255" t="n"/>
      <c r="D852" s="255" t="n"/>
      <c r="E852" s="255" t="n"/>
      <c r="F852" s="255" t="n"/>
      <c r="G852" s="255" t="n"/>
      <c r="H852" s="255" t="n"/>
      <c r="I852" s="255" t="n"/>
      <c r="J852" s="255" t="n"/>
      <c r="K852" s="255" t="n"/>
      <c r="L852" s="255" t="n"/>
      <c r="M852" s="255" t="n"/>
      <c r="N852" s="255" t="n"/>
      <c r="O852" s="255" t="n"/>
      <c r="P852" s="255" t="n"/>
      <c r="Q852" s="255" t="n"/>
      <c r="R852" s="255" t="n"/>
      <c r="S852" s="255" t="n"/>
      <c r="T852" s="255" t="n"/>
      <c r="U852" s="255" t="n"/>
      <c r="V852" s="255" t="n"/>
      <c r="W852" s="255" t="n"/>
      <c r="X852" s="255" t="n"/>
      <c r="Y852" s="255" t="n"/>
      <c r="Z852" s="255" t="n"/>
    </row>
    <row r="853" ht="12.75" customHeight="1">
      <c r="A853" s="333" t="n"/>
      <c r="B853" s="255" t="n"/>
      <c r="C853" s="255" t="n"/>
      <c r="D853" s="255" t="n"/>
      <c r="E853" s="255" t="n"/>
      <c r="F853" s="255" t="n"/>
      <c r="G853" s="255" t="n"/>
      <c r="H853" s="255" t="n"/>
      <c r="I853" s="255" t="n"/>
      <c r="J853" s="255" t="n"/>
      <c r="K853" s="255" t="n"/>
      <c r="L853" s="255" t="n"/>
      <c r="M853" s="255" t="n"/>
      <c r="N853" s="255" t="n"/>
      <c r="O853" s="255" t="n"/>
      <c r="P853" s="255" t="n"/>
      <c r="Q853" s="255" t="n"/>
      <c r="R853" s="255" t="n"/>
      <c r="S853" s="255" t="n"/>
      <c r="T853" s="255" t="n"/>
      <c r="U853" s="255" t="n"/>
      <c r="V853" s="255" t="n"/>
      <c r="W853" s="255" t="n"/>
      <c r="X853" s="255" t="n"/>
      <c r="Y853" s="255" t="n"/>
      <c r="Z853" s="255" t="n"/>
    </row>
    <row r="854" ht="12.75" customHeight="1">
      <c r="A854" s="333" t="n"/>
      <c r="B854" s="255" t="n"/>
      <c r="C854" s="255" t="n"/>
      <c r="D854" s="255" t="n"/>
      <c r="E854" s="255" t="n"/>
      <c r="F854" s="255" t="n"/>
      <c r="G854" s="255" t="n"/>
      <c r="H854" s="255" t="n"/>
      <c r="I854" s="255" t="n"/>
      <c r="J854" s="255" t="n"/>
      <c r="K854" s="255" t="n"/>
      <c r="L854" s="255" t="n"/>
      <c r="M854" s="255" t="n"/>
      <c r="N854" s="255" t="n"/>
      <c r="O854" s="255" t="n"/>
      <c r="P854" s="255" t="n"/>
      <c r="Q854" s="255" t="n"/>
      <c r="R854" s="255" t="n"/>
      <c r="S854" s="255" t="n"/>
      <c r="T854" s="255" t="n"/>
      <c r="U854" s="255" t="n"/>
      <c r="V854" s="255" t="n"/>
      <c r="W854" s="255" t="n"/>
      <c r="X854" s="255" t="n"/>
      <c r="Y854" s="255" t="n"/>
      <c r="Z854" s="255" t="n"/>
    </row>
    <row r="855" ht="12.75" customHeight="1">
      <c r="A855" s="333" t="n"/>
      <c r="B855" s="255" t="n"/>
      <c r="C855" s="255" t="n"/>
      <c r="D855" s="255" t="n"/>
      <c r="E855" s="255" t="n"/>
      <c r="F855" s="255" t="n"/>
      <c r="G855" s="255" t="n"/>
      <c r="H855" s="255" t="n"/>
      <c r="I855" s="255" t="n"/>
      <c r="J855" s="255" t="n"/>
      <c r="K855" s="255" t="n"/>
      <c r="L855" s="255" t="n"/>
      <c r="M855" s="255" t="n"/>
      <c r="N855" s="255" t="n"/>
      <c r="O855" s="255" t="n"/>
      <c r="P855" s="255" t="n"/>
      <c r="Q855" s="255" t="n"/>
      <c r="R855" s="255" t="n"/>
      <c r="S855" s="255" t="n"/>
      <c r="T855" s="255" t="n"/>
      <c r="U855" s="255" t="n"/>
      <c r="V855" s="255" t="n"/>
      <c r="W855" s="255" t="n"/>
      <c r="X855" s="255" t="n"/>
      <c r="Y855" s="255" t="n"/>
      <c r="Z855" s="255" t="n"/>
    </row>
    <row r="856" ht="12.75" customHeight="1">
      <c r="A856" s="333" t="n"/>
      <c r="B856" s="255" t="n"/>
      <c r="C856" s="255" t="n"/>
      <c r="D856" s="255" t="n"/>
      <c r="E856" s="255" t="n"/>
      <c r="F856" s="255" t="n"/>
      <c r="G856" s="255" t="n"/>
      <c r="H856" s="255" t="n"/>
      <c r="I856" s="255" t="n"/>
      <c r="J856" s="255" t="n"/>
      <c r="K856" s="255" t="n"/>
      <c r="L856" s="255" t="n"/>
      <c r="M856" s="255" t="n"/>
      <c r="N856" s="255" t="n"/>
      <c r="O856" s="255" t="n"/>
      <c r="P856" s="255" t="n"/>
      <c r="Q856" s="255" t="n"/>
      <c r="R856" s="255" t="n"/>
      <c r="S856" s="255" t="n"/>
      <c r="T856" s="255" t="n"/>
      <c r="U856" s="255" t="n"/>
      <c r="V856" s="255" t="n"/>
      <c r="W856" s="255" t="n"/>
      <c r="X856" s="255" t="n"/>
      <c r="Y856" s="255" t="n"/>
      <c r="Z856" s="255" t="n"/>
    </row>
    <row r="857" ht="12.75" customHeight="1">
      <c r="A857" s="333" t="n"/>
      <c r="B857" s="255" t="n"/>
      <c r="C857" s="255" t="n"/>
      <c r="D857" s="255" t="n"/>
      <c r="E857" s="255" t="n"/>
      <c r="F857" s="255" t="n"/>
      <c r="G857" s="255" t="n"/>
      <c r="H857" s="255" t="n"/>
      <c r="I857" s="255" t="n"/>
      <c r="J857" s="255" t="n"/>
      <c r="K857" s="255" t="n"/>
      <c r="L857" s="255" t="n"/>
      <c r="M857" s="255" t="n"/>
      <c r="N857" s="255" t="n"/>
      <c r="O857" s="255" t="n"/>
      <c r="P857" s="255" t="n"/>
      <c r="Q857" s="255" t="n"/>
      <c r="R857" s="255" t="n"/>
      <c r="S857" s="255" t="n"/>
      <c r="T857" s="255" t="n"/>
      <c r="U857" s="255" t="n"/>
      <c r="V857" s="255" t="n"/>
      <c r="W857" s="255" t="n"/>
      <c r="X857" s="255" t="n"/>
      <c r="Y857" s="255" t="n"/>
      <c r="Z857" s="255" t="n"/>
    </row>
    <row r="858" ht="12.75" customHeight="1">
      <c r="A858" s="333" t="n"/>
      <c r="B858" s="255" t="n"/>
      <c r="C858" s="255" t="n"/>
      <c r="D858" s="255" t="n"/>
      <c r="E858" s="255" t="n"/>
      <c r="F858" s="255" t="n"/>
      <c r="G858" s="255" t="n"/>
      <c r="H858" s="255" t="n"/>
      <c r="I858" s="255" t="n"/>
      <c r="J858" s="255" t="n"/>
      <c r="K858" s="255" t="n"/>
      <c r="L858" s="255" t="n"/>
      <c r="M858" s="255" t="n"/>
      <c r="N858" s="255" t="n"/>
      <c r="O858" s="255" t="n"/>
      <c r="P858" s="255" t="n"/>
      <c r="Q858" s="255" t="n"/>
      <c r="R858" s="255" t="n"/>
      <c r="S858" s="255" t="n"/>
      <c r="T858" s="255" t="n"/>
      <c r="U858" s="255" t="n"/>
      <c r="V858" s="255" t="n"/>
      <c r="W858" s="255" t="n"/>
      <c r="X858" s="255" t="n"/>
      <c r="Y858" s="255" t="n"/>
      <c r="Z858" s="255" t="n"/>
    </row>
    <row r="859" ht="12.75" customHeight="1">
      <c r="A859" s="333" t="n"/>
      <c r="B859" s="255" t="n"/>
      <c r="C859" s="255" t="n"/>
      <c r="D859" s="255" t="n"/>
      <c r="E859" s="255" t="n"/>
      <c r="F859" s="255" t="n"/>
      <c r="G859" s="255" t="n"/>
      <c r="H859" s="255" t="n"/>
      <c r="I859" s="255" t="n"/>
      <c r="J859" s="255" t="n"/>
      <c r="K859" s="255" t="n"/>
      <c r="L859" s="255" t="n"/>
      <c r="M859" s="255" t="n"/>
      <c r="N859" s="255" t="n"/>
      <c r="O859" s="255" t="n"/>
      <c r="P859" s="255" t="n"/>
      <c r="Q859" s="255" t="n"/>
      <c r="R859" s="255" t="n"/>
      <c r="S859" s="255" t="n"/>
      <c r="T859" s="255" t="n"/>
      <c r="U859" s="255" t="n"/>
      <c r="V859" s="255" t="n"/>
      <c r="W859" s="255" t="n"/>
      <c r="X859" s="255" t="n"/>
      <c r="Y859" s="255" t="n"/>
      <c r="Z859" s="255" t="n"/>
    </row>
    <row r="860" ht="12.75" customHeight="1">
      <c r="A860" s="333" t="n"/>
      <c r="B860" s="255" t="n"/>
      <c r="C860" s="255" t="n"/>
      <c r="D860" s="255" t="n"/>
      <c r="E860" s="255" t="n"/>
      <c r="F860" s="255" t="n"/>
      <c r="G860" s="255" t="n"/>
      <c r="H860" s="255" t="n"/>
      <c r="I860" s="255" t="n"/>
      <c r="J860" s="255" t="n"/>
      <c r="K860" s="255" t="n"/>
      <c r="L860" s="255" t="n"/>
      <c r="M860" s="255" t="n"/>
      <c r="N860" s="255" t="n"/>
      <c r="O860" s="255" t="n"/>
      <c r="P860" s="255" t="n"/>
      <c r="Q860" s="255" t="n"/>
      <c r="R860" s="255" t="n"/>
      <c r="S860" s="255" t="n"/>
      <c r="T860" s="255" t="n"/>
      <c r="U860" s="255" t="n"/>
      <c r="V860" s="255" t="n"/>
      <c r="W860" s="255" t="n"/>
      <c r="X860" s="255" t="n"/>
      <c r="Y860" s="255" t="n"/>
      <c r="Z860" s="255" t="n"/>
    </row>
    <row r="861" ht="12.75" customHeight="1">
      <c r="A861" s="333" t="n"/>
      <c r="B861" s="255" t="n"/>
      <c r="C861" s="255" t="n"/>
      <c r="D861" s="255" t="n"/>
      <c r="E861" s="255" t="n"/>
      <c r="F861" s="255" t="n"/>
      <c r="G861" s="255" t="n"/>
      <c r="H861" s="255" t="n"/>
      <c r="I861" s="255" t="n"/>
      <c r="J861" s="255" t="n"/>
      <c r="K861" s="255" t="n"/>
      <c r="L861" s="255" t="n"/>
      <c r="M861" s="255" t="n"/>
      <c r="N861" s="255" t="n"/>
      <c r="O861" s="255" t="n"/>
      <c r="P861" s="255" t="n"/>
      <c r="Q861" s="255" t="n"/>
      <c r="R861" s="255" t="n"/>
      <c r="S861" s="255" t="n"/>
      <c r="T861" s="255" t="n"/>
      <c r="U861" s="255" t="n"/>
      <c r="V861" s="255" t="n"/>
      <c r="W861" s="255" t="n"/>
      <c r="X861" s="255" t="n"/>
      <c r="Y861" s="255" t="n"/>
      <c r="Z861" s="255" t="n"/>
    </row>
    <row r="862" ht="12.75" customHeight="1">
      <c r="A862" s="333" t="n"/>
      <c r="B862" s="255" t="n"/>
      <c r="C862" s="255" t="n"/>
      <c r="D862" s="255" t="n"/>
      <c r="E862" s="255" t="n"/>
      <c r="F862" s="255" t="n"/>
      <c r="G862" s="255" t="n"/>
      <c r="H862" s="255" t="n"/>
      <c r="I862" s="255" t="n"/>
      <c r="J862" s="255" t="n"/>
      <c r="K862" s="255" t="n"/>
      <c r="L862" s="255" t="n"/>
      <c r="M862" s="255" t="n"/>
      <c r="N862" s="255" t="n"/>
      <c r="O862" s="255" t="n"/>
      <c r="P862" s="255" t="n"/>
      <c r="Q862" s="255" t="n"/>
      <c r="R862" s="255" t="n"/>
      <c r="S862" s="255" t="n"/>
      <c r="T862" s="255" t="n"/>
      <c r="U862" s="255" t="n"/>
      <c r="V862" s="255" t="n"/>
      <c r="W862" s="255" t="n"/>
      <c r="X862" s="255" t="n"/>
      <c r="Y862" s="255" t="n"/>
      <c r="Z862" s="255" t="n"/>
    </row>
    <row r="863" ht="12.75" customHeight="1">
      <c r="A863" s="333" t="n"/>
      <c r="B863" s="255" t="n"/>
      <c r="C863" s="255" t="n"/>
      <c r="D863" s="255" t="n"/>
      <c r="E863" s="255" t="n"/>
      <c r="F863" s="255" t="n"/>
      <c r="G863" s="255" t="n"/>
      <c r="H863" s="255" t="n"/>
      <c r="I863" s="255" t="n"/>
      <c r="J863" s="255" t="n"/>
      <c r="K863" s="255" t="n"/>
      <c r="L863" s="255" t="n"/>
      <c r="M863" s="255" t="n"/>
      <c r="N863" s="255" t="n"/>
      <c r="O863" s="255" t="n"/>
      <c r="P863" s="255" t="n"/>
      <c r="Q863" s="255" t="n"/>
      <c r="R863" s="255" t="n"/>
      <c r="S863" s="255" t="n"/>
      <c r="T863" s="255" t="n"/>
      <c r="U863" s="255" t="n"/>
      <c r="V863" s="255" t="n"/>
      <c r="W863" s="255" t="n"/>
      <c r="X863" s="255" t="n"/>
      <c r="Y863" s="255" t="n"/>
      <c r="Z863" s="255" t="n"/>
    </row>
    <row r="864" ht="12.75" customHeight="1">
      <c r="A864" s="333" t="n"/>
      <c r="B864" s="255" t="n"/>
      <c r="C864" s="255" t="n"/>
      <c r="D864" s="255" t="n"/>
      <c r="E864" s="255" t="n"/>
      <c r="F864" s="255" t="n"/>
      <c r="G864" s="255" t="n"/>
      <c r="H864" s="255" t="n"/>
      <c r="I864" s="255" t="n"/>
      <c r="J864" s="255" t="n"/>
      <c r="K864" s="255" t="n"/>
      <c r="L864" s="255" t="n"/>
      <c r="M864" s="255" t="n"/>
      <c r="N864" s="255" t="n"/>
      <c r="O864" s="255" t="n"/>
      <c r="P864" s="255" t="n"/>
      <c r="Q864" s="255" t="n"/>
      <c r="R864" s="255" t="n"/>
      <c r="S864" s="255" t="n"/>
      <c r="T864" s="255" t="n"/>
      <c r="U864" s="255" t="n"/>
      <c r="V864" s="255" t="n"/>
      <c r="W864" s="255" t="n"/>
      <c r="X864" s="255" t="n"/>
      <c r="Y864" s="255" t="n"/>
      <c r="Z864" s="255" t="n"/>
    </row>
    <row r="865" ht="12.75" customHeight="1">
      <c r="A865" s="333" t="n"/>
      <c r="B865" s="255" t="n"/>
      <c r="C865" s="255" t="n"/>
      <c r="D865" s="255" t="n"/>
      <c r="E865" s="255" t="n"/>
      <c r="F865" s="255" t="n"/>
      <c r="G865" s="255" t="n"/>
      <c r="H865" s="255" t="n"/>
      <c r="I865" s="255" t="n"/>
      <c r="J865" s="255" t="n"/>
      <c r="K865" s="255" t="n"/>
      <c r="L865" s="255" t="n"/>
      <c r="M865" s="255" t="n"/>
      <c r="N865" s="255" t="n"/>
      <c r="O865" s="255" t="n"/>
      <c r="P865" s="255" t="n"/>
      <c r="Q865" s="255" t="n"/>
      <c r="R865" s="255" t="n"/>
      <c r="S865" s="255" t="n"/>
      <c r="T865" s="255" t="n"/>
      <c r="U865" s="255" t="n"/>
      <c r="V865" s="255" t="n"/>
      <c r="W865" s="255" t="n"/>
      <c r="X865" s="255" t="n"/>
      <c r="Y865" s="255" t="n"/>
      <c r="Z865" s="255" t="n"/>
    </row>
    <row r="866" ht="12.75" customHeight="1">
      <c r="A866" s="333" t="n"/>
      <c r="B866" s="255" t="n"/>
      <c r="C866" s="255" t="n"/>
      <c r="D866" s="255" t="n"/>
      <c r="E866" s="255" t="n"/>
      <c r="F866" s="255" t="n"/>
      <c r="G866" s="255" t="n"/>
      <c r="H866" s="255" t="n"/>
      <c r="I866" s="255" t="n"/>
      <c r="J866" s="255" t="n"/>
      <c r="K866" s="255" t="n"/>
      <c r="L866" s="255" t="n"/>
      <c r="M866" s="255" t="n"/>
      <c r="N866" s="255" t="n"/>
      <c r="O866" s="255" t="n"/>
      <c r="P866" s="255" t="n"/>
      <c r="Q866" s="255" t="n"/>
      <c r="R866" s="255" t="n"/>
      <c r="S866" s="255" t="n"/>
      <c r="T866" s="255" t="n"/>
      <c r="U866" s="255" t="n"/>
      <c r="V866" s="255" t="n"/>
      <c r="W866" s="255" t="n"/>
      <c r="X866" s="255" t="n"/>
      <c r="Y866" s="255" t="n"/>
      <c r="Z866" s="255" t="n"/>
    </row>
    <row r="867" ht="12.75" customHeight="1">
      <c r="A867" s="333" t="n"/>
      <c r="B867" s="255" t="n"/>
      <c r="C867" s="255" t="n"/>
      <c r="D867" s="255" t="n"/>
      <c r="E867" s="255" t="n"/>
      <c r="F867" s="255" t="n"/>
      <c r="G867" s="255" t="n"/>
      <c r="H867" s="255" t="n"/>
      <c r="I867" s="255" t="n"/>
      <c r="J867" s="255" t="n"/>
      <c r="K867" s="255" t="n"/>
      <c r="L867" s="255" t="n"/>
      <c r="M867" s="255" t="n"/>
      <c r="N867" s="255" t="n"/>
      <c r="O867" s="255" t="n"/>
      <c r="P867" s="255" t="n"/>
      <c r="Q867" s="255" t="n"/>
      <c r="R867" s="255" t="n"/>
      <c r="S867" s="255" t="n"/>
      <c r="T867" s="255" t="n"/>
      <c r="U867" s="255" t="n"/>
      <c r="V867" s="255" t="n"/>
      <c r="W867" s="255" t="n"/>
      <c r="X867" s="255" t="n"/>
      <c r="Y867" s="255" t="n"/>
      <c r="Z867" s="255" t="n"/>
    </row>
    <row r="868" ht="12.75" customHeight="1">
      <c r="A868" s="333" t="n"/>
      <c r="B868" s="255" t="n"/>
      <c r="C868" s="255" t="n"/>
      <c r="D868" s="255" t="n"/>
      <c r="E868" s="255" t="n"/>
      <c r="F868" s="255" t="n"/>
      <c r="G868" s="255" t="n"/>
      <c r="H868" s="255" t="n"/>
      <c r="I868" s="255" t="n"/>
      <c r="J868" s="255" t="n"/>
      <c r="K868" s="255" t="n"/>
      <c r="L868" s="255" t="n"/>
      <c r="M868" s="255" t="n"/>
      <c r="N868" s="255" t="n"/>
      <c r="O868" s="255" t="n"/>
      <c r="P868" s="255" t="n"/>
      <c r="Q868" s="255" t="n"/>
      <c r="R868" s="255" t="n"/>
      <c r="S868" s="255" t="n"/>
      <c r="T868" s="255" t="n"/>
      <c r="U868" s="255" t="n"/>
      <c r="V868" s="255" t="n"/>
      <c r="W868" s="255" t="n"/>
      <c r="X868" s="255" t="n"/>
      <c r="Y868" s="255" t="n"/>
      <c r="Z868" s="255" t="n"/>
    </row>
    <row r="869" ht="12.75" customHeight="1">
      <c r="A869" s="333" t="n"/>
      <c r="B869" s="255" t="n"/>
      <c r="C869" s="255" t="n"/>
      <c r="D869" s="255" t="n"/>
      <c r="E869" s="255" t="n"/>
      <c r="F869" s="255" t="n"/>
      <c r="G869" s="255" t="n"/>
      <c r="H869" s="255" t="n"/>
      <c r="I869" s="255" t="n"/>
      <c r="J869" s="255" t="n"/>
      <c r="K869" s="255" t="n"/>
      <c r="L869" s="255" t="n"/>
      <c r="M869" s="255" t="n"/>
      <c r="N869" s="255" t="n"/>
      <c r="O869" s="255" t="n"/>
      <c r="P869" s="255" t="n"/>
      <c r="Q869" s="255" t="n"/>
      <c r="R869" s="255" t="n"/>
      <c r="S869" s="255" t="n"/>
      <c r="T869" s="255" t="n"/>
      <c r="U869" s="255" t="n"/>
      <c r="V869" s="255" t="n"/>
      <c r="W869" s="255" t="n"/>
      <c r="X869" s="255" t="n"/>
      <c r="Y869" s="255" t="n"/>
      <c r="Z869" s="255" t="n"/>
    </row>
    <row r="870" ht="12.75" customHeight="1">
      <c r="A870" s="333" t="n"/>
      <c r="B870" s="255" t="n"/>
      <c r="C870" s="255" t="n"/>
      <c r="D870" s="255" t="n"/>
      <c r="E870" s="255" t="n"/>
      <c r="F870" s="255" t="n"/>
      <c r="G870" s="255" t="n"/>
      <c r="H870" s="255" t="n"/>
      <c r="I870" s="255" t="n"/>
      <c r="J870" s="255" t="n"/>
      <c r="K870" s="255" t="n"/>
      <c r="L870" s="255" t="n"/>
      <c r="M870" s="255" t="n"/>
      <c r="N870" s="255" t="n"/>
      <c r="O870" s="255" t="n"/>
      <c r="P870" s="255" t="n"/>
      <c r="Q870" s="255" t="n"/>
      <c r="R870" s="255" t="n"/>
      <c r="S870" s="255" t="n"/>
      <c r="T870" s="255" t="n"/>
      <c r="U870" s="255" t="n"/>
      <c r="V870" s="255" t="n"/>
      <c r="W870" s="255" t="n"/>
      <c r="X870" s="255" t="n"/>
      <c r="Y870" s="255" t="n"/>
      <c r="Z870" s="255" t="n"/>
    </row>
    <row r="871" ht="12.75" customHeight="1">
      <c r="A871" s="333" t="n"/>
      <c r="B871" s="255" t="n"/>
      <c r="C871" s="255" t="n"/>
      <c r="D871" s="255" t="n"/>
      <c r="E871" s="255" t="n"/>
      <c r="F871" s="255" t="n"/>
      <c r="G871" s="255" t="n"/>
      <c r="H871" s="255" t="n"/>
      <c r="I871" s="255" t="n"/>
      <c r="J871" s="255" t="n"/>
      <c r="K871" s="255" t="n"/>
      <c r="L871" s="255" t="n"/>
      <c r="M871" s="255" t="n"/>
      <c r="N871" s="255" t="n"/>
      <c r="O871" s="255" t="n"/>
      <c r="P871" s="255" t="n"/>
      <c r="Q871" s="255" t="n"/>
      <c r="R871" s="255" t="n"/>
      <c r="S871" s="255" t="n"/>
      <c r="T871" s="255" t="n"/>
      <c r="U871" s="255" t="n"/>
      <c r="V871" s="255" t="n"/>
      <c r="W871" s="255" t="n"/>
      <c r="X871" s="255" t="n"/>
      <c r="Y871" s="255" t="n"/>
      <c r="Z871" s="255" t="n"/>
    </row>
    <row r="872" ht="12.75" customHeight="1">
      <c r="A872" s="333" t="n"/>
      <c r="B872" s="255" t="n"/>
      <c r="C872" s="255" t="n"/>
      <c r="D872" s="255" t="n"/>
      <c r="E872" s="255" t="n"/>
      <c r="F872" s="255" t="n"/>
      <c r="G872" s="255" t="n"/>
      <c r="H872" s="255" t="n"/>
      <c r="I872" s="255" t="n"/>
      <c r="J872" s="255" t="n"/>
      <c r="K872" s="255" t="n"/>
      <c r="L872" s="255" t="n"/>
      <c r="M872" s="255" t="n"/>
      <c r="N872" s="255" t="n"/>
      <c r="O872" s="255" t="n"/>
      <c r="P872" s="255" t="n"/>
      <c r="Q872" s="255" t="n"/>
      <c r="R872" s="255" t="n"/>
      <c r="S872" s="255" t="n"/>
      <c r="T872" s="255" t="n"/>
      <c r="U872" s="255" t="n"/>
      <c r="V872" s="255" t="n"/>
      <c r="W872" s="255" t="n"/>
      <c r="X872" s="255" t="n"/>
      <c r="Y872" s="255" t="n"/>
      <c r="Z872" s="255" t="n"/>
    </row>
    <row r="873" ht="12.75" customHeight="1">
      <c r="A873" s="333" t="n"/>
      <c r="B873" s="255" t="n"/>
      <c r="C873" s="255" t="n"/>
      <c r="D873" s="255" t="n"/>
      <c r="E873" s="255" t="n"/>
      <c r="F873" s="255" t="n"/>
      <c r="G873" s="255" t="n"/>
      <c r="H873" s="255" t="n"/>
      <c r="I873" s="255" t="n"/>
      <c r="J873" s="255" t="n"/>
      <c r="K873" s="255" t="n"/>
      <c r="L873" s="255" t="n"/>
      <c r="M873" s="255" t="n"/>
      <c r="N873" s="255" t="n"/>
      <c r="O873" s="255" t="n"/>
      <c r="P873" s="255" t="n"/>
      <c r="Q873" s="255" t="n"/>
      <c r="R873" s="255" t="n"/>
      <c r="S873" s="255" t="n"/>
      <c r="T873" s="255" t="n"/>
      <c r="U873" s="255" t="n"/>
      <c r="V873" s="255" t="n"/>
      <c r="W873" s="255" t="n"/>
      <c r="X873" s="255" t="n"/>
      <c r="Y873" s="255" t="n"/>
      <c r="Z873" s="255" t="n"/>
    </row>
    <row r="874" ht="12.75" customHeight="1">
      <c r="A874" s="333" t="n"/>
      <c r="B874" s="255" t="n"/>
      <c r="C874" s="255" t="n"/>
      <c r="D874" s="255" t="n"/>
      <c r="E874" s="255" t="n"/>
      <c r="F874" s="255" t="n"/>
      <c r="G874" s="255" t="n"/>
      <c r="H874" s="255" t="n"/>
      <c r="I874" s="255" t="n"/>
      <c r="J874" s="255" t="n"/>
      <c r="K874" s="255" t="n"/>
      <c r="L874" s="255" t="n"/>
      <c r="M874" s="255" t="n"/>
      <c r="N874" s="255" t="n"/>
      <c r="O874" s="255" t="n"/>
      <c r="P874" s="255" t="n"/>
      <c r="Q874" s="255" t="n"/>
      <c r="R874" s="255" t="n"/>
      <c r="S874" s="255" t="n"/>
      <c r="T874" s="255" t="n"/>
      <c r="U874" s="255" t="n"/>
      <c r="V874" s="255" t="n"/>
      <c r="W874" s="255" t="n"/>
      <c r="X874" s="255" t="n"/>
      <c r="Y874" s="255" t="n"/>
      <c r="Z874" s="255" t="n"/>
    </row>
    <row r="875" ht="12.75" customHeight="1">
      <c r="A875" s="333" t="n"/>
      <c r="B875" s="255" t="n"/>
      <c r="C875" s="255" t="n"/>
      <c r="D875" s="255" t="n"/>
      <c r="E875" s="255" t="n"/>
      <c r="F875" s="255" t="n"/>
      <c r="G875" s="255" t="n"/>
      <c r="H875" s="255" t="n"/>
      <c r="I875" s="255" t="n"/>
      <c r="J875" s="255" t="n"/>
      <c r="K875" s="255" t="n"/>
      <c r="L875" s="255" t="n"/>
      <c r="M875" s="255" t="n"/>
      <c r="N875" s="255" t="n"/>
      <c r="O875" s="255" t="n"/>
      <c r="P875" s="255" t="n"/>
      <c r="Q875" s="255" t="n"/>
      <c r="R875" s="255" t="n"/>
      <c r="S875" s="255" t="n"/>
      <c r="T875" s="255" t="n"/>
      <c r="U875" s="255" t="n"/>
      <c r="V875" s="255" t="n"/>
      <c r="W875" s="255" t="n"/>
      <c r="X875" s="255" t="n"/>
      <c r="Y875" s="255" t="n"/>
      <c r="Z875" s="255" t="n"/>
    </row>
    <row r="876" ht="12.75" customHeight="1">
      <c r="A876" s="333" t="n"/>
      <c r="B876" s="255" t="n"/>
      <c r="C876" s="255" t="n"/>
      <c r="D876" s="255" t="n"/>
      <c r="E876" s="255" t="n"/>
      <c r="F876" s="255" t="n"/>
      <c r="G876" s="255" t="n"/>
      <c r="H876" s="255" t="n"/>
      <c r="I876" s="255" t="n"/>
      <c r="J876" s="255" t="n"/>
      <c r="K876" s="255" t="n"/>
      <c r="L876" s="255" t="n"/>
      <c r="M876" s="255" t="n"/>
      <c r="N876" s="255" t="n"/>
      <c r="O876" s="255" t="n"/>
      <c r="P876" s="255" t="n"/>
      <c r="Q876" s="255" t="n"/>
      <c r="R876" s="255" t="n"/>
      <c r="S876" s="255" t="n"/>
      <c r="T876" s="255" t="n"/>
      <c r="U876" s="255" t="n"/>
      <c r="V876" s="255" t="n"/>
      <c r="W876" s="255" t="n"/>
      <c r="X876" s="255" t="n"/>
      <c r="Y876" s="255" t="n"/>
      <c r="Z876" s="255" t="n"/>
    </row>
    <row r="877" ht="12.75" customHeight="1">
      <c r="A877" s="333" t="n"/>
      <c r="B877" s="255" t="n"/>
      <c r="C877" s="255" t="n"/>
      <c r="D877" s="255" t="n"/>
      <c r="E877" s="255" t="n"/>
      <c r="F877" s="255" t="n"/>
      <c r="G877" s="255" t="n"/>
      <c r="H877" s="255" t="n"/>
      <c r="I877" s="255" t="n"/>
      <c r="J877" s="255" t="n"/>
      <c r="K877" s="255" t="n"/>
      <c r="L877" s="255" t="n"/>
      <c r="M877" s="255" t="n"/>
      <c r="N877" s="255" t="n"/>
      <c r="O877" s="255" t="n"/>
      <c r="P877" s="255" t="n"/>
      <c r="Q877" s="255" t="n"/>
      <c r="R877" s="255" t="n"/>
      <c r="S877" s="255" t="n"/>
      <c r="T877" s="255" t="n"/>
      <c r="U877" s="255" t="n"/>
      <c r="V877" s="255" t="n"/>
      <c r="W877" s="255" t="n"/>
      <c r="X877" s="255" t="n"/>
      <c r="Y877" s="255" t="n"/>
      <c r="Z877" s="255" t="n"/>
    </row>
    <row r="878" ht="12.75" customHeight="1">
      <c r="A878" s="333" t="n"/>
      <c r="B878" s="255" t="n"/>
      <c r="C878" s="255" t="n"/>
      <c r="D878" s="255" t="n"/>
      <c r="E878" s="255" t="n"/>
      <c r="F878" s="255" t="n"/>
      <c r="G878" s="255" t="n"/>
      <c r="H878" s="255" t="n"/>
      <c r="I878" s="255" t="n"/>
      <c r="J878" s="255" t="n"/>
      <c r="K878" s="255" t="n"/>
      <c r="L878" s="255" t="n"/>
      <c r="M878" s="255" t="n"/>
      <c r="N878" s="255" t="n"/>
      <c r="O878" s="255" t="n"/>
      <c r="P878" s="255" t="n"/>
      <c r="Q878" s="255" t="n"/>
      <c r="R878" s="255" t="n"/>
      <c r="S878" s="255" t="n"/>
      <c r="T878" s="255" t="n"/>
      <c r="U878" s="255" t="n"/>
      <c r="V878" s="255" t="n"/>
      <c r="W878" s="255" t="n"/>
      <c r="X878" s="255" t="n"/>
      <c r="Y878" s="255" t="n"/>
      <c r="Z878" s="255" t="n"/>
    </row>
    <row r="879" ht="12.75" customHeight="1">
      <c r="A879" s="333" t="n"/>
      <c r="B879" s="255" t="n"/>
      <c r="C879" s="255" t="n"/>
      <c r="D879" s="255" t="n"/>
      <c r="E879" s="255" t="n"/>
      <c r="F879" s="255" t="n"/>
      <c r="G879" s="255" t="n"/>
      <c r="H879" s="255" t="n"/>
      <c r="I879" s="255" t="n"/>
      <c r="J879" s="255" t="n"/>
      <c r="K879" s="255" t="n"/>
      <c r="L879" s="255" t="n"/>
      <c r="M879" s="255" t="n"/>
      <c r="N879" s="255" t="n"/>
      <c r="O879" s="255" t="n"/>
      <c r="P879" s="255" t="n"/>
      <c r="Q879" s="255" t="n"/>
      <c r="R879" s="255" t="n"/>
      <c r="S879" s="255" t="n"/>
      <c r="T879" s="255" t="n"/>
      <c r="U879" s="255" t="n"/>
      <c r="V879" s="255" t="n"/>
      <c r="W879" s="255" t="n"/>
      <c r="X879" s="255" t="n"/>
      <c r="Y879" s="255" t="n"/>
      <c r="Z879" s="255" t="n"/>
    </row>
    <row r="880" ht="12.75" customHeight="1">
      <c r="A880" s="333" t="n"/>
      <c r="B880" s="255" t="n"/>
      <c r="C880" s="255" t="n"/>
      <c r="D880" s="255" t="n"/>
      <c r="E880" s="255" t="n"/>
      <c r="F880" s="255" t="n"/>
      <c r="G880" s="255" t="n"/>
      <c r="H880" s="255" t="n"/>
      <c r="I880" s="255" t="n"/>
      <c r="J880" s="255" t="n"/>
      <c r="K880" s="255" t="n"/>
      <c r="L880" s="255" t="n"/>
      <c r="M880" s="255" t="n"/>
      <c r="N880" s="255" t="n"/>
      <c r="O880" s="255" t="n"/>
      <c r="P880" s="255" t="n"/>
      <c r="Q880" s="255" t="n"/>
      <c r="R880" s="255" t="n"/>
      <c r="S880" s="255" t="n"/>
      <c r="T880" s="255" t="n"/>
      <c r="U880" s="255" t="n"/>
      <c r="V880" s="255" t="n"/>
      <c r="W880" s="255" t="n"/>
      <c r="X880" s="255" t="n"/>
      <c r="Y880" s="255" t="n"/>
      <c r="Z880" s="255" t="n"/>
    </row>
    <row r="881" ht="12.75" customHeight="1">
      <c r="A881" s="333" t="n"/>
      <c r="B881" s="255" t="n"/>
      <c r="C881" s="255" t="n"/>
      <c r="D881" s="255" t="n"/>
      <c r="E881" s="255" t="n"/>
      <c r="F881" s="255" t="n"/>
      <c r="G881" s="255" t="n"/>
      <c r="H881" s="255" t="n"/>
      <c r="I881" s="255" t="n"/>
      <c r="J881" s="255" t="n"/>
      <c r="K881" s="255" t="n"/>
      <c r="L881" s="255" t="n"/>
      <c r="M881" s="255" t="n"/>
      <c r="N881" s="255" t="n"/>
      <c r="O881" s="255" t="n"/>
      <c r="P881" s="255" t="n"/>
      <c r="Q881" s="255" t="n"/>
      <c r="R881" s="255" t="n"/>
      <c r="S881" s="255" t="n"/>
      <c r="T881" s="255" t="n"/>
      <c r="U881" s="255" t="n"/>
      <c r="V881" s="255" t="n"/>
      <c r="W881" s="255" t="n"/>
      <c r="X881" s="255" t="n"/>
      <c r="Y881" s="255" t="n"/>
      <c r="Z881" s="255" t="n"/>
    </row>
    <row r="882" ht="12.75" customHeight="1">
      <c r="A882" s="333" t="n"/>
      <c r="B882" s="255" t="n"/>
      <c r="C882" s="255" t="n"/>
      <c r="D882" s="255" t="n"/>
      <c r="E882" s="255" t="n"/>
      <c r="F882" s="255" t="n"/>
      <c r="G882" s="255" t="n"/>
      <c r="H882" s="255" t="n"/>
      <c r="I882" s="255" t="n"/>
      <c r="J882" s="255" t="n"/>
      <c r="K882" s="255" t="n"/>
      <c r="L882" s="255" t="n"/>
      <c r="M882" s="255" t="n"/>
      <c r="N882" s="255" t="n"/>
      <c r="O882" s="255" t="n"/>
      <c r="P882" s="255" t="n"/>
      <c r="Q882" s="255" t="n"/>
      <c r="R882" s="255" t="n"/>
      <c r="S882" s="255" t="n"/>
      <c r="T882" s="255" t="n"/>
      <c r="U882" s="255" t="n"/>
      <c r="V882" s="255" t="n"/>
      <c r="W882" s="255" t="n"/>
      <c r="X882" s="255" t="n"/>
      <c r="Y882" s="255" t="n"/>
      <c r="Z882" s="255" t="n"/>
    </row>
    <row r="883" ht="12.75" customHeight="1">
      <c r="A883" s="333" t="n"/>
      <c r="B883" s="255" t="n"/>
      <c r="C883" s="255" t="n"/>
      <c r="D883" s="255" t="n"/>
      <c r="E883" s="255" t="n"/>
      <c r="F883" s="255" t="n"/>
      <c r="G883" s="255" t="n"/>
      <c r="H883" s="255" t="n"/>
      <c r="I883" s="255" t="n"/>
      <c r="J883" s="255" t="n"/>
      <c r="K883" s="255" t="n"/>
      <c r="L883" s="255" t="n"/>
      <c r="M883" s="255" t="n"/>
      <c r="N883" s="255" t="n"/>
      <c r="O883" s="255" t="n"/>
      <c r="P883" s="255" t="n"/>
      <c r="Q883" s="255" t="n"/>
      <c r="R883" s="255" t="n"/>
      <c r="S883" s="255" t="n"/>
      <c r="T883" s="255" t="n"/>
      <c r="U883" s="255" t="n"/>
      <c r="V883" s="255" t="n"/>
      <c r="W883" s="255" t="n"/>
      <c r="X883" s="255" t="n"/>
      <c r="Y883" s="255" t="n"/>
      <c r="Z883" s="255" t="n"/>
    </row>
    <row r="884" ht="12.75" customHeight="1">
      <c r="A884" s="333" t="n"/>
      <c r="B884" s="255" t="n"/>
      <c r="C884" s="255" t="n"/>
      <c r="D884" s="255" t="n"/>
      <c r="E884" s="255" t="n"/>
      <c r="F884" s="255" t="n"/>
      <c r="G884" s="255" t="n"/>
      <c r="H884" s="255" t="n"/>
      <c r="I884" s="255" t="n"/>
      <c r="J884" s="255" t="n"/>
      <c r="K884" s="255" t="n"/>
      <c r="L884" s="255" t="n"/>
      <c r="M884" s="255" t="n"/>
      <c r="N884" s="255" t="n"/>
      <c r="O884" s="255" t="n"/>
      <c r="P884" s="255" t="n"/>
      <c r="Q884" s="255" t="n"/>
      <c r="R884" s="255" t="n"/>
      <c r="S884" s="255" t="n"/>
      <c r="T884" s="255" t="n"/>
      <c r="U884" s="255" t="n"/>
      <c r="V884" s="255" t="n"/>
      <c r="W884" s="255" t="n"/>
      <c r="X884" s="255" t="n"/>
      <c r="Y884" s="255" t="n"/>
      <c r="Z884" s="255" t="n"/>
    </row>
    <row r="885" ht="12.75" customHeight="1">
      <c r="A885" s="333" t="n"/>
      <c r="B885" s="255" t="n"/>
      <c r="C885" s="255" t="n"/>
      <c r="D885" s="255" t="n"/>
      <c r="E885" s="255" t="n"/>
      <c r="F885" s="255" t="n"/>
      <c r="G885" s="255" t="n"/>
      <c r="H885" s="255" t="n"/>
      <c r="I885" s="255" t="n"/>
      <c r="J885" s="255" t="n"/>
      <c r="K885" s="255" t="n"/>
      <c r="L885" s="255" t="n"/>
      <c r="M885" s="255" t="n"/>
      <c r="N885" s="255" t="n"/>
      <c r="O885" s="255" t="n"/>
      <c r="P885" s="255" t="n"/>
      <c r="Q885" s="255" t="n"/>
      <c r="R885" s="255" t="n"/>
      <c r="S885" s="255" t="n"/>
      <c r="T885" s="255" t="n"/>
      <c r="U885" s="255" t="n"/>
      <c r="V885" s="255" t="n"/>
      <c r="W885" s="255" t="n"/>
      <c r="X885" s="255" t="n"/>
      <c r="Y885" s="255" t="n"/>
      <c r="Z885" s="255" t="n"/>
    </row>
    <row r="886" ht="12.75" customHeight="1">
      <c r="A886" s="333" t="n"/>
      <c r="B886" s="255" t="n"/>
      <c r="C886" s="255" t="n"/>
      <c r="D886" s="255" t="n"/>
      <c r="E886" s="255" t="n"/>
      <c r="F886" s="255" t="n"/>
      <c r="G886" s="255" t="n"/>
      <c r="H886" s="255" t="n"/>
      <c r="I886" s="255" t="n"/>
      <c r="J886" s="255" t="n"/>
      <c r="K886" s="255" t="n"/>
      <c r="L886" s="255" t="n"/>
      <c r="M886" s="255" t="n"/>
      <c r="N886" s="255" t="n"/>
      <c r="O886" s="255" t="n"/>
      <c r="P886" s="255" t="n"/>
      <c r="Q886" s="255" t="n"/>
      <c r="R886" s="255" t="n"/>
      <c r="S886" s="255" t="n"/>
      <c r="T886" s="255" t="n"/>
      <c r="U886" s="255" t="n"/>
      <c r="V886" s="255" t="n"/>
      <c r="W886" s="255" t="n"/>
      <c r="X886" s="255" t="n"/>
      <c r="Y886" s="255" t="n"/>
      <c r="Z886" s="255" t="n"/>
    </row>
    <row r="887" ht="12.75" customHeight="1">
      <c r="A887" s="333" t="n"/>
      <c r="B887" s="255" t="n"/>
      <c r="C887" s="255" t="n"/>
      <c r="D887" s="255" t="n"/>
      <c r="E887" s="255" t="n"/>
      <c r="F887" s="255" t="n"/>
      <c r="G887" s="255" t="n"/>
      <c r="H887" s="255" t="n"/>
      <c r="I887" s="255" t="n"/>
      <c r="J887" s="255" t="n"/>
      <c r="K887" s="255" t="n"/>
      <c r="L887" s="255" t="n"/>
      <c r="M887" s="255" t="n"/>
      <c r="N887" s="255" t="n"/>
      <c r="O887" s="255" t="n"/>
      <c r="P887" s="255" t="n"/>
      <c r="Q887" s="255" t="n"/>
      <c r="R887" s="255" t="n"/>
      <c r="S887" s="255" t="n"/>
      <c r="T887" s="255" t="n"/>
      <c r="U887" s="255" t="n"/>
      <c r="V887" s="255" t="n"/>
      <c r="W887" s="255" t="n"/>
      <c r="X887" s="255" t="n"/>
      <c r="Y887" s="255" t="n"/>
      <c r="Z887" s="255" t="n"/>
    </row>
    <row r="888" ht="12.75" customHeight="1">
      <c r="A888" s="333" t="n"/>
      <c r="B888" s="255" t="n"/>
      <c r="C888" s="255" t="n"/>
      <c r="D888" s="255" t="n"/>
      <c r="E888" s="255" t="n"/>
      <c r="F888" s="255" t="n"/>
      <c r="G888" s="255" t="n"/>
      <c r="H888" s="255" t="n"/>
      <c r="I888" s="255" t="n"/>
      <c r="J888" s="255" t="n"/>
      <c r="K888" s="255" t="n"/>
      <c r="L888" s="255" t="n"/>
      <c r="M888" s="255" t="n"/>
      <c r="N888" s="255" t="n"/>
      <c r="O888" s="255" t="n"/>
      <c r="P888" s="255" t="n"/>
      <c r="Q888" s="255" t="n"/>
      <c r="R888" s="255" t="n"/>
      <c r="S888" s="255" t="n"/>
      <c r="T888" s="255" t="n"/>
      <c r="U888" s="255" t="n"/>
      <c r="V888" s="255" t="n"/>
      <c r="W888" s="255" t="n"/>
      <c r="X888" s="255" t="n"/>
      <c r="Y888" s="255" t="n"/>
      <c r="Z888" s="255" t="n"/>
    </row>
    <row r="889" ht="12.75" customHeight="1">
      <c r="A889" s="333" t="n"/>
      <c r="B889" s="255" t="n"/>
      <c r="C889" s="255" t="n"/>
      <c r="D889" s="255" t="n"/>
      <c r="E889" s="255" t="n"/>
      <c r="F889" s="255" t="n"/>
      <c r="G889" s="255" t="n"/>
      <c r="H889" s="255" t="n"/>
      <c r="I889" s="255" t="n"/>
      <c r="J889" s="255" t="n"/>
      <c r="K889" s="255" t="n"/>
      <c r="L889" s="255" t="n"/>
      <c r="M889" s="255" t="n"/>
      <c r="N889" s="255" t="n"/>
      <c r="O889" s="255" t="n"/>
      <c r="P889" s="255" t="n"/>
      <c r="Q889" s="255" t="n"/>
      <c r="R889" s="255" t="n"/>
      <c r="S889" s="255" t="n"/>
      <c r="T889" s="255" t="n"/>
      <c r="U889" s="255" t="n"/>
      <c r="V889" s="255" t="n"/>
      <c r="W889" s="255" t="n"/>
      <c r="X889" s="255" t="n"/>
      <c r="Y889" s="255" t="n"/>
      <c r="Z889" s="255" t="n"/>
    </row>
    <row r="890" ht="12.75" customHeight="1">
      <c r="A890" s="333" t="n"/>
      <c r="B890" s="255" t="n"/>
      <c r="C890" s="255" t="n"/>
      <c r="D890" s="255" t="n"/>
      <c r="E890" s="255" t="n"/>
      <c r="F890" s="255" t="n"/>
      <c r="G890" s="255" t="n"/>
      <c r="H890" s="255" t="n"/>
      <c r="I890" s="255" t="n"/>
      <c r="J890" s="255" t="n"/>
      <c r="K890" s="255" t="n"/>
      <c r="L890" s="255" t="n"/>
      <c r="M890" s="255" t="n"/>
      <c r="N890" s="255" t="n"/>
      <c r="O890" s="255" t="n"/>
      <c r="P890" s="255" t="n"/>
      <c r="Q890" s="255" t="n"/>
      <c r="R890" s="255" t="n"/>
      <c r="S890" s="255" t="n"/>
      <c r="T890" s="255" t="n"/>
      <c r="U890" s="255" t="n"/>
      <c r="V890" s="255" t="n"/>
      <c r="W890" s="255" t="n"/>
      <c r="X890" s="255" t="n"/>
      <c r="Y890" s="255" t="n"/>
      <c r="Z890" s="255" t="n"/>
    </row>
    <row r="891" ht="12.75" customHeight="1">
      <c r="A891" s="333" t="n"/>
      <c r="B891" s="255" t="n"/>
      <c r="C891" s="255" t="n"/>
      <c r="D891" s="255" t="n"/>
      <c r="E891" s="255" t="n"/>
      <c r="F891" s="255" t="n"/>
      <c r="G891" s="255" t="n"/>
      <c r="H891" s="255" t="n"/>
      <c r="I891" s="255" t="n"/>
      <c r="J891" s="255" t="n"/>
      <c r="K891" s="255" t="n"/>
      <c r="L891" s="255" t="n"/>
      <c r="M891" s="255" t="n"/>
      <c r="N891" s="255" t="n"/>
      <c r="O891" s="255" t="n"/>
      <c r="P891" s="255" t="n"/>
      <c r="Q891" s="255" t="n"/>
      <c r="R891" s="255" t="n"/>
      <c r="S891" s="255" t="n"/>
      <c r="T891" s="255" t="n"/>
      <c r="U891" s="255" t="n"/>
      <c r="V891" s="255" t="n"/>
      <c r="W891" s="255" t="n"/>
      <c r="X891" s="255" t="n"/>
      <c r="Y891" s="255" t="n"/>
      <c r="Z891" s="255" t="n"/>
    </row>
    <row r="892" ht="12.75" customHeight="1">
      <c r="A892" s="333" t="n"/>
      <c r="B892" s="255" t="n"/>
      <c r="C892" s="255" t="n"/>
      <c r="D892" s="255" t="n"/>
      <c r="E892" s="255" t="n"/>
      <c r="F892" s="255" t="n"/>
      <c r="G892" s="255" t="n"/>
      <c r="H892" s="255" t="n"/>
      <c r="I892" s="255" t="n"/>
      <c r="J892" s="255" t="n"/>
      <c r="K892" s="255" t="n"/>
      <c r="L892" s="255" t="n"/>
      <c r="M892" s="255" t="n"/>
      <c r="N892" s="255" t="n"/>
      <c r="O892" s="255" t="n"/>
      <c r="P892" s="255" t="n"/>
      <c r="Q892" s="255" t="n"/>
      <c r="R892" s="255" t="n"/>
      <c r="S892" s="255" t="n"/>
      <c r="T892" s="255" t="n"/>
      <c r="U892" s="255" t="n"/>
      <c r="V892" s="255" t="n"/>
      <c r="W892" s="255" t="n"/>
      <c r="X892" s="255" t="n"/>
      <c r="Y892" s="255" t="n"/>
      <c r="Z892" s="255" t="n"/>
    </row>
    <row r="893" ht="12.75" customHeight="1">
      <c r="A893" s="333" t="n"/>
      <c r="B893" s="255" t="n"/>
      <c r="C893" s="255" t="n"/>
      <c r="D893" s="255" t="n"/>
      <c r="E893" s="255" t="n"/>
      <c r="F893" s="255" t="n"/>
      <c r="G893" s="255" t="n"/>
      <c r="H893" s="255" t="n"/>
      <c r="I893" s="255" t="n"/>
      <c r="J893" s="255" t="n"/>
      <c r="K893" s="255" t="n"/>
      <c r="L893" s="255" t="n"/>
      <c r="M893" s="255" t="n"/>
      <c r="N893" s="255" t="n"/>
      <c r="O893" s="255" t="n"/>
      <c r="P893" s="255" t="n"/>
      <c r="Q893" s="255" t="n"/>
      <c r="R893" s="255" t="n"/>
      <c r="S893" s="255" t="n"/>
      <c r="T893" s="255" t="n"/>
      <c r="U893" s="255" t="n"/>
      <c r="V893" s="255" t="n"/>
      <c r="W893" s="255" t="n"/>
      <c r="X893" s="255" t="n"/>
      <c r="Y893" s="255" t="n"/>
      <c r="Z893" s="255" t="n"/>
    </row>
    <row r="894" ht="12.75" customHeight="1">
      <c r="A894" s="333" t="n"/>
      <c r="B894" s="255" t="n"/>
      <c r="C894" s="255" t="n"/>
      <c r="D894" s="255" t="n"/>
      <c r="E894" s="255" t="n"/>
      <c r="F894" s="255" t="n"/>
      <c r="G894" s="255" t="n"/>
      <c r="H894" s="255" t="n"/>
      <c r="I894" s="255" t="n"/>
      <c r="J894" s="255" t="n"/>
      <c r="K894" s="255" t="n"/>
      <c r="L894" s="255" t="n"/>
      <c r="M894" s="255" t="n"/>
      <c r="N894" s="255" t="n"/>
      <c r="O894" s="255" t="n"/>
      <c r="P894" s="255" t="n"/>
      <c r="Q894" s="255" t="n"/>
      <c r="R894" s="255" t="n"/>
      <c r="S894" s="255" t="n"/>
      <c r="T894" s="255" t="n"/>
      <c r="U894" s="255" t="n"/>
      <c r="V894" s="255" t="n"/>
      <c r="W894" s="255" t="n"/>
      <c r="X894" s="255" t="n"/>
      <c r="Y894" s="255" t="n"/>
      <c r="Z894" s="255" t="n"/>
    </row>
    <row r="895" ht="12.75" customHeight="1">
      <c r="A895" s="333" t="n"/>
      <c r="B895" s="255" t="n"/>
      <c r="C895" s="255" t="n"/>
      <c r="D895" s="255" t="n"/>
      <c r="E895" s="255" t="n"/>
      <c r="F895" s="255" t="n"/>
      <c r="G895" s="255" t="n"/>
      <c r="H895" s="255" t="n"/>
      <c r="I895" s="255" t="n"/>
      <c r="J895" s="255" t="n"/>
      <c r="K895" s="255" t="n"/>
      <c r="L895" s="255" t="n"/>
      <c r="M895" s="255" t="n"/>
      <c r="N895" s="255" t="n"/>
      <c r="O895" s="255" t="n"/>
      <c r="P895" s="255" t="n"/>
      <c r="Q895" s="255" t="n"/>
      <c r="R895" s="255" t="n"/>
      <c r="S895" s="255" t="n"/>
      <c r="T895" s="255" t="n"/>
      <c r="U895" s="255" t="n"/>
      <c r="V895" s="255" t="n"/>
      <c r="W895" s="255" t="n"/>
      <c r="X895" s="255" t="n"/>
      <c r="Y895" s="255" t="n"/>
      <c r="Z895" s="255" t="n"/>
    </row>
    <row r="896" ht="12.75" customHeight="1">
      <c r="A896" s="333" t="n"/>
      <c r="B896" s="255" t="n"/>
      <c r="C896" s="255" t="n"/>
      <c r="D896" s="255" t="n"/>
      <c r="E896" s="255" t="n"/>
      <c r="F896" s="255" t="n"/>
      <c r="G896" s="255" t="n"/>
      <c r="H896" s="255" t="n"/>
      <c r="I896" s="255" t="n"/>
      <c r="J896" s="255" t="n"/>
      <c r="K896" s="255" t="n"/>
      <c r="L896" s="255" t="n"/>
      <c r="M896" s="255" t="n"/>
      <c r="N896" s="255" t="n"/>
      <c r="O896" s="255" t="n"/>
      <c r="P896" s="255" t="n"/>
      <c r="Q896" s="255" t="n"/>
      <c r="R896" s="255" t="n"/>
      <c r="S896" s="255" t="n"/>
      <c r="T896" s="255" t="n"/>
      <c r="U896" s="255" t="n"/>
      <c r="V896" s="255" t="n"/>
      <c r="W896" s="255" t="n"/>
      <c r="X896" s="255" t="n"/>
      <c r="Y896" s="255" t="n"/>
      <c r="Z896" s="255" t="n"/>
    </row>
    <row r="897" ht="12.75" customHeight="1">
      <c r="A897" s="333" t="n"/>
      <c r="B897" s="255" t="n"/>
      <c r="C897" s="255" t="n"/>
      <c r="D897" s="255" t="n"/>
      <c r="E897" s="255" t="n"/>
      <c r="F897" s="255" t="n"/>
      <c r="G897" s="255" t="n"/>
      <c r="H897" s="255" t="n"/>
      <c r="I897" s="255" t="n"/>
      <c r="J897" s="255" t="n"/>
      <c r="K897" s="255" t="n"/>
      <c r="L897" s="255" t="n"/>
      <c r="M897" s="255" t="n"/>
      <c r="N897" s="255" t="n"/>
      <c r="O897" s="255" t="n"/>
      <c r="P897" s="255" t="n"/>
      <c r="Q897" s="255" t="n"/>
      <c r="R897" s="255" t="n"/>
      <c r="S897" s="255" t="n"/>
      <c r="T897" s="255" t="n"/>
      <c r="U897" s="255" t="n"/>
      <c r="V897" s="255" t="n"/>
      <c r="W897" s="255" t="n"/>
      <c r="X897" s="255" t="n"/>
      <c r="Y897" s="255" t="n"/>
      <c r="Z897" s="255" t="n"/>
    </row>
    <row r="898" ht="12.75" customHeight="1">
      <c r="A898" s="333" t="n"/>
      <c r="B898" s="255" t="n"/>
      <c r="C898" s="255" t="n"/>
      <c r="D898" s="255" t="n"/>
      <c r="E898" s="255" t="n"/>
      <c r="F898" s="255" t="n"/>
      <c r="G898" s="255" t="n"/>
      <c r="H898" s="255" t="n"/>
      <c r="I898" s="255" t="n"/>
      <c r="J898" s="255" t="n"/>
      <c r="K898" s="255" t="n"/>
      <c r="L898" s="255" t="n"/>
      <c r="M898" s="255" t="n"/>
      <c r="N898" s="255" t="n"/>
      <c r="O898" s="255" t="n"/>
      <c r="P898" s="255" t="n"/>
      <c r="Q898" s="255" t="n"/>
      <c r="R898" s="255" t="n"/>
      <c r="S898" s="255" t="n"/>
      <c r="T898" s="255" t="n"/>
      <c r="U898" s="255" t="n"/>
      <c r="V898" s="255" t="n"/>
      <c r="W898" s="255" t="n"/>
      <c r="X898" s="255" t="n"/>
      <c r="Y898" s="255" t="n"/>
      <c r="Z898" s="255" t="n"/>
    </row>
    <row r="899" ht="12.75" customHeight="1">
      <c r="A899" s="333" t="n"/>
      <c r="B899" s="255" t="n"/>
      <c r="C899" s="255" t="n"/>
      <c r="D899" s="255" t="n"/>
      <c r="E899" s="255" t="n"/>
      <c r="F899" s="255" t="n"/>
      <c r="G899" s="255" t="n"/>
      <c r="H899" s="255" t="n"/>
      <c r="I899" s="255" t="n"/>
      <c r="J899" s="255" t="n"/>
      <c r="K899" s="255" t="n"/>
      <c r="L899" s="255" t="n"/>
      <c r="M899" s="255" t="n"/>
      <c r="N899" s="255" t="n"/>
      <c r="O899" s="255" t="n"/>
      <c r="P899" s="255" t="n"/>
      <c r="Q899" s="255" t="n"/>
      <c r="R899" s="255" t="n"/>
      <c r="S899" s="255" t="n"/>
      <c r="T899" s="255" t="n"/>
      <c r="U899" s="255" t="n"/>
      <c r="V899" s="255" t="n"/>
      <c r="W899" s="255" t="n"/>
      <c r="X899" s="255" t="n"/>
      <c r="Y899" s="255" t="n"/>
      <c r="Z899" s="255" t="n"/>
    </row>
    <row r="900" ht="12.75" customHeight="1">
      <c r="A900" s="333" t="n"/>
      <c r="B900" s="255" t="n"/>
      <c r="C900" s="255" t="n"/>
      <c r="D900" s="255" t="n"/>
      <c r="E900" s="255" t="n"/>
      <c r="F900" s="255" t="n"/>
      <c r="G900" s="255" t="n"/>
      <c r="H900" s="255" t="n"/>
      <c r="I900" s="255" t="n"/>
      <c r="J900" s="255" t="n"/>
      <c r="K900" s="255" t="n"/>
      <c r="L900" s="255" t="n"/>
      <c r="M900" s="255" t="n"/>
      <c r="N900" s="255" t="n"/>
      <c r="O900" s="255" t="n"/>
      <c r="P900" s="255" t="n"/>
      <c r="Q900" s="255" t="n"/>
      <c r="R900" s="255" t="n"/>
      <c r="S900" s="255" t="n"/>
      <c r="T900" s="255" t="n"/>
      <c r="U900" s="255" t="n"/>
      <c r="V900" s="255" t="n"/>
      <c r="W900" s="255" t="n"/>
      <c r="X900" s="255" t="n"/>
      <c r="Y900" s="255" t="n"/>
      <c r="Z900" s="255" t="n"/>
    </row>
    <row r="901" ht="12.75" customHeight="1">
      <c r="A901" s="333" t="n"/>
      <c r="B901" s="255" t="n"/>
      <c r="C901" s="255" t="n"/>
      <c r="D901" s="255" t="n"/>
      <c r="E901" s="255" t="n"/>
      <c r="F901" s="255" t="n"/>
      <c r="G901" s="255" t="n"/>
      <c r="H901" s="255" t="n"/>
      <c r="I901" s="255" t="n"/>
      <c r="J901" s="255" t="n"/>
      <c r="K901" s="255" t="n"/>
      <c r="L901" s="255" t="n"/>
      <c r="M901" s="255" t="n"/>
      <c r="N901" s="255" t="n"/>
      <c r="O901" s="255" t="n"/>
      <c r="P901" s="255" t="n"/>
      <c r="Q901" s="255" t="n"/>
      <c r="R901" s="255" t="n"/>
      <c r="S901" s="255" t="n"/>
      <c r="T901" s="255" t="n"/>
      <c r="U901" s="255" t="n"/>
      <c r="V901" s="255" t="n"/>
      <c r="W901" s="255" t="n"/>
      <c r="X901" s="255" t="n"/>
      <c r="Y901" s="255" t="n"/>
      <c r="Z901" s="255" t="n"/>
    </row>
    <row r="902" ht="12.75" customHeight="1">
      <c r="A902" s="333" t="n"/>
      <c r="B902" s="255" t="n"/>
      <c r="C902" s="255" t="n"/>
      <c r="D902" s="255" t="n"/>
      <c r="E902" s="255" t="n"/>
      <c r="F902" s="255" t="n"/>
      <c r="G902" s="255" t="n"/>
      <c r="H902" s="255" t="n"/>
      <c r="I902" s="255" t="n"/>
      <c r="J902" s="255" t="n"/>
      <c r="K902" s="255" t="n"/>
      <c r="L902" s="255" t="n"/>
      <c r="M902" s="255" t="n"/>
      <c r="N902" s="255" t="n"/>
      <c r="O902" s="255" t="n"/>
      <c r="P902" s="255" t="n"/>
      <c r="Q902" s="255" t="n"/>
      <c r="R902" s="255" t="n"/>
      <c r="S902" s="255" t="n"/>
      <c r="T902" s="255" t="n"/>
      <c r="U902" s="255" t="n"/>
      <c r="V902" s="255" t="n"/>
      <c r="W902" s="255" t="n"/>
      <c r="X902" s="255" t="n"/>
      <c r="Y902" s="255" t="n"/>
      <c r="Z902" s="255" t="n"/>
    </row>
    <row r="903" ht="12.75" customHeight="1">
      <c r="A903" s="333" t="n"/>
      <c r="B903" s="255" t="n"/>
      <c r="C903" s="255" t="n"/>
      <c r="D903" s="255" t="n"/>
      <c r="E903" s="255" t="n"/>
      <c r="F903" s="255" t="n"/>
      <c r="G903" s="255" t="n"/>
      <c r="H903" s="255" t="n"/>
      <c r="I903" s="255" t="n"/>
      <c r="J903" s="255" t="n"/>
      <c r="K903" s="255" t="n"/>
      <c r="L903" s="255" t="n"/>
      <c r="M903" s="255" t="n"/>
      <c r="N903" s="255" t="n"/>
      <c r="O903" s="255" t="n"/>
      <c r="P903" s="255" t="n"/>
      <c r="Q903" s="255" t="n"/>
      <c r="R903" s="255" t="n"/>
      <c r="S903" s="255" t="n"/>
      <c r="T903" s="255" t="n"/>
      <c r="U903" s="255" t="n"/>
      <c r="V903" s="255" t="n"/>
      <c r="W903" s="255" t="n"/>
      <c r="X903" s="255" t="n"/>
      <c r="Y903" s="255" t="n"/>
      <c r="Z903" s="255" t="n"/>
    </row>
    <row r="904" ht="12.75" customHeight="1">
      <c r="A904" s="333" t="n"/>
      <c r="B904" s="255" t="n"/>
      <c r="C904" s="255" t="n"/>
      <c r="D904" s="255" t="n"/>
      <c r="E904" s="255" t="n"/>
      <c r="F904" s="255" t="n"/>
      <c r="G904" s="255" t="n"/>
      <c r="H904" s="255" t="n"/>
      <c r="I904" s="255" t="n"/>
      <c r="J904" s="255" t="n"/>
      <c r="K904" s="255" t="n"/>
      <c r="L904" s="255" t="n"/>
      <c r="M904" s="255" t="n"/>
      <c r="N904" s="255" t="n"/>
      <c r="O904" s="255" t="n"/>
      <c r="P904" s="255" t="n"/>
      <c r="Q904" s="255" t="n"/>
      <c r="R904" s="255" t="n"/>
      <c r="S904" s="255" t="n"/>
      <c r="T904" s="255" t="n"/>
      <c r="U904" s="255" t="n"/>
      <c r="V904" s="255" t="n"/>
      <c r="W904" s="255" t="n"/>
      <c r="X904" s="255" t="n"/>
      <c r="Y904" s="255" t="n"/>
      <c r="Z904" s="255" t="n"/>
    </row>
    <row r="905" ht="12.75" customHeight="1">
      <c r="A905" s="333" t="n"/>
      <c r="B905" s="255" t="n"/>
      <c r="C905" s="255" t="n"/>
      <c r="D905" s="255" t="n"/>
      <c r="E905" s="255" t="n"/>
      <c r="F905" s="255" t="n"/>
      <c r="G905" s="255" t="n"/>
      <c r="H905" s="255" t="n"/>
      <c r="I905" s="255" t="n"/>
      <c r="J905" s="255" t="n"/>
      <c r="K905" s="255" t="n"/>
      <c r="L905" s="255" t="n"/>
      <c r="M905" s="255" t="n"/>
      <c r="N905" s="255" t="n"/>
      <c r="O905" s="255" t="n"/>
      <c r="P905" s="255" t="n"/>
      <c r="Q905" s="255" t="n"/>
      <c r="R905" s="255" t="n"/>
      <c r="S905" s="255" t="n"/>
      <c r="T905" s="255" t="n"/>
      <c r="U905" s="255" t="n"/>
      <c r="V905" s="255" t="n"/>
      <c r="W905" s="255" t="n"/>
      <c r="X905" s="255" t="n"/>
      <c r="Y905" s="255" t="n"/>
      <c r="Z905" s="255" t="n"/>
    </row>
    <row r="906" ht="12.75" customHeight="1">
      <c r="A906" s="333" t="n"/>
      <c r="B906" s="255" t="n"/>
      <c r="C906" s="255" t="n"/>
      <c r="D906" s="255" t="n"/>
      <c r="E906" s="255" t="n"/>
      <c r="F906" s="255" t="n"/>
      <c r="G906" s="255" t="n"/>
      <c r="H906" s="255" t="n"/>
      <c r="I906" s="255" t="n"/>
      <c r="J906" s="255" t="n"/>
      <c r="K906" s="255" t="n"/>
      <c r="L906" s="255" t="n"/>
      <c r="M906" s="255" t="n"/>
      <c r="N906" s="255" t="n"/>
      <c r="O906" s="255" t="n"/>
      <c r="P906" s="255" t="n"/>
      <c r="Q906" s="255" t="n"/>
      <c r="R906" s="255" t="n"/>
      <c r="S906" s="255" t="n"/>
      <c r="T906" s="255" t="n"/>
      <c r="U906" s="255" t="n"/>
      <c r="V906" s="255" t="n"/>
      <c r="W906" s="255" t="n"/>
      <c r="X906" s="255" t="n"/>
      <c r="Y906" s="255" t="n"/>
      <c r="Z906" s="255" t="n"/>
    </row>
    <row r="907" ht="12.75" customHeight="1">
      <c r="A907" s="333" t="n"/>
      <c r="B907" s="255" t="n"/>
      <c r="C907" s="255" t="n"/>
      <c r="D907" s="255" t="n"/>
      <c r="E907" s="255" t="n"/>
      <c r="F907" s="255" t="n"/>
      <c r="G907" s="255" t="n"/>
      <c r="H907" s="255" t="n"/>
      <c r="I907" s="255" t="n"/>
      <c r="J907" s="255" t="n"/>
      <c r="K907" s="255" t="n"/>
      <c r="L907" s="255" t="n"/>
      <c r="M907" s="255" t="n"/>
      <c r="N907" s="255" t="n"/>
      <c r="O907" s="255" t="n"/>
      <c r="P907" s="255" t="n"/>
      <c r="Q907" s="255" t="n"/>
      <c r="R907" s="255" t="n"/>
      <c r="S907" s="255" t="n"/>
      <c r="T907" s="255" t="n"/>
      <c r="U907" s="255" t="n"/>
      <c r="V907" s="255" t="n"/>
      <c r="W907" s="255" t="n"/>
      <c r="X907" s="255" t="n"/>
      <c r="Y907" s="255" t="n"/>
      <c r="Z907" s="255" t="n"/>
    </row>
    <row r="908" ht="12.75" customHeight="1">
      <c r="A908" s="333" t="n"/>
      <c r="B908" s="255" t="n"/>
      <c r="C908" s="255" t="n"/>
      <c r="D908" s="255" t="n"/>
      <c r="E908" s="255" t="n"/>
      <c r="F908" s="255" t="n"/>
      <c r="G908" s="255" t="n"/>
      <c r="H908" s="255" t="n"/>
      <c r="I908" s="255" t="n"/>
      <c r="J908" s="255" t="n"/>
      <c r="K908" s="255" t="n"/>
      <c r="L908" s="255" t="n"/>
      <c r="M908" s="255" t="n"/>
      <c r="N908" s="255" t="n"/>
      <c r="O908" s="255" t="n"/>
      <c r="P908" s="255" t="n"/>
      <c r="Q908" s="255" t="n"/>
      <c r="R908" s="255" t="n"/>
      <c r="S908" s="255" t="n"/>
      <c r="T908" s="255" t="n"/>
      <c r="U908" s="255" t="n"/>
      <c r="V908" s="255" t="n"/>
      <c r="W908" s="255" t="n"/>
      <c r="X908" s="255" t="n"/>
      <c r="Y908" s="255" t="n"/>
      <c r="Z908" s="255" t="n"/>
    </row>
    <row r="909" ht="12.75" customHeight="1">
      <c r="A909" s="333" t="n"/>
      <c r="B909" s="255" t="n"/>
      <c r="C909" s="255" t="n"/>
      <c r="D909" s="255" t="n"/>
      <c r="E909" s="255" t="n"/>
      <c r="F909" s="255" t="n"/>
      <c r="G909" s="255" t="n"/>
      <c r="H909" s="255" t="n"/>
      <c r="I909" s="255" t="n"/>
      <c r="J909" s="255" t="n"/>
      <c r="K909" s="255" t="n"/>
      <c r="L909" s="255" t="n"/>
      <c r="M909" s="255" t="n"/>
      <c r="N909" s="255" t="n"/>
      <c r="O909" s="255" t="n"/>
      <c r="P909" s="255" t="n"/>
      <c r="Q909" s="255" t="n"/>
      <c r="R909" s="255" t="n"/>
      <c r="S909" s="255" t="n"/>
      <c r="T909" s="255" t="n"/>
      <c r="U909" s="255" t="n"/>
      <c r="V909" s="255" t="n"/>
      <c r="W909" s="255" t="n"/>
      <c r="X909" s="255" t="n"/>
      <c r="Y909" s="255" t="n"/>
      <c r="Z909" s="255" t="n"/>
    </row>
    <row r="910" ht="12.75" customHeight="1">
      <c r="A910" s="333" t="n"/>
      <c r="B910" s="255" t="n"/>
      <c r="C910" s="255" t="n"/>
      <c r="D910" s="255" t="n"/>
      <c r="E910" s="255" t="n"/>
      <c r="F910" s="255" t="n"/>
      <c r="G910" s="255" t="n"/>
      <c r="H910" s="255" t="n"/>
      <c r="I910" s="255" t="n"/>
      <c r="J910" s="255" t="n"/>
      <c r="K910" s="255" t="n"/>
      <c r="L910" s="255" t="n"/>
      <c r="M910" s="255" t="n"/>
      <c r="N910" s="255" t="n"/>
      <c r="O910" s="255" t="n"/>
      <c r="P910" s="255" t="n"/>
      <c r="Q910" s="255" t="n"/>
      <c r="R910" s="255" t="n"/>
      <c r="S910" s="255" t="n"/>
      <c r="T910" s="255" t="n"/>
      <c r="U910" s="255" t="n"/>
      <c r="V910" s="255" t="n"/>
      <c r="W910" s="255" t="n"/>
      <c r="X910" s="255" t="n"/>
      <c r="Y910" s="255" t="n"/>
      <c r="Z910" s="255" t="n"/>
    </row>
    <row r="911" ht="12.75" customHeight="1">
      <c r="A911" s="333" t="n"/>
      <c r="B911" s="255" t="n"/>
      <c r="C911" s="255" t="n"/>
      <c r="D911" s="255" t="n"/>
      <c r="E911" s="255" t="n"/>
      <c r="F911" s="255" t="n"/>
      <c r="G911" s="255" t="n"/>
      <c r="H911" s="255" t="n"/>
      <c r="I911" s="255" t="n"/>
      <c r="J911" s="255" t="n"/>
      <c r="K911" s="255" t="n"/>
      <c r="L911" s="255" t="n"/>
      <c r="M911" s="255" t="n"/>
      <c r="N911" s="255" t="n"/>
      <c r="O911" s="255" t="n"/>
      <c r="P911" s="255" t="n"/>
      <c r="Q911" s="255" t="n"/>
      <c r="R911" s="255" t="n"/>
      <c r="S911" s="255" t="n"/>
      <c r="T911" s="255" t="n"/>
      <c r="U911" s="255" t="n"/>
      <c r="V911" s="255" t="n"/>
      <c r="W911" s="255" t="n"/>
      <c r="X911" s="255" t="n"/>
      <c r="Y911" s="255" t="n"/>
      <c r="Z911" s="255" t="n"/>
    </row>
    <row r="912" ht="12.75" customHeight="1">
      <c r="A912" s="333" t="n"/>
      <c r="B912" s="255" t="n"/>
      <c r="C912" s="255" t="n"/>
      <c r="D912" s="255" t="n"/>
      <c r="E912" s="255" t="n"/>
      <c r="F912" s="255" t="n"/>
      <c r="G912" s="255" t="n"/>
      <c r="H912" s="255" t="n"/>
      <c r="I912" s="255" t="n"/>
      <c r="J912" s="255" t="n"/>
      <c r="K912" s="255" t="n"/>
      <c r="L912" s="255" t="n"/>
      <c r="M912" s="255" t="n"/>
      <c r="N912" s="255" t="n"/>
      <c r="O912" s="255" t="n"/>
      <c r="P912" s="255" t="n"/>
      <c r="Q912" s="255" t="n"/>
      <c r="R912" s="255" t="n"/>
      <c r="S912" s="255" t="n"/>
      <c r="T912" s="255" t="n"/>
      <c r="U912" s="255" t="n"/>
      <c r="V912" s="255" t="n"/>
      <c r="W912" s="255" t="n"/>
      <c r="X912" s="255" t="n"/>
      <c r="Y912" s="255" t="n"/>
      <c r="Z912" s="255" t="n"/>
    </row>
    <row r="913" ht="12.75" customHeight="1">
      <c r="A913" s="333" t="n"/>
      <c r="B913" s="255" t="n"/>
      <c r="C913" s="255" t="n"/>
      <c r="D913" s="255" t="n"/>
      <c r="E913" s="255" t="n"/>
      <c r="F913" s="255" t="n"/>
      <c r="G913" s="255" t="n"/>
      <c r="H913" s="255" t="n"/>
      <c r="I913" s="255" t="n"/>
      <c r="J913" s="255" t="n"/>
      <c r="K913" s="255" t="n"/>
      <c r="L913" s="255" t="n"/>
      <c r="M913" s="255" t="n"/>
      <c r="N913" s="255" t="n"/>
      <c r="O913" s="255" t="n"/>
      <c r="P913" s="255" t="n"/>
      <c r="Q913" s="255" t="n"/>
      <c r="R913" s="255" t="n"/>
      <c r="S913" s="255" t="n"/>
      <c r="T913" s="255" t="n"/>
      <c r="U913" s="255" t="n"/>
      <c r="V913" s="255" t="n"/>
      <c r="W913" s="255" t="n"/>
      <c r="X913" s="255" t="n"/>
      <c r="Y913" s="255" t="n"/>
      <c r="Z913" s="255" t="n"/>
    </row>
    <row r="914" ht="12.75" customHeight="1">
      <c r="A914" s="333" t="n"/>
      <c r="B914" s="255" t="n"/>
      <c r="C914" s="255" t="n"/>
      <c r="D914" s="255" t="n"/>
      <c r="E914" s="255" t="n"/>
      <c r="F914" s="255" t="n"/>
      <c r="G914" s="255" t="n"/>
      <c r="H914" s="255" t="n"/>
      <c r="I914" s="255" t="n"/>
      <c r="J914" s="255" t="n"/>
      <c r="K914" s="255" t="n"/>
      <c r="L914" s="255" t="n"/>
      <c r="M914" s="255" t="n"/>
      <c r="N914" s="255" t="n"/>
      <c r="O914" s="255" t="n"/>
      <c r="P914" s="255" t="n"/>
      <c r="Q914" s="255" t="n"/>
      <c r="R914" s="255" t="n"/>
      <c r="S914" s="255" t="n"/>
      <c r="T914" s="255" t="n"/>
      <c r="U914" s="255" t="n"/>
      <c r="V914" s="255" t="n"/>
      <c r="W914" s="255" t="n"/>
      <c r="X914" s="255" t="n"/>
      <c r="Y914" s="255" t="n"/>
      <c r="Z914" s="255" t="n"/>
    </row>
    <row r="915" ht="12.75" customHeight="1">
      <c r="A915" s="333" t="n"/>
      <c r="B915" s="255" t="n"/>
      <c r="C915" s="255" t="n"/>
      <c r="D915" s="255" t="n"/>
      <c r="E915" s="255" t="n"/>
      <c r="F915" s="255" t="n"/>
      <c r="G915" s="255" t="n"/>
      <c r="H915" s="255" t="n"/>
      <c r="I915" s="255" t="n"/>
      <c r="J915" s="255" t="n"/>
      <c r="K915" s="255" t="n"/>
      <c r="L915" s="255" t="n"/>
      <c r="M915" s="255" t="n"/>
      <c r="N915" s="255" t="n"/>
      <c r="O915" s="255" t="n"/>
      <c r="P915" s="255" t="n"/>
      <c r="Q915" s="255" t="n"/>
      <c r="R915" s="255" t="n"/>
      <c r="S915" s="255" t="n"/>
      <c r="T915" s="255" t="n"/>
      <c r="U915" s="255" t="n"/>
      <c r="V915" s="255" t="n"/>
      <c r="W915" s="255" t="n"/>
      <c r="X915" s="255" t="n"/>
      <c r="Y915" s="255" t="n"/>
      <c r="Z915" s="255" t="n"/>
    </row>
    <row r="916" ht="12.75" customHeight="1">
      <c r="A916" s="333" t="n"/>
      <c r="B916" s="255" t="n"/>
      <c r="C916" s="255" t="n"/>
      <c r="D916" s="255" t="n"/>
      <c r="E916" s="255" t="n"/>
      <c r="F916" s="255" t="n"/>
      <c r="G916" s="255" t="n"/>
      <c r="H916" s="255" t="n"/>
      <c r="I916" s="255" t="n"/>
      <c r="J916" s="255" t="n"/>
      <c r="K916" s="255" t="n"/>
      <c r="L916" s="255" t="n"/>
      <c r="M916" s="255" t="n"/>
      <c r="N916" s="255" t="n"/>
      <c r="O916" s="255" t="n"/>
      <c r="P916" s="255" t="n"/>
      <c r="Q916" s="255" t="n"/>
      <c r="R916" s="255" t="n"/>
      <c r="S916" s="255" t="n"/>
      <c r="T916" s="255" t="n"/>
      <c r="U916" s="255" t="n"/>
      <c r="V916" s="255" t="n"/>
      <c r="W916" s="255" t="n"/>
      <c r="X916" s="255" t="n"/>
      <c r="Y916" s="255" t="n"/>
      <c r="Z916" s="255" t="n"/>
    </row>
    <row r="917" ht="12.75" customHeight="1">
      <c r="A917" s="333" t="n"/>
      <c r="B917" s="255" t="n"/>
      <c r="C917" s="255" t="n"/>
      <c r="D917" s="255" t="n"/>
      <c r="E917" s="255" t="n"/>
      <c r="F917" s="255" t="n"/>
      <c r="G917" s="255" t="n"/>
      <c r="H917" s="255" t="n"/>
      <c r="I917" s="255" t="n"/>
      <c r="J917" s="255" t="n"/>
      <c r="K917" s="255" t="n"/>
      <c r="L917" s="255" t="n"/>
      <c r="M917" s="255" t="n"/>
      <c r="N917" s="255" t="n"/>
      <c r="O917" s="255" t="n"/>
      <c r="P917" s="255" t="n"/>
      <c r="Q917" s="255" t="n"/>
      <c r="R917" s="255" t="n"/>
      <c r="S917" s="255" t="n"/>
      <c r="T917" s="255" t="n"/>
      <c r="U917" s="255" t="n"/>
      <c r="V917" s="255" t="n"/>
      <c r="W917" s="255" t="n"/>
      <c r="X917" s="255" t="n"/>
      <c r="Y917" s="255" t="n"/>
      <c r="Z917" s="255" t="n"/>
    </row>
    <row r="918" ht="12.75" customHeight="1">
      <c r="A918" s="333" t="n"/>
      <c r="B918" s="255" t="n"/>
      <c r="C918" s="255" t="n"/>
      <c r="D918" s="255" t="n"/>
      <c r="E918" s="255" t="n"/>
      <c r="F918" s="255" t="n"/>
      <c r="G918" s="255" t="n"/>
      <c r="H918" s="255" t="n"/>
      <c r="I918" s="255" t="n"/>
      <c r="J918" s="255" t="n"/>
      <c r="K918" s="255" t="n"/>
      <c r="L918" s="255" t="n"/>
      <c r="M918" s="255" t="n"/>
      <c r="N918" s="255" t="n"/>
      <c r="O918" s="255" t="n"/>
      <c r="P918" s="255" t="n"/>
      <c r="Q918" s="255" t="n"/>
      <c r="R918" s="255" t="n"/>
      <c r="S918" s="255" t="n"/>
      <c r="T918" s="255" t="n"/>
      <c r="U918" s="255" t="n"/>
      <c r="V918" s="255" t="n"/>
      <c r="W918" s="255" t="n"/>
      <c r="X918" s="255" t="n"/>
      <c r="Y918" s="255" t="n"/>
      <c r="Z918" s="255" t="n"/>
    </row>
    <row r="919" ht="12.75" customHeight="1">
      <c r="A919" s="333" t="n"/>
      <c r="B919" s="255" t="n"/>
      <c r="C919" s="255" t="n"/>
      <c r="D919" s="255" t="n"/>
      <c r="E919" s="255" t="n"/>
      <c r="F919" s="255" t="n"/>
      <c r="G919" s="255" t="n"/>
      <c r="H919" s="255" t="n"/>
      <c r="I919" s="255" t="n"/>
      <c r="J919" s="255" t="n"/>
      <c r="K919" s="255" t="n"/>
      <c r="L919" s="255" t="n"/>
      <c r="M919" s="255" t="n"/>
      <c r="N919" s="255" t="n"/>
      <c r="O919" s="255" t="n"/>
      <c r="P919" s="255" t="n"/>
      <c r="Q919" s="255" t="n"/>
      <c r="R919" s="255" t="n"/>
      <c r="S919" s="255" t="n"/>
      <c r="T919" s="255" t="n"/>
      <c r="U919" s="255" t="n"/>
      <c r="V919" s="255" t="n"/>
      <c r="W919" s="255" t="n"/>
      <c r="X919" s="255" t="n"/>
      <c r="Y919" s="255" t="n"/>
      <c r="Z919" s="255" t="n"/>
    </row>
    <row r="920" ht="12.75" customHeight="1">
      <c r="A920" s="333" t="n"/>
      <c r="B920" s="255" t="n"/>
      <c r="C920" s="255" t="n"/>
      <c r="D920" s="255" t="n"/>
      <c r="E920" s="255" t="n"/>
      <c r="F920" s="255" t="n"/>
      <c r="G920" s="255" t="n"/>
      <c r="H920" s="255" t="n"/>
      <c r="I920" s="255" t="n"/>
      <c r="J920" s="255" t="n"/>
      <c r="K920" s="255" t="n"/>
      <c r="L920" s="255" t="n"/>
      <c r="M920" s="255" t="n"/>
      <c r="N920" s="255" t="n"/>
      <c r="O920" s="255" t="n"/>
      <c r="P920" s="255" t="n"/>
      <c r="Q920" s="255" t="n"/>
      <c r="R920" s="255" t="n"/>
      <c r="S920" s="255" t="n"/>
      <c r="T920" s="255" t="n"/>
      <c r="U920" s="255" t="n"/>
      <c r="V920" s="255" t="n"/>
      <c r="W920" s="255" t="n"/>
      <c r="X920" s="255" t="n"/>
      <c r="Y920" s="255" t="n"/>
      <c r="Z920" s="255" t="n"/>
    </row>
    <row r="921" ht="12.75" customHeight="1">
      <c r="A921" s="333" t="n"/>
      <c r="B921" s="255" t="n"/>
      <c r="C921" s="255" t="n"/>
      <c r="D921" s="255" t="n"/>
      <c r="E921" s="255" t="n"/>
      <c r="F921" s="255" t="n"/>
      <c r="G921" s="255" t="n"/>
      <c r="H921" s="255" t="n"/>
      <c r="I921" s="255" t="n"/>
      <c r="J921" s="255" t="n"/>
      <c r="K921" s="255" t="n"/>
      <c r="L921" s="255" t="n"/>
      <c r="M921" s="255" t="n"/>
      <c r="N921" s="255" t="n"/>
      <c r="O921" s="255" t="n"/>
      <c r="P921" s="255" t="n"/>
      <c r="Q921" s="255" t="n"/>
      <c r="R921" s="255" t="n"/>
      <c r="S921" s="255" t="n"/>
      <c r="T921" s="255" t="n"/>
      <c r="U921" s="255" t="n"/>
      <c r="V921" s="255" t="n"/>
      <c r="W921" s="255" t="n"/>
      <c r="X921" s="255" t="n"/>
      <c r="Y921" s="255" t="n"/>
      <c r="Z921" s="255" t="n"/>
    </row>
    <row r="922" ht="12.75" customHeight="1">
      <c r="A922" s="333" t="n"/>
      <c r="B922" s="255" t="n"/>
      <c r="C922" s="255" t="n"/>
      <c r="D922" s="255" t="n"/>
      <c r="E922" s="255" t="n"/>
      <c r="F922" s="255" t="n"/>
      <c r="G922" s="255" t="n"/>
      <c r="H922" s="255" t="n"/>
      <c r="I922" s="255" t="n"/>
      <c r="J922" s="255" t="n"/>
      <c r="K922" s="255" t="n"/>
      <c r="L922" s="255" t="n"/>
      <c r="M922" s="255" t="n"/>
      <c r="N922" s="255" t="n"/>
      <c r="O922" s="255" t="n"/>
      <c r="P922" s="255" t="n"/>
      <c r="Q922" s="255" t="n"/>
      <c r="R922" s="255" t="n"/>
      <c r="S922" s="255" t="n"/>
      <c r="T922" s="255" t="n"/>
      <c r="U922" s="255" t="n"/>
      <c r="V922" s="255" t="n"/>
      <c r="W922" s="255" t="n"/>
      <c r="X922" s="255" t="n"/>
      <c r="Y922" s="255" t="n"/>
      <c r="Z922" s="255" t="n"/>
    </row>
    <row r="923" ht="12.75" customHeight="1">
      <c r="A923" s="333" t="n"/>
      <c r="B923" s="255" t="n"/>
      <c r="C923" s="255" t="n"/>
      <c r="D923" s="255" t="n"/>
      <c r="E923" s="255" t="n"/>
      <c r="F923" s="255" t="n"/>
      <c r="G923" s="255" t="n"/>
      <c r="H923" s="255" t="n"/>
      <c r="I923" s="255" t="n"/>
      <c r="J923" s="255" t="n"/>
      <c r="K923" s="255" t="n"/>
      <c r="L923" s="255" t="n"/>
      <c r="M923" s="255" t="n"/>
      <c r="N923" s="255" t="n"/>
      <c r="O923" s="255" t="n"/>
      <c r="P923" s="255" t="n"/>
      <c r="Q923" s="255" t="n"/>
      <c r="R923" s="255" t="n"/>
      <c r="S923" s="255" t="n"/>
      <c r="T923" s="255" t="n"/>
      <c r="U923" s="255" t="n"/>
      <c r="V923" s="255" t="n"/>
      <c r="W923" s="255" t="n"/>
      <c r="X923" s="255" t="n"/>
      <c r="Y923" s="255" t="n"/>
      <c r="Z923" s="255" t="n"/>
    </row>
    <row r="924" ht="12.75" customHeight="1">
      <c r="A924" s="333" t="n"/>
      <c r="B924" s="255" t="n"/>
      <c r="C924" s="255" t="n"/>
      <c r="D924" s="255" t="n"/>
      <c r="E924" s="255" t="n"/>
      <c r="F924" s="255" t="n"/>
      <c r="G924" s="255" t="n"/>
      <c r="H924" s="255" t="n"/>
      <c r="I924" s="255" t="n"/>
      <c r="J924" s="255" t="n"/>
      <c r="K924" s="255" t="n"/>
      <c r="L924" s="255" t="n"/>
      <c r="M924" s="255" t="n"/>
      <c r="N924" s="255" t="n"/>
      <c r="O924" s="255" t="n"/>
      <c r="P924" s="255" t="n"/>
      <c r="Q924" s="255" t="n"/>
      <c r="R924" s="255" t="n"/>
      <c r="S924" s="255" t="n"/>
      <c r="T924" s="255" t="n"/>
      <c r="U924" s="255" t="n"/>
      <c r="V924" s="255" t="n"/>
      <c r="W924" s="255" t="n"/>
      <c r="X924" s="255" t="n"/>
      <c r="Y924" s="255" t="n"/>
      <c r="Z924" s="255" t="n"/>
    </row>
    <row r="925" ht="12.75" customHeight="1">
      <c r="A925" s="333" t="n"/>
      <c r="B925" s="255" t="n"/>
      <c r="C925" s="255" t="n"/>
      <c r="D925" s="255" t="n"/>
      <c r="E925" s="255" t="n"/>
      <c r="F925" s="255" t="n"/>
      <c r="G925" s="255" t="n"/>
      <c r="H925" s="255" t="n"/>
      <c r="I925" s="255" t="n"/>
      <c r="J925" s="255" t="n"/>
      <c r="K925" s="255" t="n"/>
      <c r="L925" s="255" t="n"/>
      <c r="M925" s="255" t="n"/>
      <c r="N925" s="255" t="n"/>
      <c r="O925" s="255" t="n"/>
      <c r="P925" s="255" t="n"/>
      <c r="Q925" s="255" t="n"/>
      <c r="R925" s="255" t="n"/>
      <c r="S925" s="255" t="n"/>
      <c r="T925" s="255" t="n"/>
      <c r="U925" s="255" t="n"/>
      <c r="V925" s="255" t="n"/>
      <c r="W925" s="255" t="n"/>
      <c r="X925" s="255" t="n"/>
      <c r="Y925" s="255" t="n"/>
      <c r="Z925" s="255" t="n"/>
    </row>
    <row r="926" ht="12.75" customHeight="1">
      <c r="A926" s="333" t="n"/>
      <c r="B926" s="255" t="n"/>
      <c r="C926" s="255" t="n"/>
      <c r="D926" s="255" t="n"/>
      <c r="E926" s="255" t="n"/>
      <c r="F926" s="255" t="n"/>
      <c r="G926" s="255" t="n"/>
      <c r="H926" s="255" t="n"/>
      <c r="I926" s="255" t="n"/>
      <c r="J926" s="255" t="n"/>
      <c r="K926" s="255" t="n"/>
      <c r="L926" s="255" t="n"/>
      <c r="M926" s="255" t="n"/>
      <c r="N926" s="255" t="n"/>
      <c r="O926" s="255" t="n"/>
      <c r="P926" s="255" t="n"/>
      <c r="Q926" s="255" t="n"/>
      <c r="R926" s="255" t="n"/>
      <c r="S926" s="255" t="n"/>
      <c r="T926" s="255" t="n"/>
      <c r="U926" s="255" t="n"/>
      <c r="V926" s="255" t="n"/>
      <c r="W926" s="255" t="n"/>
      <c r="X926" s="255" t="n"/>
      <c r="Y926" s="255" t="n"/>
      <c r="Z926" s="255" t="n"/>
    </row>
    <row r="927" ht="12.75" customHeight="1">
      <c r="A927" s="333" t="n"/>
      <c r="B927" s="255" t="n"/>
      <c r="C927" s="255" t="n"/>
      <c r="D927" s="255" t="n"/>
      <c r="E927" s="255" t="n"/>
      <c r="F927" s="255" t="n"/>
      <c r="G927" s="255" t="n"/>
      <c r="H927" s="255" t="n"/>
      <c r="I927" s="255" t="n"/>
      <c r="J927" s="255" t="n"/>
      <c r="K927" s="255" t="n"/>
      <c r="L927" s="255" t="n"/>
      <c r="M927" s="255" t="n"/>
      <c r="N927" s="255" t="n"/>
      <c r="O927" s="255" t="n"/>
      <c r="P927" s="255" t="n"/>
      <c r="Q927" s="255" t="n"/>
      <c r="R927" s="255" t="n"/>
      <c r="S927" s="255" t="n"/>
      <c r="T927" s="255" t="n"/>
      <c r="U927" s="255" t="n"/>
      <c r="V927" s="255" t="n"/>
      <c r="W927" s="255" t="n"/>
      <c r="X927" s="255" t="n"/>
      <c r="Y927" s="255" t="n"/>
      <c r="Z927" s="255" t="n"/>
    </row>
    <row r="928" ht="12.75" customHeight="1">
      <c r="A928" s="333" t="n"/>
      <c r="B928" s="255" t="n"/>
      <c r="C928" s="255" t="n"/>
      <c r="D928" s="255" t="n"/>
      <c r="E928" s="255" t="n"/>
      <c r="F928" s="255" t="n"/>
      <c r="G928" s="255" t="n"/>
      <c r="H928" s="255" t="n"/>
      <c r="I928" s="255" t="n"/>
      <c r="J928" s="255" t="n"/>
      <c r="K928" s="255" t="n"/>
      <c r="L928" s="255" t="n"/>
      <c r="M928" s="255" t="n"/>
      <c r="N928" s="255" t="n"/>
      <c r="O928" s="255" t="n"/>
      <c r="P928" s="255" t="n"/>
      <c r="Q928" s="255" t="n"/>
      <c r="R928" s="255" t="n"/>
      <c r="S928" s="255" t="n"/>
      <c r="T928" s="255" t="n"/>
      <c r="U928" s="255" t="n"/>
      <c r="V928" s="255" t="n"/>
      <c r="W928" s="255" t="n"/>
      <c r="X928" s="255" t="n"/>
      <c r="Y928" s="255" t="n"/>
      <c r="Z928" s="255" t="n"/>
    </row>
    <row r="929" ht="12.75" customHeight="1">
      <c r="A929" s="333" t="n"/>
      <c r="B929" s="255" t="n"/>
      <c r="C929" s="255" t="n"/>
      <c r="D929" s="255" t="n"/>
      <c r="E929" s="255" t="n"/>
      <c r="F929" s="255" t="n"/>
      <c r="G929" s="255" t="n"/>
      <c r="H929" s="255" t="n"/>
      <c r="I929" s="255" t="n"/>
      <c r="J929" s="255" t="n"/>
      <c r="K929" s="255" t="n"/>
      <c r="L929" s="255" t="n"/>
      <c r="M929" s="255" t="n"/>
      <c r="N929" s="255" t="n"/>
      <c r="O929" s="255" t="n"/>
      <c r="P929" s="255" t="n"/>
      <c r="Q929" s="255" t="n"/>
      <c r="R929" s="255" t="n"/>
      <c r="S929" s="255" t="n"/>
      <c r="T929" s="255" t="n"/>
      <c r="U929" s="255" t="n"/>
      <c r="V929" s="255" t="n"/>
      <c r="W929" s="255" t="n"/>
      <c r="X929" s="255" t="n"/>
      <c r="Y929" s="255" t="n"/>
      <c r="Z929" s="255" t="n"/>
    </row>
    <row r="930" ht="12.75" customHeight="1">
      <c r="A930" s="333" t="n"/>
      <c r="B930" s="255" t="n"/>
      <c r="C930" s="255" t="n"/>
      <c r="D930" s="255" t="n"/>
      <c r="E930" s="255" t="n"/>
      <c r="F930" s="255" t="n"/>
      <c r="G930" s="255" t="n"/>
      <c r="H930" s="255" t="n"/>
      <c r="I930" s="255" t="n"/>
      <c r="J930" s="255" t="n"/>
      <c r="K930" s="255" t="n"/>
      <c r="L930" s="255" t="n"/>
      <c r="M930" s="255" t="n"/>
      <c r="N930" s="255" t="n"/>
      <c r="O930" s="255" t="n"/>
      <c r="P930" s="255" t="n"/>
      <c r="Q930" s="255" t="n"/>
      <c r="R930" s="255" t="n"/>
      <c r="S930" s="255" t="n"/>
      <c r="T930" s="255" t="n"/>
      <c r="U930" s="255" t="n"/>
      <c r="V930" s="255" t="n"/>
      <c r="W930" s="255" t="n"/>
      <c r="X930" s="255" t="n"/>
      <c r="Y930" s="255" t="n"/>
      <c r="Z930" s="255" t="n"/>
    </row>
    <row r="931" ht="12.75" customHeight="1">
      <c r="A931" s="333" t="n"/>
      <c r="B931" s="255" t="n"/>
      <c r="C931" s="255" t="n"/>
      <c r="D931" s="255" t="n"/>
      <c r="E931" s="255" t="n"/>
      <c r="F931" s="255" t="n"/>
      <c r="G931" s="255" t="n"/>
      <c r="H931" s="255" t="n"/>
      <c r="I931" s="255" t="n"/>
      <c r="J931" s="255" t="n"/>
      <c r="K931" s="255" t="n"/>
      <c r="L931" s="255" t="n"/>
      <c r="M931" s="255" t="n"/>
      <c r="N931" s="255" t="n"/>
      <c r="O931" s="255" t="n"/>
      <c r="P931" s="255" t="n"/>
      <c r="Q931" s="255" t="n"/>
      <c r="R931" s="255" t="n"/>
      <c r="S931" s="255" t="n"/>
      <c r="T931" s="255" t="n"/>
      <c r="U931" s="255" t="n"/>
      <c r="V931" s="255" t="n"/>
      <c r="W931" s="255" t="n"/>
      <c r="X931" s="255" t="n"/>
      <c r="Y931" s="255" t="n"/>
      <c r="Z931" s="255" t="n"/>
    </row>
    <row r="932" ht="12.75" customHeight="1">
      <c r="A932" s="333" t="n"/>
      <c r="B932" s="255" t="n"/>
      <c r="C932" s="255" t="n"/>
      <c r="D932" s="255" t="n"/>
      <c r="E932" s="255" t="n"/>
      <c r="F932" s="255" t="n"/>
      <c r="G932" s="255" t="n"/>
      <c r="H932" s="255" t="n"/>
      <c r="I932" s="255" t="n"/>
      <c r="J932" s="255" t="n"/>
      <c r="K932" s="255" t="n"/>
      <c r="L932" s="255" t="n"/>
      <c r="M932" s="255" t="n"/>
      <c r="N932" s="255" t="n"/>
      <c r="O932" s="255" t="n"/>
      <c r="P932" s="255" t="n"/>
      <c r="Q932" s="255" t="n"/>
      <c r="R932" s="255" t="n"/>
      <c r="S932" s="255" t="n"/>
      <c r="T932" s="255" t="n"/>
      <c r="U932" s="255" t="n"/>
      <c r="V932" s="255" t="n"/>
      <c r="W932" s="255" t="n"/>
      <c r="X932" s="255" t="n"/>
      <c r="Y932" s="255" t="n"/>
      <c r="Z932" s="255" t="n"/>
    </row>
    <row r="933" ht="12.75" customHeight="1">
      <c r="A933" s="333" t="n"/>
      <c r="B933" s="255" t="n"/>
      <c r="C933" s="255" t="n"/>
      <c r="D933" s="255" t="n"/>
      <c r="E933" s="255" t="n"/>
      <c r="F933" s="255" t="n"/>
      <c r="G933" s="255" t="n"/>
      <c r="H933" s="255" t="n"/>
      <c r="I933" s="255" t="n"/>
      <c r="J933" s="255" t="n"/>
      <c r="K933" s="255" t="n"/>
      <c r="L933" s="255" t="n"/>
      <c r="M933" s="255" t="n"/>
      <c r="N933" s="255" t="n"/>
      <c r="O933" s="255" t="n"/>
      <c r="P933" s="255" t="n"/>
      <c r="Q933" s="255" t="n"/>
      <c r="R933" s="255" t="n"/>
      <c r="S933" s="255" t="n"/>
      <c r="T933" s="255" t="n"/>
      <c r="U933" s="255" t="n"/>
      <c r="V933" s="255" t="n"/>
      <c r="W933" s="255" t="n"/>
      <c r="X933" s="255" t="n"/>
      <c r="Y933" s="255" t="n"/>
      <c r="Z933" s="255" t="n"/>
    </row>
    <row r="934" ht="12.75" customHeight="1">
      <c r="A934" s="333" t="n"/>
      <c r="B934" s="255" t="n"/>
      <c r="C934" s="255" t="n"/>
      <c r="D934" s="255" t="n"/>
      <c r="E934" s="255" t="n"/>
      <c r="F934" s="255" t="n"/>
      <c r="G934" s="255" t="n"/>
      <c r="H934" s="255" t="n"/>
      <c r="I934" s="255" t="n"/>
      <c r="J934" s="255" t="n"/>
      <c r="K934" s="255" t="n"/>
      <c r="L934" s="255" t="n"/>
      <c r="M934" s="255" t="n"/>
      <c r="N934" s="255" t="n"/>
      <c r="O934" s="255" t="n"/>
      <c r="P934" s="255" t="n"/>
      <c r="Q934" s="255" t="n"/>
      <c r="R934" s="255" t="n"/>
      <c r="S934" s="255" t="n"/>
      <c r="T934" s="255" t="n"/>
      <c r="U934" s="255" t="n"/>
      <c r="V934" s="255" t="n"/>
      <c r="W934" s="255" t="n"/>
      <c r="X934" s="255" t="n"/>
      <c r="Y934" s="255" t="n"/>
      <c r="Z934" s="255" t="n"/>
    </row>
    <row r="935" ht="12.75" customHeight="1">
      <c r="A935" s="333" t="n"/>
      <c r="B935" s="255" t="n"/>
      <c r="C935" s="255" t="n"/>
      <c r="D935" s="255" t="n"/>
      <c r="E935" s="255" t="n"/>
      <c r="F935" s="255" t="n"/>
      <c r="G935" s="255" t="n"/>
      <c r="H935" s="255" t="n"/>
      <c r="I935" s="255" t="n"/>
      <c r="J935" s="255" t="n"/>
      <c r="K935" s="255" t="n"/>
      <c r="L935" s="255" t="n"/>
      <c r="M935" s="255" t="n"/>
      <c r="N935" s="255" t="n"/>
      <c r="O935" s="255" t="n"/>
      <c r="P935" s="255" t="n"/>
      <c r="Q935" s="255" t="n"/>
      <c r="R935" s="255" t="n"/>
      <c r="S935" s="255" t="n"/>
      <c r="T935" s="255" t="n"/>
      <c r="U935" s="255" t="n"/>
      <c r="V935" s="255" t="n"/>
      <c r="W935" s="255" t="n"/>
      <c r="X935" s="255" t="n"/>
      <c r="Y935" s="255" t="n"/>
      <c r="Z935" s="255" t="n"/>
    </row>
    <row r="936" ht="12.75" customHeight="1">
      <c r="A936" s="333" t="n"/>
      <c r="B936" s="255" t="n"/>
      <c r="C936" s="255" t="n"/>
      <c r="D936" s="255" t="n"/>
      <c r="E936" s="255" t="n"/>
      <c r="F936" s="255" t="n"/>
      <c r="G936" s="255" t="n"/>
      <c r="H936" s="255" t="n"/>
      <c r="I936" s="255" t="n"/>
      <c r="J936" s="255" t="n"/>
      <c r="K936" s="255" t="n"/>
      <c r="L936" s="255" t="n"/>
      <c r="M936" s="255" t="n"/>
      <c r="N936" s="255" t="n"/>
      <c r="O936" s="255" t="n"/>
      <c r="P936" s="255" t="n"/>
      <c r="Q936" s="255" t="n"/>
      <c r="R936" s="255" t="n"/>
      <c r="S936" s="255" t="n"/>
      <c r="T936" s="255" t="n"/>
      <c r="U936" s="255" t="n"/>
      <c r="V936" s="255" t="n"/>
      <c r="W936" s="255" t="n"/>
      <c r="X936" s="255" t="n"/>
      <c r="Y936" s="255" t="n"/>
      <c r="Z936" s="255" t="n"/>
    </row>
    <row r="937" ht="12.75" customHeight="1">
      <c r="A937" s="333" t="n"/>
      <c r="B937" s="255" t="n"/>
      <c r="C937" s="255" t="n"/>
      <c r="D937" s="255" t="n"/>
      <c r="E937" s="255" t="n"/>
      <c r="F937" s="255" t="n"/>
      <c r="G937" s="255" t="n"/>
      <c r="H937" s="255" t="n"/>
      <c r="I937" s="255" t="n"/>
      <c r="J937" s="255" t="n"/>
      <c r="K937" s="255" t="n"/>
      <c r="L937" s="255" t="n"/>
      <c r="M937" s="255" t="n"/>
      <c r="N937" s="255" t="n"/>
      <c r="O937" s="255" t="n"/>
      <c r="P937" s="255" t="n"/>
      <c r="Q937" s="255" t="n"/>
      <c r="R937" s="255" t="n"/>
      <c r="S937" s="255" t="n"/>
      <c r="T937" s="255" t="n"/>
      <c r="U937" s="255" t="n"/>
      <c r="V937" s="255" t="n"/>
      <c r="W937" s="255" t="n"/>
      <c r="X937" s="255" t="n"/>
      <c r="Y937" s="255" t="n"/>
      <c r="Z937" s="255" t="n"/>
    </row>
    <row r="938" ht="12.75" customHeight="1">
      <c r="A938" s="333" t="n"/>
      <c r="B938" s="255" t="n"/>
      <c r="C938" s="255" t="n"/>
      <c r="D938" s="255" t="n"/>
      <c r="E938" s="255" t="n"/>
      <c r="F938" s="255" t="n"/>
      <c r="G938" s="255" t="n"/>
      <c r="H938" s="255" t="n"/>
      <c r="I938" s="255" t="n"/>
      <c r="J938" s="255" t="n"/>
      <c r="K938" s="255" t="n"/>
      <c r="L938" s="255" t="n"/>
      <c r="M938" s="255" t="n"/>
      <c r="N938" s="255" t="n"/>
      <c r="O938" s="255" t="n"/>
      <c r="P938" s="255" t="n"/>
      <c r="Q938" s="255" t="n"/>
      <c r="R938" s="255" t="n"/>
      <c r="S938" s="255" t="n"/>
      <c r="T938" s="255" t="n"/>
      <c r="U938" s="255" t="n"/>
      <c r="V938" s="255" t="n"/>
      <c r="W938" s="255" t="n"/>
      <c r="X938" s="255" t="n"/>
      <c r="Y938" s="255" t="n"/>
      <c r="Z938" s="255" t="n"/>
    </row>
    <row r="939" ht="12.75" customHeight="1">
      <c r="A939" s="333" t="n"/>
      <c r="B939" s="255" t="n"/>
      <c r="C939" s="255" t="n"/>
      <c r="D939" s="255" t="n"/>
      <c r="E939" s="255" t="n"/>
      <c r="F939" s="255" t="n"/>
      <c r="G939" s="255" t="n"/>
      <c r="H939" s="255" t="n"/>
      <c r="I939" s="255" t="n"/>
      <c r="J939" s="255" t="n"/>
      <c r="K939" s="255" t="n"/>
      <c r="L939" s="255" t="n"/>
      <c r="M939" s="255" t="n"/>
      <c r="N939" s="255" t="n"/>
      <c r="O939" s="255" t="n"/>
      <c r="P939" s="255" t="n"/>
      <c r="Q939" s="255" t="n"/>
      <c r="R939" s="255" t="n"/>
      <c r="S939" s="255" t="n"/>
      <c r="T939" s="255" t="n"/>
      <c r="U939" s="255" t="n"/>
      <c r="V939" s="255" t="n"/>
      <c r="W939" s="255" t="n"/>
      <c r="X939" s="255" t="n"/>
      <c r="Y939" s="255" t="n"/>
      <c r="Z939" s="255" t="n"/>
    </row>
    <row r="940" ht="12.75" customHeight="1">
      <c r="A940" s="333" t="n"/>
      <c r="B940" s="255" t="n"/>
      <c r="C940" s="255" t="n"/>
      <c r="D940" s="255" t="n"/>
      <c r="E940" s="255" t="n"/>
      <c r="F940" s="255" t="n"/>
      <c r="G940" s="255" t="n"/>
      <c r="H940" s="255" t="n"/>
      <c r="I940" s="255" t="n"/>
      <c r="J940" s="255" t="n"/>
      <c r="K940" s="255" t="n"/>
      <c r="L940" s="255" t="n"/>
      <c r="M940" s="255" t="n"/>
      <c r="N940" s="255" t="n"/>
      <c r="O940" s="255" t="n"/>
      <c r="P940" s="255" t="n"/>
      <c r="Q940" s="255" t="n"/>
      <c r="R940" s="255" t="n"/>
      <c r="S940" s="255" t="n"/>
      <c r="T940" s="255" t="n"/>
      <c r="U940" s="255" t="n"/>
      <c r="V940" s="255" t="n"/>
      <c r="W940" s="255" t="n"/>
      <c r="X940" s="255" t="n"/>
      <c r="Y940" s="255" t="n"/>
      <c r="Z940" s="255" t="n"/>
    </row>
    <row r="941" ht="12.75" customHeight="1">
      <c r="A941" s="333" t="n"/>
      <c r="B941" s="255" t="n"/>
      <c r="C941" s="255" t="n"/>
      <c r="D941" s="255" t="n"/>
      <c r="E941" s="255" t="n"/>
      <c r="F941" s="255" t="n"/>
      <c r="G941" s="255" t="n"/>
      <c r="H941" s="255" t="n"/>
      <c r="I941" s="255" t="n"/>
      <c r="J941" s="255" t="n"/>
      <c r="K941" s="255" t="n"/>
      <c r="L941" s="255" t="n"/>
      <c r="M941" s="255" t="n"/>
      <c r="N941" s="255" t="n"/>
      <c r="O941" s="255" t="n"/>
      <c r="P941" s="255" t="n"/>
      <c r="Q941" s="255" t="n"/>
      <c r="R941" s="255" t="n"/>
      <c r="S941" s="255" t="n"/>
      <c r="T941" s="255" t="n"/>
      <c r="U941" s="255" t="n"/>
      <c r="V941" s="255" t="n"/>
      <c r="W941" s="255" t="n"/>
      <c r="X941" s="255" t="n"/>
      <c r="Y941" s="255" t="n"/>
      <c r="Z941" s="255" t="n"/>
    </row>
    <row r="942" ht="12.75" customHeight="1">
      <c r="A942" s="333" t="n"/>
      <c r="B942" s="255" t="n"/>
      <c r="C942" s="255" t="n"/>
      <c r="D942" s="255" t="n"/>
      <c r="E942" s="255" t="n"/>
      <c r="F942" s="255" t="n"/>
      <c r="G942" s="255" t="n"/>
      <c r="H942" s="255" t="n"/>
      <c r="I942" s="255" t="n"/>
      <c r="J942" s="255" t="n"/>
      <c r="K942" s="255" t="n"/>
      <c r="L942" s="255" t="n"/>
      <c r="M942" s="255" t="n"/>
      <c r="N942" s="255" t="n"/>
      <c r="O942" s="255" t="n"/>
      <c r="P942" s="255" t="n"/>
      <c r="Q942" s="255" t="n"/>
      <c r="R942" s="255" t="n"/>
      <c r="S942" s="255" t="n"/>
      <c r="T942" s="255" t="n"/>
      <c r="U942" s="255" t="n"/>
      <c r="V942" s="255" t="n"/>
      <c r="W942" s="255" t="n"/>
      <c r="X942" s="255" t="n"/>
      <c r="Y942" s="255" t="n"/>
      <c r="Z942" s="255" t="n"/>
    </row>
    <row r="943" ht="12.75" customHeight="1">
      <c r="A943" s="333" t="n"/>
      <c r="B943" s="255" t="n"/>
      <c r="C943" s="255" t="n"/>
      <c r="D943" s="255" t="n"/>
      <c r="E943" s="255" t="n"/>
      <c r="F943" s="255" t="n"/>
      <c r="G943" s="255" t="n"/>
      <c r="H943" s="255" t="n"/>
      <c r="I943" s="255" t="n"/>
      <c r="J943" s="255" t="n"/>
      <c r="K943" s="255" t="n"/>
      <c r="L943" s="255" t="n"/>
      <c r="M943" s="255" t="n"/>
      <c r="N943" s="255" t="n"/>
      <c r="O943" s="255" t="n"/>
      <c r="P943" s="255" t="n"/>
      <c r="Q943" s="255" t="n"/>
      <c r="R943" s="255" t="n"/>
      <c r="S943" s="255" t="n"/>
      <c r="T943" s="255" t="n"/>
      <c r="U943" s="255" t="n"/>
      <c r="V943" s="255" t="n"/>
      <c r="W943" s="255" t="n"/>
      <c r="X943" s="255" t="n"/>
      <c r="Y943" s="255" t="n"/>
      <c r="Z943" s="255" t="n"/>
    </row>
    <row r="944" ht="12.75" customHeight="1">
      <c r="A944" s="333" t="n"/>
      <c r="B944" s="255" t="n"/>
      <c r="C944" s="255" t="n"/>
      <c r="D944" s="255" t="n"/>
      <c r="E944" s="255" t="n"/>
      <c r="F944" s="255" t="n"/>
      <c r="G944" s="255" t="n"/>
      <c r="H944" s="255" t="n"/>
      <c r="I944" s="255" t="n"/>
      <c r="J944" s="255" t="n"/>
      <c r="K944" s="255" t="n"/>
      <c r="L944" s="255" t="n"/>
      <c r="M944" s="255" t="n"/>
      <c r="N944" s="255" t="n"/>
      <c r="O944" s="255" t="n"/>
      <c r="P944" s="255" t="n"/>
      <c r="Q944" s="255" t="n"/>
      <c r="R944" s="255" t="n"/>
      <c r="S944" s="255" t="n"/>
      <c r="T944" s="255" t="n"/>
      <c r="U944" s="255" t="n"/>
      <c r="V944" s="255" t="n"/>
      <c r="W944" s="255" t="n"/>
      <c r="X944" s="255" t="n"/>
      <c r="Y944" s="255" t="n"/>
      <c r="Z944" s="255" t="n"/>
    </row>
    <row r="945" ht="12.75" customHeight="1">
      <c r="A945" s="333" t="n"/>
      <c r="B945" s="255" t="n"/>
      <c r="C945" s="255" t="n"/>
      <c r="D945" s="255" t="n"/>
      <c r="E945" s="255" t="n"/>
      <c r="F945" s="255" t="n"/>
      <c r="G945" s="255" t="n"/>
      <c r="H945" s="255" t="n"/>
      <c r="I945" s="255" t="n"/>
      <c r="J945" s="255" t="n"/>
      <c r="K945" s="255" t="n"/>
      <c r="L945" s="255" t="n"/>
      <c r="M945" s="255" t="n"/>
      <c r="N945" s="255" t="n"/>
      <c r="O945" s="255" t="n"/>
      <c r="P945" s="255" t="n"/>
      <c r="Q945" s="255" t="n"/>
      <c r="R945" s="255" t="n"/>
      <c r="S945" s="255" t="n"/>
      <c r="T945" s="255" t="n"/>
      <c r="U945" s="255" t="n"/>
      <c r="V945" s="255" t="n"/>
      <c r="W945" s="255" t="n"/>
      <c r="X945" s="255" t="n"/>
      <c r="Y945" s="255" t="n"/>
      <c r="Z945" s="255" t="n"/>
    </row>
    <row r="946" ht="12.75" customHeight="1">
      <c r="A946" s="333" t="n"/>
      <c r="B946" s="255" t="n"/>
      <c r="C946" s="255" t="n"/>
      <c r="D946" s="255" t="n"/>
      <c r="E946" s="255" t="n"/>
      <c r="F946" s="255" t="n"/>
      <c r="G946" s="255" t="n"/>
      <c r="H946" s="255" t="n"/>
      <c r="I946" s="255" t="n"/>
      <c r="J946" s="255" t="n"/>
      <c r="K946" s="255" t="n"/>
      <c r="L946" s="255" t="n"/>
      <c r="M946" s="255" t="n"/>
      <c r="N946" s="255" t="n"/>
      <c r="O946" s="255" t="n"/>
      <c r="P946" s="255" t="n"/>
      <c r="Q946" s="255" t="n"/>
      <c r="R946" s="255" t="n"/>
      <c r="S946" s="255" t="n"/>
      <c r="T946" s="255" t="n"/>
      <c r="U946" s="255" t="n"/>
      <c r="V946" s="255" t="n"/>
      <c r="W946" s="255" t="n"/>
      <c r="X946" s="255" t="n"/>
      <c r="Y946" s="255" t="n"/>
      <c r="Z946" s="255" t="n"/>
    </row>
    <row r="947" ht="12.75" customHeight="1">
      <c r="A947" s="333" t="n"/>
      <c r="B947" s="255" t="n"/>
      <c r="C947" s="255" t="n"/>
      <c r="D947" s="255" t="n"/>
      <c r="E947" s="255" t="n"/>
      <c r="F947" s="255" t="n"/>
      <c r="G947" s="255" t="n"/>
      <c r="H947" s="255" t="n"/>
      <c r="I947" s="255" t="n"/>
      <c r="J947" s="255" t="n"/>
      <c r="K947" s="255" t="n"/>
      <c r="L947" s="255" t="n"/>
      <c r="M947" s="255" t="n"/>
      <c r="N947" s="255" t="n"/>
      <c r="O947" s="255" t="n"/>
      <c r="P947" s="255" t="n"/>
      <c r="Q947" s="255" t="n"/>
      <c r="R947" s="255" t="n"/>
      <c r="S947" s="255" t="n"/>
      <c r="T947" s="255" t="n"/>
      <c r="U947" s="255" t="n"/>
      <c r="V947" s="255" t="n"/>
      <c r="W947" s="255" t="n"/>
      <c r="X947" s="255" t="n"/>
      <c r="Y947" s="255" t="n"/>
      <c r="Z947" s="255" t="n"/>
    </row>
    <row r="948" ht="12.75" customHeight="1">
      <c r="A948" s="333" t="n"/>
      <c r="B948" s="255" t="n"/>
      <c r="C948" s="255" t="n"/>
      <c r="D948" s="255" t="n"/>
      <c r="E948" s="255" t="n"/>
      <c r="F948" s="255" t="n"/>
      <c r="G948" s="255" t="n"/>
      <c r="H948" s="255" t="n"/>
      <c r="I948" s="255" t="n"/>
      <c r="J948" s="255" t="n"/>
      <c r="K948" s="255" t="n"/>
      <c r="L948" s="255" t="n"/>
      <c r="M948" s="255" t="n"/>
      <c r="N948" s="255" t="n"/>
      <c r="O948" s="255" t="n"/>
      <c r="P948" s="255" t="n"/>
      <c r="Q948" s="255" t="n"/>
      <c r="R948" s="255" t="n"/>
      <c r="S948" s="255" t="n"/>
      <c r="T948" s="255" t="n"/>
      <c r="U948" s="255" t="n"/>
      <c r="V948" s="255" t="n"/>
      <c r="W948" s="255" t="n"/>
      <c r="X948" s="255" t="n"/>
      <c r="Y948" s="255" t="n"/>
      <c r="Z948" s="255" t="n"/>
    </row>
    <row r="949" ht="12.75" customHeight="1">
      <c r="A949" s="333" t="n"/>
      <c r="B949" s="255" t="n"/>
      <c r="C949" s="255" t="n"/>
      <c r="D949" s="255" t="n"/>
      <c r="E949" s="255" t="n"/>
      <c r="F949" s="255" t="n"/>
      <c r="G949" s="255" t="n"/>
      <c r="H949" s="255" t="n"/>
      <c r="I949" s="255" t="n"/>
      <c r="J949" s="255" t="n"/>
      <c r="K949" s="255" t="n"/>
      <c r="L949" s="255" t="n"/>
      <c r="M949" s="255" t="n"/>
      <c r="N949" s="255" t="n"/>
      <c r="O949" s="255" t="n"/>
      <c r="P949" s="255" t="n"/>
      <c r="Q949" s="255" t="n"/>
      <c r="R949" s="255" t="n"/>
      <c r="S949" s="255" t="n"/>
      <c r="T949" s="255" t="n"/>
      <c r="U949" s="255" t="n"/>
      <c r="V949" s="255" t="n"/>
      <c r="W949" s="255" t="n"/>
      <c r="X949" s="255" t="n"/>
      <c r="Y949" s="255" t="n"/>
      <c r="Z949" s="255" t="n"/>
    </row>
    <row r="950" ht="12.75" customHeight="1">
      <c r="A950" s="333" t="n"/>
      <c r="B950" s="255" t="n"/>
      <c r="C950" s="255" t="n"/>
      <c r="D950" s="255" t="n"/>
      <c r="E950" s="255" t="n"/>
      <c r="F950" s="255" t="n"/>
      <c r="G950" s="255" t="n"/>
      <c r="H950" s="255" t="n"/>
      <c r="I950" s="255" t="n"/>
      <c r="J950" s="255" t="n"/>
      <c r="K950" s="255" t="n"/>
      <c r="L950" s="255" t="n"/>
      <c r="M950" s="255" t="n"/>
      <c r="N950" s="255" t="n"/>
      <c r="O950" s="255" t="n"/>
      <c r="P950" s="255" t="n"/>
      <c r="Q950" s="255" t="n"/>
      <c r="R950" s="255" t="n"/>
      <c r="S950" s="255" t="n"/>
      <c r="T950" s="255" t="n"/>
      <c r="U950" s="255" t="n"/>
      <c r="V950" s="255" t="n"/>
      <c r="W950" s="255" t="n"/>
      <c r="X950" s="255" t="n"/>
      <c r="Y950" s="255" t="n"/>
      <c r="Z950" s="255" t="n"/>
    </row>
    <row r="951" ht="12.75" customHeight="1">
      <c r="A951" s="333" t="n"/>
      <c r="B951" s="255" t="n"/>
      <c r="C951" s="255" t="n"/>
      <c r="D951" s="255" t="n"/>
      <c r="E951" s="255" t="n"/>
      <c r="F951" s="255" t="n"/>
      <c r="G951" s="255" t="n"/>
      <c r="H951" s="255" t="n"/>
      <c r="I951" s="255" t="n"/>
      <c r="J951" s="255" t="n"/>
      <c r="K951" s="255" t="n"/>
      <c r="L951" s="255" t="n"/>
      <c r="M951" s="255" t="n"/>
      <c r="N951" s="255" t="n"/>
      <c r="O951" s="255" t="n"/>
      <c r="P951" s="255" t="n"/>
      <c r="Q951" s="255" t="n"/>
      <c r="R951" s="255" t="n"/>
      <c r="S951" s="255" t="n"/>
      <c r="T951" s="255" t="n"/>
      <c r="U951" s="255" t="n"/>
      <c r="V951" s="255" t="n"/>
      <c r="W951" s="255" t="n"/>
      <c r="X951" s="255" t="n"/>
      <c r="Y951" s="255" t="n"/>
      <c r="Z951" s="255" t="n"/>
    </row>
    <row r="952" ht="12.75" customHeight="1">
      <c r="A952" s="333" t="n"/>
      <c r="B952" s="255" t="n"/>
      <c r="C952" s="255" t="n"/>
      <c r="D952" s="255" t="n"/>
      <c r="E952" s="255" t="n"/>
      <c r="F952" s="255" t="n"/>
      <c r="G952" s="255" t="n"/>
      <c r="H952" s="255" t="n"/>
      <c r="I952" s="255" t="n"/>
      <c r="J952" s="255" t="n"/>
      <c r="K952" s="255" t="n"/>
      <c r="L952" s="255" t="n"/>
      <c r="M952" s="255" t="n"/>
      <c r="N952" s="255" t="n"/>
      <c r="O952" s="255" t="n"/>
      <c r="P952" s="255" t="n"/>
      <c r="Q952" s="255" t="n"/>
      <c r="R952" s="255" t="n"/>
      <c r="S952" s="255" t="n"/>
      <c r="T952" s="255" t="n"/>
      <c r="U952" s="255" t="n"/>
      <c r="V952" s="255" t="n"/>
      <c r="W952" s="255" t="n"/>
      <c r="X952" s="255" t="n"/>
      <c r="Y952" s="255" t="n"/>
      <c r="Z952" s="255" t="n"/>
    </row>
    <row r="953" ht="12.75" customHeight="1">
      <c r="A953" s="333" t="n"/>
      <c r="B953" s="255" t="n"/>
      <c r="C953" s="255" t="n"/>
      <c r="D953" s="255" t="n"/>
      <c r="E953" s="255" t="n"/>
      <c r="F953" s="255" t="n"/>
      <c r="G953" s="255" t="n"/>
      <c r="H953" s="255" t="n"/>
      <c r="I953" s="255" t="n"/>
      <c r="J953" s="255" t="n"/>
      <c r="K953" s="255" t="n"/>
      <c r="L953" s="255" t="n"/>
      <c r="M953" s="255" t="n"/>
      <c r="N953" s="255" t="n"/>
      <c r="O953" s="255" t="n"/>
      <c r="P953" s="255" t="n"/>
      <c r="Q953" s="255" t="n"/>
      <c r="R953" s="255" t="n"/>
      <c r="S953" s="255" t="n"/>
      <c r="T953" s="255" t="n"/>
      <c r="U953" s="255" t="n"/>
      <c r="V953" s="255" t="n"/>
      <c r="W953" s="255" t="n"/>
      <c r="X953" s="255" t="n"/>
      <c r="Y953" s="255" t="n"/>
      <c r="Z953" s="255" t="n"/>
    </row>
    <row r="954" ht="12.75" customHeight="1">
      <c r="A954" s="333" t="n"/>
      <c r="B954" s="255" t="n"/>
      <c r="C954" s="255" t="n"/>
      <c r="D954" s="255" t="n"/>
      <c r="E954" s="255" t="n"/>
      <c r="F954" s="255" t="n"/>
      <c r="G954" s="255" t="n"/>
      <c r="H954" s="255" t="n"/>
      <c r="I954" s="255" t="n"/>
      <c r="J954" s="255" t="n"/>
      <c r="K954" s="255" t="n"/>
      <c r="L954" s="255" t="n"/>
      <c r="M954" s="255" t="n"/>
      <c r="N954" s="255" t="n"/>
      <c r="O954" s="255" t="n"/>
      <c r="P954" s="255" t="n"/>
      <c r="Q954" s="255" t="n"/>
      <c r="R954" s="255" t="n"/>
      <c r="S954" s="255" t="n"/>
      <c r="T954" s="255" t="n"/>
      <c r="U954" s="255" t="n"/>
      <c r="V954" s="255" t="n"/>
      <c r="W954" s="255" t="n"/>
      <c r="X954" s="255" t="n"/>
      <c r="Y954" s="255" t="n"/>
      <c r="Z954" s="255" t="n"/>
    </row>
    <row r="955" ht="12.75" customHeight="1">
      <c r="A955" s="333" t="n"/>
      <c r="B955" s="255" t="n"/>
      <c r="C955" s="255" t="n"/>
      <c r="D955" s="255" t="n"/>
      <c r="E955" s="255" t="n"/>
      <c r="F955" s="255" t="n"/>
      <c r="G955" s="255" t="n"/>
      <c r="H955" s="255" t="n"/>
      <c r="I955" s="255" t="n"/>
      <c r="J955" s="255" t="n"/>
      <c r="K955" s="255" t="n"/>
      <c r="L955" s="255" t="n"/>
      <c r="M955" s="255" t="n"/>
      <c r="N955" s="255" t="n"/>
      <c r="O955" s="255" t="n"/>
      <c r="P955" s="255" t="n"/>
      <c r="Q955" s="255" t="n"/>
      <c r="R955" s="255" t="n"/>
      <c r="S955" s="255" t="n"/>
      <c r="T955" s="255" t="n"/>
      <c r="U955" s="255" t="n"/>
      <c r="V955" s="255" t="n"/>
      <c r="W955" s="255" t="n"/>
      <c r="X955" s="255" t="n"/>
      <c r="Y955" s="255" t="n"/>
      <c r="Z955" s="255" t="n"/>
    </row>
    <row r="956" ht="12.75" customHeight="1">
      <c r="A956" s="333" t="n"/>
      <c r="B956" s="255" t="n"/>
      <c r="C956" s="255" t="n"/>
      <c r="D956" s="255" t="n"/>
      <c r="E956" s="255" t="n"/>
      <c r="F956" s="255" t="n"/>
      <c r="G956" s="255" t="n"/>
      <c r="H956" s="255" t="n"/>
      <c r="I956" s="255" t="n"/>
      <c r="J956" s="255" t="n"/>
      <c r="K956" s="255" t="n"/>
      <c r="L956" s="255" t="n"/>
      <c r="M956" s="255" t="n"/>
      <c r="N956" s="255" t="n"/>
      <c r="O956" s="255" t="n"/>
      <c r="P956" s="255" t="n"/>
      <c r="Q956" s="255" t="n"/>
      <c r="R956" s="255" t="n"/>
      <c r="S956" s="255" t="n"/>
      <c r="T956" s="255" t="n"/>
      <c r="U956" s="255" t="n"/>
      <c r="V956" s="255" t="n"/>
      <c r="W956" s="255" t="n"/>
      <c r="X956" s="255" t="n"/>
      <c r="Y956" s="255" t="n"/>
      <c r="Z956" s="255" t="n"/>
    </row>
    <row r="957" ht="12.75" customHeight="1">
      <c r="A957" s="333" t="n"/>
      <c r="B957" s="255" t="n"/>
      <c r="C957" s="255" t="n"/>
      <c r="D957" s="255" t="n"/>
      <c r="E957" s="255" t="n"/>
      <c r="F957" s="255" t="n"/>
      <c r="G957" s="255" t="n"/>
      <c r="H957" s="255" t="n"/>
      <c r="I957" s="255" t="n"/>
      <c r="J957" s="255" t="n"/>
      <c r="K957" s="255" t="n"/>
      <c r="L957" s="255" t="n"/>
      <c r="M957" s="255" t="n"/>
      <c r="N957" s="255" t="n"/>
      <c r="O957" s="255" t="n"/>
      <c r="P957" s="255" t="n"/>
      <c r="Q957" s="255" t="n"/>
      <c r="R957" s="255" t="n"/>
      <c r="S957" s="255" t="n"/>
      <c r="T957" s="255" t="n"/>
      <c r="U957" s="255" t="n"/>
      <c r="V957" s="255" t="n"/>
      <c r="W957" s="255" t="n"/>
      <c r="X957" s="255" t="n"/>
      <c r="Y957" s="255" t="n"/>
      <c r="Z957" s="255" t="n"/>
    </row>
    <row r="958" ht="12.75" customHeight="1">
      <c r="A958" s="333" t="n"/>
      <c r="B958" s="255" t="n"/>
      <c r="C958" s="255" t="n"/>
      <c r="D958" s="255" t="n"/>
      <c r="E958" s="255" t="n"/>
      <c r="F958" s="255" t="n"/>
      <c r="G958" s="255" t="n"/>
      <c r="H958" s="255" t="n"/>
      <c r="I958" s="255" t="n"/>
      <c r="J958" s="255" t="n"/>
      <c r="K958" s="255" t="n"/>
      <c r="L958" s="255" t="n"/>
      <c r="M958" s="255" t="n"/>
      <c r="N958" s="255" t="n"/>
      <c r="O958" s="255" t="n"/>
      <c r="P958" s="255" t="n"/>
      <c r="Q958" s="255" t="n"/>
      <c r="R958" s="255" t="n"/>
      <c r="S958" s="255" t="n"/>
      <c r="T958" s="255" t="n"/>
      <c r="U958" s="255" t="n"/>
      <c r="V958" s="255" t="n"/>
      <c r="W958" s="255" t="n"/>
      <c r="X958" s="255" t="n"/>
      <c r="Y958" s="255" t="n"/>
      <c r="Z958" s="255" t="n"/>
    </row>
    <row r="959" ht="12.75" customHeight="1">
      <c r="A959" s="333" t="n"/>
      <c r="B959" s="255" t="n"/>
      <c r="C959" s="255" t="n"/>
      <c r="D959" s="255" t="n"/>
      <c r="E959" s="255" t="n"/>
      <c r="F959" s="255" t="n"/>
      <c r="G959" s="255" t="n"/>
      <c r="H959" s="255" t="n"/>
      <c r="I959" s="255" t="n"/>
      <c r="J959" s="255" t="n"/>
      <c r="K959" s="255" t="n"/>
      <c r="L959" s="255" t="n"/>
      <c r="M959" s="255" t="n"/>
      <c r="N959" s="255" t="n"/>
      <c r="O959" s="255" t="n"/>
      <c r="P959" s="255" t="n"/>
      <c r="Q959" s="255" t="n"/>
      <c r="R959" s="255" t="n"/>
      <c r="S959" s="255" t="n"/>
      <c r="T959" s="255" t="n"/>
      <c r="U959" s="255" t="n"/>
      <c r="V959" s="255" t="n"/>
      <c r="W959" s="255" t="n"/>
      <c r="X959" s="255" t="n"/>
      <c r="Y959" s="255" t="n"/>
      <c r="Z959" s="255" t="n"/>
    </row>
    <row r="960" ht="12.75" customHeight="1">
      <c r="A960" s="333" t="n"/>
      <c r="B960" s="255" t="n"/>
      <c r="C960" s="255" t="n"/>
      <c r="D960" s="255" t="n"/>
      <c r="E960" s="255" t="n"/>
      <c r="F960" s="255" t="n"/>
      <c r="G960" s="255" t="n"/>
      <c r="H960" s="255" t="n"/>
      <c r="I960" s="255" t="n"/>
      <c r="J960" s="255" t="n"/>
      <c r="K960" s="255" t="n"/>
      <c r="L960" s="255" t="n"/>
      <c r="M960" s="255" t="n"/>
      <c r="N960" s="255" t="n"/>
      <c r="O960" s="255" t="n"/>
      <c r="P960" s="255" t="n"/>
      <c r="Q960" s="255" t="n"/>
      <c r="R960" s="255" t="n"/>
      <c r="S960" s="255" t="n"/>
      <c r="T960" s="255" t="n"/>
      <c r="U960" s="255" t="n"/>
      <c r="V960" s="255" t="n"/>
      <c r="W960" s="255" t="n"/>
      <c r="X960" s="255" t="n"/>
      <c r="Y960" s="255" t="n"/>
      <c r="Z960" s="255" t="n"/>
    </row>
    <row r="961" ht="12.75" customHeight="1">
      <c r="A961" s="333" t="n"/>
      <c r="B961" s="255" t="n"/>
      <c r="C961" s="255" t="n"/>
      <c r="D961" s="255" t="n"/>
      <c r="E961" s="255" t="n"/>
      <c r="F961" s="255" t="n"/>
      <c r="G961" s="255" t="n"/>
      <c r="H961" s="255" t="n"/>
      <c r="I961" s="255" t="n"/>
      <c r="J961" s="255" t="n"/>
      <c r="K961" s="255" t="n"/>
      <c r="L961" s="255" t="n"/>
      <c r="M961" s="255" t="n"/>
      <c r="N961" s="255" t="n"/>
      <c r="O961" s="255" t="n"/>
      <c r="P961" s="255" t="n"/>
      <c r="Q961" s="255" t="n"/>
      <c r="R961" s="255" t="n"/>
      <c r="S961" s="255" t="n"/>
      <c r="T961" s="255" t="n"/>
      <c r="U961" s="255" t="n"/>
      <c r="V961" s="255" t="n"/>
      <c r="W961" s="255" t="n"/>
      <c r="X961" s="255" t="n"/>
      <c r="Y961" s="255" t="n"/>
      <c r="Z961" s="255" t="n"/>
    </row>
    <row r="962" ht="12.75" customHeight="1">
      <c r="A962" s="333" t="n"/>
      <c r="B962" s="255" t="n"/>
      <c r="C962" s="255" t="n"/>
      <c r="D962" s="255" t="n"/>
      <c r="E962" s="255" t="n"/>
      <c r="F962" s="255" t="n"/>
      <c r="G962" s="255" t="n"/>
      <c r="H962" s="255" t="n"/>
      <c r="I962" s="255" t="n"/>
      <c r="J962" s="255" t="n"/>
      <c r="K962" s="255" t="n"/>
      <c r="L962" s="255" t="n"/>
      <c r="M962" s="255" t="n"/>
      <c r="N962" s="255" t="n"/>
      <c r="O962" s="255" t="n"/>
      <c r="P962" s="255" t="n"/>
      <c r="Q962" s="255" t="n"/>
      <c r="R962" s="255" t="n"/>
      <c r="S962" s="255" t="n"/>
      <c r="T962" s="255" t="n"/>
      <c r="U962" s="255" t="n"/>
      <c r="V962" s="255" t="n"/>
      <c r="W962" s="255" t="n"/>
      <c r="X962" s="255" t="n"/>
      <c r="Y962" s="255" t="n"/>
      <c r="Z962" s="255" t="n"/>
    </row>
    <row r="963" ht="12.75" customHeight="1">
      <c r="A963" s="333" t="n"/>
      <c r="B963" s="255" t="n"/>
      <c r="C963" s="255" t="n"/>
      <c r="D963" s="255" t="n"/>
      <c r="E963" s="255" t="n"/>
      <c r="F963" s="255" t="n"/>
      <c r="G963" s="255" t="n"/>
      <c r="H963" s="255" t="n"/>
      <c r="I963" s="255" t="n"/>
      <c r="J963" s="255" t="n"/>
      <c r="K963" s="255" t="n"/>
      <c r="L963" s="255" t="n"/>
      <c r="M963" s="255" t="n"/>
      <c r="N963" s="255" t="n"/>
      <c r="O963" s="255" t="n"/>
      <c r="P963" s="255" t="n"/>
      <c r="Q963" s="255" t="n"/>
      <c r="R963" s="255" t="n"/>
      <c r="S963" s="255" t="n"/>
      <c r="T963" s="255" t="n"/>
      <c r="U963" s="255" t="n"/>
      <c r="V963" s="255" t="n"/>
      <c r="W963" s="255" t="n"/>
      <c r="X963" s="255" t="n"/>
      <c r="Y963" s="255" t="n"/>
      <c r="Z963" s="255" t="n"/>
    </row>
    <row r="964" ht="12.75" customHeight="1">
      <c r="A964" s="333" t="n"/>
      <c r="B964" s="255" t="n"/>
      <c r="C964" s="255" t="n"/>
      <c r="D964" s="255" t="n"/>
      <c r="E964" s="255" t="n"/>
      <c r="F964" s="255" t="n"/>
      <c r="G964" s="255" t="n"/>
      <c r="H964" s="255" t="n"/>
      <c r="I964" s="255" t="n"/>
      <c r="J964" s="255" t="n"/>
      <c r="K964" s="255" t="n"/>
      <c r="L964" s="255" t="n"/>
      <c r="M964" s="255" t="n"/>
      <c r="N964" s="255" t="n"/>
      <c r="O964" s="255" t="n"/>
      <c r="P964" s="255" t="n"/>
      <c r="Q964" s="255" t="n"/>
      <c r="R964" s="255" t="n"/>
      <c r="S964" s="255" t="n"/>
      <c r="T964" s="255" t="n"/>
      <c r="U964" s="255" t="n"/>
      <c r="V964" s="255" t="n"/>
      <c r="W964" s="255" t="n"/>
      <c r="X964" s="255" t="n"/>
      <c r="Y964" s="255" t="n"/>
      <c r="Z964" s="255" t="n"/>
    </row>
  </sheetData>
  <mergeCells count="5">
    <mergeCell ref="H22:K22"/>
    <mergeCell ref="A1:S1"/>
    <mergeCell ref="A27:S32"/>
    <mergeCell ref="H21:K21"/>
    <mergeCell ref="H23:K23"/>
  </mergeCells>
  <dataValidations count="14">
    <dataValidation sqref="C6:C10" showDropDown="0" showInputMessage="1" showErrorMessage="1" allowBlank="1" type="list">
      <formula1>"Malo, Regular, Bueno"</formula1>
    </dataValidation>
    <dataValidation sqref="F23:G23 K6:K10" showDropDown="0" showInputMessage="0" showErrorMessage="1" allowBlank="1"/>
    <dataValidation sqref="L6:L11 L15:L17 L22" showDropDown="0" showInputMessage="0" showErrorMessage="1" allowBlank="1" type="list">
      <formula1>"Sí, No"</formula1>
    </dataValidation>
    <dataValidation sqref="I11:I12 I18:I19" showDropDown="0" showInputMessage="0" showErrorMessage="1" allowBlank="1" type="list">
      <formula1>"hormigón,hormigón AT,asfalto,cerámico,madera,tierra,otro."</formula1>
    </dataValidation>
    <dataValidation sqref="L12 L18:L19 L23:L25" showDropDown="0" showInputMessage="0" showErrorMessage="1" allowBlank="1" type="list">
      <formula1>"Muy Bueno,Bueno,Regular,Sin terminar,Descartable"</formula1>
    </dataValidation>
    <dataValidation sqref="L34" showDropDown="0" showInputMessage="0" showErrorMessage="1" allowBlank="1" type="list">
      <formula1>"Básica,Normal,Superior,Descartable"</formula1>
    </dataValidation>
    <dataValidation sqref="H11:H12 H18:H19" showDropDown="0" showInputMessage="0" showErrorMessage="1" allowBlank="1" type="list">
      <formula1>"Madera,Acero,Losa hormigón,otro"</formula1>
    </dataValidation>
    <dataValidation sqref="J11:J12 J18:J19" showDropDown="0" showInputMessage="0" showErrorMessage="1" allowBlank="1" type="list">
      <formula1>"Teja,Asfáltico,fibrocemento,metal prepintado,otro."</formula1>
    </dataValidation>
    <dataValidation sqref="I6:I10 I34" showDropDown="0" showInputMessage="0" showErrorMessage="1" allowBlank="1" type="list">
      <formula1>"Hormigón,asfalto,cerámico,madera,tierra,otro."</formula1>
    </dataValidation>
    <dataValidation sqref="F6:F12 F18:F19 F24:F25" showDropDown="0" showInputMessage="0" showErrorMessage="1" allowBlank="1" type="list">
      <formula1>"Albañilería,Hormigón,Madera,Acero,Adobe,Mixto,Otro"</formula1>
    </dataValidation>
    <dataValidation sqref="F34" showDropDown="0" showInputMessage="0" showErrorMessage="1" allowBlank="1" type="list">
      <formula1>"Albañilería,Hormigón,Madera,Metal,Adobe,Mixto,Otro"</formula1>
    </dataValidation>
    <dataValidation sqref="J34:K34" showDropDown="0" showInputMessage="0" showErrorMessage="1" allowBlank="1" type="list">
      <formula1>"Teja,Asfáltico,fibrocemento,metal,otro."</formula1>
    </dataValidation>
    <dataValidation sqref="K11:K12 K18:K19" showDropDown="0" showInputMessage="0" showErrorMessage="1" allowBlank="1" type="list">
      <formula1>"Estuco,Pintura,Panel,Fibrocemento,Plancha Metal,Madera,Termopanel,Sip,Placa madera,Malla,Abierto,sin revestir"</formula1>
    </dataValidation>
    <dataValidation sqref="H6:H10 H34" showDropDown="0" showInputMessage="0" showErrorMessage="1" allowBlank="1" type="list">
      <formula1>"Madera,Metal,Losa hormigón,otro"</formula1>
    </dataValidation>
  </dataValidations>
  <printOptions horizontalCentered="1"/>
  <pageMargins left="0.5905511811023623" right="0.5511811023622047" top="0.7086614173228347" bottom="0.5511811023622047" header="0" footer="0"/>
  <pageSetup orientation="portrait" scale="4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EAF1DD"/>
    <outlinePr summaryBelow="1" summaryRight="1"/>
    <pageSetUpPr/>
  </sheetPr>
  <dimension ref="A1:Z29"/>
  <sheetViews>
    <sheetView showGridLines="0" view="pageBreakPreview" topLeftCell="A27" zoomScale="91" zoomScaleNormal="100" workbookViewId="0">
      <selection activeCell="M5" sqref="M5"/>
    </sheetView>
  </sheetViews>
  <sheetFormatPr baseColWidth="10" defaultColWidth="14.44140625" defaultRowHeight="15" customHeight="1"/>
  <cols>
    <col width="17.33203125" customWidth="1" style="1197" min="1" max="1"/>
    <col width="14" customWidth="1" style="1197" min="2" max="2"/>
    <col width="10" customWidth="1" style="1197" min="3" max="3"/>
    <col width="15.5546875" customWidth="1" style="1197" min="4" max="4"/>
    <col width="9.88671875" customWidth="1" style="1197" min="5" max="5"/>
    <col width="11.5546875" customWidth="1" style="1197" min="6" max="6"/>
    <col width="15.5546875" customWidth="1" style="1197" min="7" max="7"/>
    <col width="18" customWidth="1" style="1197" min="8" max="8"/>
    <col width="13.6640625" customWidth="1" style="1197" min="9" max="9"/>
    <col width="15.109375" customWidth="1" style="1197" min="10" max="10"/>
    <col width="11.109375" customWidth="1" style="1197" min="11" max="11"/>
    <col width="13.33203125" customWidth="1" style="1197" min="12" max="12"/>
    <col width="12.109375" customWidth="1" style="1197" min="13" max="13"/>
    <col width="11" customWidth="1" style="1197" min="14" max="26"/>
    <col width="14.44140625" customWidth="1" style="1197" min="27" max="27"/>
    <col width="14.44140625" customWidth="1" style="1197" min="28" max="16384"/>
  </cols>
  <sheetData>
    <row r="1" ht="30" customHeight="1" thickBot="1">
      <c r="A1" s="353" t="inlineStr">
        <is>
          <t xml:space="preserve">6.- PLANTACIONES </t>
        </is>
      </c>
      <c r="B1" s="354" t="n"/>
      <c r="C1" s="354" t="n"/>
      <c r="D1" s="354" t="n"/>
      <c r="E1" s="355" t="n"/>
      <c r="F1" s="355" t="n"/>
      <c r="G1" s="355" t="n"/>
      <c r="H1" s="355" t="n"/>
      <c r="I1" s="354" t="n"/>
      <c r="J1" s="354" t="n"/>
      <c r="K1" s="356" t="n"/>
      <c r="L1" s="357" t="n"/>
      <c r="M1" s="357" t="n"/>
      <c r="N1" s="357" t="n"/>
      <c r="O1" s="357" t="n"/>
      <c r="P1" s="357" t="n"/>
      <c r="Q1" s="357" t="n"/>
      <c r="R1" s="357" t="n"/>
      <c r="S1" s="357" t="n"/>
      <c r="T1" s="357" t="n"/>
      <c r="U1" s="357" t="n"/>
      <c r="V1" s="357" t="n"/>
      <c r="W1" s="357" t="n"/>
      <c r="X1" s="357" t="n"/>
      <c r="Y1" s="357" t="n"/>
      <c r="Z1" s="357" t="n"/>
    </row>
    <row r="2" ht="14.4" customHeight="1">
      <c r="L2" s="358" t="n"/>
      <c r="M2" s="1260" t="n"/>
    </row>
    <row r="3" thickBot="1">
      <c r="A3" s="1203" t="inlineStr">
        <is>
          <t>6.1. PLANTACIONES SIN ROYALTIES</t>
        </is>
      </c>
    </row>
    <row r="4" ht="52.95" customHeight="1" thickBot="1">
      <c r="A4" s="360" t="inlineStr">
        <is>
          <t>ESPECIE</t>
        </is>
      </c>
      <c r="B4" s="361" t="inlineStr">
        <is>
          <t>VARIEDAD</t>
        </is>
      </c>
      <c r="C4" s="361" t="inlineStr">
        <is>
          <t>AÑO</t>
        </is>
      </c>
      <c r="D4" s="361" t="inlineStr">
        <is>
          <t>Densidad 
plantas/ha</t>
        </is>
      </c>
      <c r="E4" s="361" t="inlineStr">
        <is>
          <t>ROL</t>
        </is>
      </c>
      <c r="F4" s="361" t="inlineStr">
        <is>
          <t>Superficie
ha</t>
        </is>
      </c>
      <c r="G4" s="361" t="inlineStr">
        <is>
          <t>VALOR UNITARIO
$/ha</t>
        </is>
      </c>
      <c r="H4" s="361" t="inlineStr">
        <is>
          <t>TOTAL 
$</t>
        </is>
      </c>
      <c r="I4" s="361" t="inlineStr">
        <is>
          <t>TOTAL
UF</t>
        </is>
      </c>
      <c r="J4" s="361" t="inlineStr">
        <is>
          <t>TOTAL 
USD</t>
        </is>
      </c>
      <c r="K4" s="362" t="inlineStr">
        <is>
          <t>Estado Plantación</t>
        </is>
      </c>
    </row>
    <row r="5" ht="24.9" customHeight="1">
      <c r="A5" s="716" t="n"/>
      <c r="B5" s="717" t="n"/>
      <c r="C5" s="723" t="n"/>
      <c r="D5" s="724" t="n"/>
      <c r="E5" s="725" t="n"/>
      <c r="F5" s="726" t="n"/>
      <c r="G5" s="727">
        <f>PLANT!AA37</f>
        <v/>
      </c>
      <c r="H5" s="1028">
        <f>F5*G5</f>
        <v/>
      </c>
      <c r="I5" s="1261">
        <f>H5/UF</f>
        <v/>
      </c>
      <c r="J5" s="1030">
        <f>H5/USD</f>
        <v/>
      </c>
      <c r="K5" s="728" t="n"/>
      <c r="L5" s="372" t="n"/>
    </row>
    <row r="6" ht="24.9" customHeight="1">
      <c r="A6" s="718" t="n"/>
      <c r="B6" s="719" t="n"/>
      <c r="C6" s="729" t="n"/>
      <c r="D6" s="730" t="n"/>
      <c r="E6" s="722" t="n"/>
      <c r="F6" s="731" t="n"/>
      <c r="G6" s="732">
        <f>PLANT!AA38</f>
        <v/>
      </c>
      <c r="H6" s="1031">
        <f>F6*G6</f>
        <v/>
      </c>
      <c r="I6" s="1262">
        <f>H6/UF</f>
        <v/>
      </c>
      <c r="J6" s="1033">
        <f>H6/USD</f>
        <v/>
      </c>
      <c r="K6" s="733" t="n"/>
      <c r="L6" s="372" t="n"/>
    </row>
    <row r="7" ht="24.9" customHeight="1">
      <c r="A7" s="718" t="n"/>
      <c r="B7" s="722" t="n"/>
      <c r="C7" s="729" t="n"/>
      <c r="D7" s="730" t="n"/>
      <c r="E7" s="722" t="n"/>
      <c r="F7" s="731" t="n"/>
      <c r="G7" s="732">
        <f>PLANT!AA39</f>
        <v/>
      </c>
      <c r="H7" s="1031">
        <f>F7*G7</f>
        <v/>
      </c>
      <c r="I7" s="1262">
        <f>H7/UF</f>
        <v/>
      </c>
      <c r="J7" s="1033">
        <f>H7/USD</f>
        <v/>
      </c>
      <c r="K7" s="733" t="n"/>
      <c r="L7" s="372" t="n"/>
    </row>
    <row r="8" ht="24.9" customHeight="1">
      <c r="A8" s="718" t="n"/>
      <c r="B8" s="719" t="n"/>
      <c r="C8" s="729" t="n"/>
      <c r="D8" s="730" t="n"/>
      <c r="E8" s="722" t="n"/>
      <c r="F8" s="731" t="n"/>
      <c r="G8" s="732">
        <f>PLANT!AA40</f>
        <v/>
      </c>
      <c r="H8" s="1031">
        <f>F8*G8</f>
        <v/>
      </c>
      <c r="I8" s="1262">
        <f>H8/UF</f>
        <v/>
      </c>
      <c r="J8" s="1033">
        <f>H8/USD</f>
        <v/>
      </c>
      <c r="K8" s="733" t="n"/>
      <c r="L8" s="372" t="n"/>
    </row>
    <row r="9" ht="24.9" customHeight="1">
      <c r="A9" s="718" t="n"/>
      <c r="B9" s="719" t="n"/>
      <c r="C9" s="729" t="n"/>
      <c r="D9" s="730" t="n"/>
      <c r="E9" s="722" t="n"/>
      <c r="F9" s="731" t="n"/>
      <c r="G9" s="732">
        <f>PLANT!AA41</f>
        <v/>
      </c>
      <c r="H9" s="1031">
        <f>F9*G9</f>
        <v/>
      </c>
      <c r="I9" s="1262">
        <f>H9/UF</f>
        <v/>
      </c>
      <c r="J9" s="1033">
        <f>H9/USD</f>
        <v/>
      </c>
      <c r="K9" s="733" t="n"/>
      <c r="L9" s="372" t="n"/>
    </row>
    <row r="10" ht="24.9" customHeight="1" thickBot="1">
      <c r="A10" s="720" t="n"/>
      <c r="B10" s="721" t="n"/>
      <c r="C10" s="734" t="n"/>
      <c r="D10" s="735" t="n"/>
      <c r="E10" s="736" t="n"/>
      <c r="F10" s="737" t="n"/>
      <c r="G10" s="738">
        <f>PLANT!AA42</f>
        <v/>
      </c>
      <c r="H10" s="1034">
        <f>F10*G10</f>
        <v/>
      </c>
      <c r="I10" s="1263">
        <f>H10/UF</f>
        <v/>
      </c>
      <c r="J10" s="1036">
        <f>H10/USD</f>
        <v/>
      </c>
      <c r="K10" s="739" t="n"/>
      <c r="L10" s="372" t="n"/>
    </row>
    <row r="11" ht="24.75" customHeight="1" thickBot="1">
      <c r="A11" s="740" t="n"/>
      <c r="B11" s="740" t="n"/>
      <c r="C11" s="740" t="n"/>
      <c r="D11" s="1204" t="inlineStr">
        <is>
          <t>TOTALES</t>
        </is>
      </c>
      <c r="E11" s="1205" t="n"/>
      <c r="F11" s="1264">
        <f>SUM(F5:F10)</f>
        <v/>
      </c>
      <c r="G11" s="742" t="n"/>
      <c r="H11" s="1037">
        <f>SUM(H5:H10)</f>
        <v/>
      </c>
      <c r="I11" s="1265">
        <f>SUBTOTAL(9,I5:I10)</f>
        <v/>
      </c>
      <c r="J11" s="1039">
        <f>SUBTOTAL(9,J5:J10)</f>
        <v/>
      </c>
      <c r="K11" s="740" t="n"/>
    </row>
    <row r="12" ht="15.75" customHeight="1">
      <c r="F12" s="1266" t="n"/>
      <c r="H12" s="384" t="n"/>
      <c r="I12" s="1267" t="n"/>
      <c r="J12" s="1267" t="n"/>
    </row>
    <row r="13" ht="15.75" customHeight="1" thickBot="1">
      <c r="A13" s="1203" t="inlineStr">
        <is>
          <t>6.2. PLANTACIONES CON ROYALTIES</t>
        </is>
      </c>
    </row>
    <row r="14" ht="31.2" customHeight="1" thickBot="1">
      <c r="A14" s="360" t="inlineStr">
        <is>
          <t>ESPECIE</t>
        </is>
      </c>
      <c r="B14" s="361" t="inlineStr">
        <is>
          <t>VARIEDAD</t>
        </is>
      </c>
      <c r="C14" s="361" t="inlineStr">
        <is>
          <t>AÑO</t>
        </is>
      </c>
      <c r="D14" s="361" t="inlineStr">
        <is>
          <t>MARCO DE PLANTACIÓN</t>
        </is>
      </c>
      <c r="E14" s="361" t="inlineStr">
        <is>
          <t>ROL</t>
        </is>
      </c>
      <c r="F14" s="361" t="inlineStr">
        <is>
          <t>Superficie
ha</t>
        </is>
      </c>
      <c r="G14" s="361" t="inlineStr">
        <is>
          <t>VALOR UNITARIO
$/ha</t>
        </is>
      </c>
      <c r="H14" s="361" t="inlineStr">
        <is>
          <t>TOTAL 
$</t>
        </is>
      </c>
      <c r="I14" s="361" t="inlineStr">
        <is>
          <t>TOTAL
UF</t>
        </is>
      </c>
      <c r="J14" s="361" t="inlineStr">
        <is>
          <t>TOTAL 
USD</t>
        </is>
      </c>
      <c r="K14" s="362" t="inlineStr">
        <is>
          <t>Estado Plantación</t>
        </is>
      </c>
    </row>
    <row r="15" ht="21.75" customHeight="1">
      <c r="A15" s="363" t="n"/>
      <c r="B15" s="364" t="n"/>
      <c r="C15" s="365" t="n"/>
      <c r="D15" s="366" t="n"/>
      <c r="E15" s="367" t="n"/>
      <c r="F15" s="386" t="n"/>
      <c r="G15" s="368" t="n"/>
      <c r="H15" s="368" t="n"/>
      <c r="I15" s="1268" t="n"/>
      <c r="J15" s="370" t="n"/>
      <c r="K15" s="371" t="n"/>
      <c r="L15" s="372" t="n"/>
    </row>
    <row r="16" ht="21.75" customHeight="1" thickBot="1">
      <c r="A16" s="373" t="n"/>
      <c r="B16" s="374" t="n"/>
      <c r="C16" s="375" t="n"/>
      <c r="D16" s="376" t="n"/>
      <c r="E16" s="377" t="n"/>
      <c r="F16" s="378" t="n"/>
      <c r="G16" s="379" t="n"/>
      <c r="H16" s="379" t="n"/>
      <c r="I16" s="1269" t="n"/>
      <c r="J16" s="381" t="n"/>
      <c r="K16" s="382" t="n"/>
      <c r="L16" s="372" t="n"/>
    </row>
    <row r="17" ht="27" customHeight="1" thickBot="1">
      <c r="F17" s="1270">
        <f>SUM(F15:F16)</f>
        <v/>
      </c>
      <c r="G17" s="388" t="n"/>
      <c r="H17" s="389">
        <f>SUM(H15:H16)</f>
        <v/>
      </c>
      <c r="I17" s="1271">
        <f>SUM(I15:I16)</f>
        <v/>
      </c>
      <c r="J17" s="391">
        <f>SUM(J15:J16)</f>
        <v/>
      </c>
    </row>
    <row r="18" ht="15.75" customHeight="1"/>
    <row r="19" ht="15.75" customHeight="1">
      <c r="A19" s="262" t="inlineStr">
        <is>
          <t>OBSERVACIONES</t>
        </is>
      </c>
    </row>
    <row r="20" ht="15.75" customHeight="1">
      <c r="A20" s="262" t="n"/>
    </row>
    <row r="21" ht="74.25" customHeight="1">
      <c r="A21" s="262" t="n"/>
    </row>
    <row r="22" ht="15.75" customHeight="1">
      <c r="A22" s="262" t="n"/>
    </row>
    <row r="23" ht="45.75" customHeight="1"/>
    <row r="24" ht="15.75" customHeight="1">
      <c r="A24" s="262" t="inlineStr">
        <is>
          <t>DIFERENCIAS CON TASACIÓN ANTERIOR</t>
        </is>
      </c>
    </row>
    <row r="25" ht="23.25" customHeight="1">
      <c r="A25" s="262" t="n"/>
    </row>
    <row r="26" ht="15.75" customHeight="1">
      <c r="A26" s="262" t="n"/>
    </row>
    <row r="27" ht="15.75" customHeight="1">
      <c r="A27" s="262" t="n"/>
    </row>
    <row r="28" ht="15.75" customHeight="1">
      <c r="A28" s="262" t="n"/>
    </row>
    <row r="29" ht="15.75" customHeight="1">
      <c r="A29" s="1206" t="n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</sheetData>
  <mergeCells count="4">
    <mergeCell ref="A13:D13"/>
    <mergeCell ref="D11:E11"/>
    <mergeCell ref="A3:D3"/>
    <mergeCell ref="A29:K29"/>
  </mergeCells>
  <printOptions horizontalCentered="1"/>
  <pageMargins left="0.7086614173228347" right="0.7086614173228347" top="0.7480314960629921" bottom="0.7480314960629921" header="0" footer="0"/>
  <pageSetup orientation="portrait" scale="5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P964"/>
  <sheetViews>
    <sheetView showGridLines="0" view="pageBreakPreview" zoomScale="81" zoomScaleNormal="100" zoomScaleSheetLayoutView="81" workbookViewId="0">
      <selection activeCell="Q6" sqref="Q6"/>
    </sheetView>
  </sheetViews>
  <sheetFormatPr baseColWidth="10" defaultColWidth="14.44140625" defaultRowHeight="15" customHeight="1"/>
  <cols>
    <col width="19.109375" customWidth="1" style="1064" min="1" max="1"/>
    <col width="35" customWidth="1" style="1064" min="2" max="2"/>
    <col width="31.109375" customWidth="1" style="1064" min="3" max="3"/>
    <col width="11" customWidth="1" style="1064" min="4" max="4"/>
    <col width="30.6640625" customWidth="1" style="1064" min="5" max="5"/>
    <col hidden="1" width="23.33203125" customWidth="1" style="1064" min="6" max="6"/>
    <col hidden="1" width="16.44140625" customWidth="1" style="1064" min="7" max="7"/>
    <col hidden="1" width="11.109375" customWidth="1" style="1064" min="8" max="8"/>
    <col hidden="1" width="13" customWidth="1" style="1064" min="9" max="9"/>
    <col hidden="1" width="9.109375" customWidth="1" style="1064" min="10" max="10"/>
    <col hidden="1" width="11.44140625" customWidth="1" style="1064" min="11" max="11"/>
    <col hidden="1" width="14.6640625" customWidth="1" style="1064" min="12" max="12"/>
    <col hidden="1" width="13" customWidth="1" style="1064" min="13" max="13"/>
    <col hidden="1" width="9.109375" customWidth="1" style="1064" min="14" max="14"/>
    <col width="9.109375" customWidth="1" style="1064" min="15" max="15"/>
    <col width="20" customWidth="1" style="1064" min="16" max="16"/>
    <col width="9.109375" customWidth="1" style="1064" min="17" max="26"/>
    <col width="14.44140625" customWidth="1" style="1064" min="27" max="27"/>
    <col width="14.44140625" customWidth="1" style="1064" min="28" max="16384"/>
  </cols>
  <sheetData>
    <row r="1" ht="18.75" customHeight="1">
      <c r="A1" s="1207" t="inlineStr">
        <is>
          <t xml:space="preserve">RESUMEN DE VALORES </t>
        </is>
      </c>
      <c r="B1" s="1080" t="n"/>
      <c r="C1" s="1080" t="n"/>
      <c r="D1" s="1080" t="n"/>
      <c r="E1" s="1083" t="n"/>
    </row>
    <row r="2" ht="12" customHeight="1" thickBot="1">
      <c r="A2" s="1208" t="n"/>
      <c r="B2" s="1109" t="n"/>
      <c r="C2" s="1109" t="n"/>
      <c r="D2" s="1109" t="n"/>
      <c r="E2" s="1161" t="n"/>
    </row>
    <row r="3" ht="12" customHeight="1" thickBot="1">
      <c r="A3" s="392" t="n"/>
      <c r="B3" s="393" t="n"/>
      <c r="C3" s="393" t="n"/>
      <c r="D3" s="393" t="n"/>
      <c r="E3" s="394" t="n"/>
    </row>
    <row r="4" ht="34.5" customHeight="1" thickBot="1">
      <c r="A4" s="395">
        <f>LEGAL!G6</f>
        <v/>
      </c>
      <c r="B4" s="1214">
        <f>LEGAL!B6</f>
        <v/>
      </c>
      <c r="C4" s="1215" t="n"/>
      <c r="D4" s="1215" t="n"/>
      <c r="E4" s="1216" t="n"/>
      <c r="F4" s="396" t="n"/>
      <c r="G4" s="397" t="n"/>
      <c r="H4" s="396" t="n"/>
      <c r="I4" s="396" t="n"/>
      <c r="J4" s="396" t="n"/>
      <c r="K4" s="398" t="n"/>
      <c r="L4" s="396" t="n"/>
      <c r="M4" s="396" t="n"/>
      <c r="N4" s="399" t="n"/>
    </row>
    <row r="5" ht="34.5" customHeight="1" thickBot="1">
      <c r="A5" s="1209" t="inlineStr">
        <is>
          <t>HIPOTECA</t>
        </is>
      </c>
      <c r="B5" s="400" t="n"/>
      <c r="C5" s="1272" t="inlineStr">
        <is>
          <t>VALOR  COMERCIAL 
$</t>
        </is>
      </c>
      <c r="D5" s="1273" t="inlineStr">
        <is>
          <t>AJUSTE
%</t>
        </is>
      </c>
      <c r="E5" s="1274" t="inlineStr">
        <is>
          <t>VALOR  LIQUIDACIÓN 
$</t>
        </is>
      </c>
      <c r="F5" s="29" t="n"/>
      <c r="G5" s="33" t="n"/>
      <c r="H5" s="404" t="n"/>
      <c r="I5" s="404" t="n"/>
      <c r="J5" s="29" t="n"/>
      <c r="K5" s="29" t="n"/>
      <c r="L5" s="29" t="n"/>
      <c r="M5" s="29" t="n"/>
      <c r="N5" s="405" t="n"/>
    </row>
    <row r="6" ht="18.75" customHeight="1">
      <c r="A6" s="1210" t="n"/>
      <c r="B6" s="406" t="inlineStr">
        <is>
          <t xml:space="preserve">SUELOS </t>
        </is>
      </c>
      <c r="C6" s="1275">
        <f>'SUELOS  '!G54</f>
        <v/>
      </c>
      <c r="D6" s="408" t="n">
        <v>0.7</v>
      </c>
      <c r="E6" s="1276">
        <f>C6*D6</f>
        <v/>
      </c>
      <c r="F6" s="29" t="n"/>
      <c r="G6" s="32" t="n"/>
      <c r="H6" s="404" t="n"/>
      <c r="I6" s="404" t="n"/>
      <c r="J6" s="29" t="n"/>
      <c r="K6" s="29" t="n"/>
      <c r="L6" s="29" t="n"/>
      <c r="M6" s="29" t="n"/>
      <c r="N6" s="405" t="n"/>
    </row>
    <row r="7" ht="18.75" customHeight="1">
      <c r="A7" s="1210" t="n"/>
      <c r="B7" s="410" t="inlineStr">
        <is>
          <t>DERECHOS DE AGUA</t>
        </is>
      </c>
      <c r="C7" s="1277">
        <f>'AGUA '!J27</f>
        <v/>
      </c>
      <c r="D7" s="412" t="n">
        <v>0.7</v>
      </c>
      <c r="E7" s="1278">
        <f>C7*D7</f>
        <v/>
      </c>
      <c r="F7" s="29" t="n"/>
      <c r="G7" s="32" t="n"/>
      <c r="H7" s="404" t="n"/>
      <c r="I7" s="404" t="n"/>
      <c r="J7" s="29" t="n"/>
      <c r="K7" s="29" t="n"/>
      <c r="L7" s="29" t="n"/>
      <c r="M7" s="29" t="n"/>
      <c r="N7" s="405" t="n"/>
    </row>
    <row r="8" ht="18.75" customHeight="1">
      <c r="A8" s="1210" t="n"/>
      <c r="B8" s="410" t="inlineStr">
        <is>
          <t>DERECHOS DE AGUA SIN HIPOTECAR</t>
        </is>
      </c>
      <c r="C8" s="1277" t="n"/>
      <c r="D8" s="412" t="n">
        <v>0.7</v>
      </c>
      <c r="E8" s="1278">
        <f>C8*D8</f>
        <v/>
      </c>
      <c r="F8" s="29" t="n"/>
      <c r="G8" s="32" t="n"/>
      <c r="H8" s="404" t="n"/>
      <c r="I8" s="404" t="n"/>
      <c r="J8" s="29" t="n"/>
      <c r="K8" s="29" t="n"/>
      <c r="L8" s="29" t="n"/>
      <c r="M8" s="29" t="n"/>
      <c r="N8" s="405" t="n"/>
    </row>
    <row r="9" ht="18.75" customHeight="1">
      <c r="A9" s="1210" t="n"/>
      <c r="B9" s="410" t="inlineStr">
        <is>
          <t>INFRAESTRUCTURA HIPOTECABLE</t>
        </is>
      </c>
      <c r="C9" s="1277">
        <f>SUMIF(CONSTR!$D$6:$D$10,'RESUMEN VALOR'!A4,CONSTR!$S$6:$S$10)</f>
        <v/>
      </c>
      <c r="D9" s="412" t="n">
        <v>0.7</v>
      </c>
      <c r="E9" s="1278">
        <f>C9*D9</f>
        <v/>
      </c>
      <c r="F9" s="29" t="n"/>
      <c r="G9" s="32" t="n"/>
      <c r="H9" s="404" t="n"/>
      <c r="I9" s="404" t="n"/>
      <c r="J9" s="29" t="n"/>
      <c r="K9" s="29" t="n"/>
      <c r="L9" s="29" t="n"/>
      <c r="M9" s="29" t="n"/>
      <c r="N9" s="405" t="n"/>
    </row>
    <row r="10" ht="22.5" customHeight="1" thickBot="1">
      <c r="A10" s="1211" t="n"/>
      <c r="B10" s="414" t="inlineStr">
        <is>
          <t>Total Hipoteca</t>
        </is>
      </c>
      <c r="C10" s="1279">
        <f>SUM(C6:C9)</f>
        <v/>
      </c>
      <c r="D10" s="1279" t="n"/>
      <c r="E10" s="1280">
        <f>SUM(E6:E9)</f>
        <v/>
      </c>
      <c r="F10" s="29" t="n"/>
      <c r="G10" s="32" t="n"/>
      <c r="H10" s="404" t="n"/>
      <c r="I10" s="404" t="n"/>
      <c r="J10" s="29" t="n"/>
      <c r="K10" s="29" t="n"/>
      <c r="L10" s="29" t="n"/>
      <c r="M10" s="29" t="n"/>
      <c r="N10" s="405" t="n"/>
      <c r="P10" s="1281" t="n"/>
    </row>
    <row r="11" ht="13.5" customHeight="1" thickBot="1">
      <c r="A11" s="417" t="n"/>
      <c r="B11" s="418" t="n"/>
      <c r="C11" s="1282" t="n"/>
      <c r="D11" s="1282" t="n"/>
      <c r="E11" s="1283" t="n"/>
      <c r="F11" s="29" t="n"/>
      <c r="G11" s="32" t="n"/>
      <c r="H11" s="404" t="n"/>
      <c r="I11" s="404" t="n"/>
      <c r="J11" s="29" t="n"/>
      <c r="K11" s="29" t="n"/>
      <c r="L11" s="29" t="n"/>
      <c r="M11" s="29" t="n"/>
      <c r="N11" s="405" t="n"/>
    </row>
    <row r="12" ht="34.5" customHeight="1" thickBot="1">
      <c r="A12" s="1212" t="inlineStr">
        <is>
          <t>PRENDA</t>
        </is>
      </c>
      <c r="B12" s="400" t="n"/>
      <c r="C12" s="1272" t="inlineStr">
        <is>
          <t>VALOR  COMERCIAL 
$</t>
        </is>
      </c>
      <c r="D12" s="1273" t="inlineStr">
        <is>
          <t>AJUSTE
%</t>
        </is>
      </c>
      <c r="E12" s="1274" t="inlineStr">
        <is>
          <t>VALOR  LIQUIDACIÓN 
$</t>
        </is>
      </c>
      <c r="F12" s="29" t="n"/>
      <c r="G12" s="32" t="n"/>
      <c r="H12" s="404" t="n"/>
      <c r="I12" s="404" t="n"/>
      <c r="J12" s="29" t="n"/>
      <c r="K12" s="29" t="n"/>
      <c r="L12" s="29" t="n"/>
      <c r="M12" s="29" t="n"/>
      <c r="N12" s="405" t="n"/>
    </row>
    <row r="13" ht="18" customHeight="1">
      <c r="A13" s="1210" t="n"/>
      <c r="B13" s="406" t="inlineStr">
        <is>
          <t>PLANTACIONES</t>
        </is>
      </c>
      <c r="C13" s="1275">
        <f>PLANTACION!H11</f>
        <v/>
      </c>
      <c r="D13" s="408" t="n">
        <v>0.5</v>
      </c>
      <c r="E13" s="1276">
        <f>C13*D13</f>
        <v/>
      </c>
      <c r="F13" s="29" t="n"/>
      <c r="G13" s="32" t="n"/>
      <c r="H13" s="404" t="n"/>
      <c r="I13" s="404" t="n"/>
      <c r="J13" s="29" t="n"/>
      <c r="K13" s="29" t="n"/>
      <c r="L13" s="29" t="n"/>
      <c r="M13" s="29" t="n"/>
      <c r="N13" s="405" t="n"/>
    </row>
    <row r="14" ht="18" customHeight="1">
      <c r="A14" s="1210" t="n"/>
      <c r="B14" s="406" t="inlineStr">
        <is>
          <t>PLANTACIONES CON ROYALTY</t>
        </is>
      </c>
      <c r="C14" s="1275">
        <f>SUMIF(PLANTACION!$E$15:$E$16,'RESUMEN VALOR'!A4,PLANTACION!$H$15:$H$16)</f>
        <v/>
      </c>
      <c r="D14" s="408" t="n">
        <v>0.5</v>
      </c>
      <c r="E14" s="1276">
        <f>C14*D14</f>
        <v/>
      </c>
      <c r="F14" s="29" t="n"/>
      <c r="G14" s="32" t="n"/>
      <c r="H14" s="404" t="n"/>
      <c r="I14" s="404" t="n"/>
      <c r="J14" s="29" t="n"/>
      <c r="K14" s="29" t="n"/>
      <c r="L14" s="29" t="n"/>
      <c r="M14" s="29" t="n"/>
      <c r="N14" s="405" t="n"/>
    </row>
    <row r="15" ht="18" customHeight="1">
      <c r="A15" s="1210" t="n"/>
      <c r="B15" s="406" t="inlineStr">
        <is>
          <t>INFRAESTRUCTURA PRENDABLE</t>
        </is>
      </c>
      <c r="C15" s="1275">
        <f>SUMIF(CONSTR!$D$15:$D$17,'RESUMEN VALOR'!A4,CONSTR!$S$15:$S$17)</f>
        <v/>
      </c>
      <c r="D15" s="408" t="n">
        <v>0.5</v>
      </c>
      <c r="E15" s="1276">
        <f>C15*D15</f>
        <v/>
      </c>
      <c r="F15" s="29" t="n"/>
      <c r="G15" s="32" t="n"/>
      <c r="H15" s="404" t="n"/>
      <c r="I15" s="404" t="n"/>
      <c r="J15" s="29" t="n"/>
      <c r="K15" s="29" t="n"/>
      <c r="L15" s="29" t="n"/>
      <c r="M15" s="29" t="n"/>
      <c r="N15" s="405" t="n"/>
    </row>
    <row r="16" ht="18" customHeight="1">
      <c r="A16" s="1210" t="n"/>
      <c r="B16" s="410" t="inlineStr">
        <is>
          <t>EQUIPOS E INSTALACIONES</t>
        </is>
      </c>
      <c r="C16" s="1277">
        <f>SUMIF(CONSTR!$D$22:$D$22,'RESUMEN VALOR'!A4,CONSTR!$S$22:$S$22)</f>
        <v/>
      </c>
      <c r="D16" s="412" t="n">
        <v>0.5</v>
      </c>
      <c r="E16" s="1278">
        <f>C16*D16</f>
        <v/>
      </c>
      <c r="F16" s="29" t="n"/>
      <c r="G16" s="32" t="n"/>
      <c r="H16" s="404" t="n"/>
      <c r="I16" s="404" t="n"/>
      <c r="J16" s="29" t="n"/>
      <c r="K16" s="29" t="n"/>
      <c r="L16" s="29" t="n"/>
      <c r="M16" s="29" t="n"/>
      <c r="N16" s="405" t="n"/>
    </row>
    <row r="17" ht="21.75" customHeight="1" thickBot="1">
      <c r="A17" s="1213" t="n"/>
      <c r="B17" s="421" t="inlineStr">
        <is>
          <t>Total Prenda</t>
        </is>
      </c>
      <c r="C17" s="1284">
        <f>SUM(C13:C16)</f>
        <v/>
      </c>
      <c r="D17" s="1284" t="n"/>
      <c r="E17" s="1285">
        <f>SUM(E13:E16)</f>
        <v/>
      </c>
      <c r="F17" s="424" t="n"/>
      <c r="G17" s="425" t="n"/>
      <c r="H17" s="426" t="n"/>
      <c r="I17" s="426" t="n"/>
      <c r="J17" s="424" t="n"/>
      <c r="K17" s="424" t="n"/>
      <c r="L17" s="424" t="n"/>
      <c r="M17" s="424" t="n"/>
      <c r="N17" s="427" t="n"/>
    </row>
    <row r="18" ht="16.2" customHeight="1" thickBot="1">
      <c r="A18" s="428" t="n"/>
      <c r="B18" s="429" t="n"/>
      <c r="C18" s="1286" t="n"/>
      <c r="D18" s="1286" t="n"/>
      <c r="E18" s="1287" t="n"/>
      <c r="F18" s="29" t="n"/>
      <c r="G18" s="29" t="n"/>
      <c r="H18" s="404" t="n"/>
      <c r="I18" s="404" t="n"/>
      <c r="J18" s="29" t="n"/>
      <c r="K18" s="29" t="n"/>
      <c r="L18" s="29" t="n"/>
      <c r="M18" s="29" t="n"/>
      <c r="N18" s="29" t="n"/>
    </row>
    <row r="19" ht="22.95" customHeight="1">
      <c r="A19" s="428" t="n"/>
      <c r="B19" s="433" t="inlineStr">
        <is>
          <t xml:space="preserve">TOTAL </t>
        </is>
      </c>
      <c r="C19" s="1288">
        <f>C17+C10</f>
        <v/>
      </c>
      <c r="D19" s="1289" t="n"/>
      <c r="E19" s="1290">
        <f>E17+E10</f>
        <v/>
      </c>
      <c r="F19" s="29" t="n"/>
      <c r="G19" s="432" t="n"/>
      <c r="H19" s="404" t="n"/>
      <c r="I19" s="404" t="n"/>
      <c r="J19" s="29" t="n"/>
      <c r="K19" s="29" t="n"/>
      <c r="L19" s="29" t="n"/>
      <c r="M19" s="29" t="n"/>
      <c r="N19" s="405" t="n"/>
    </row>
    <row r="20" ht="22.95" customHeight="1">
      <c r="A20" s="428" t="n"/>
      <c r="B20" s="437" t="inlineStr">
        <is>
          <t>USD</t>
        </is>
      </c>
      <c r="C20" s="438">
        <f>C19/USD</f>
        <v/>
      </c>
      <c r="D20" s="1291" t="n"/>
      <c r="E20" s="440">
        <f>E19/USD</f>
        <v/>
      </c>
      <c r="F20" s="29" t="n"/>
      <c r="G20" s="29" t="n"/>
      <c r="H20" s="29" t="n"/>
      <c r="I20" s="29" t="n"/>
      <c r="J20" s="29" t="n"/>
      <c r="K20" s="29" t="n"/>
      <c r="L20" s="29" t="n"/>
      <c r="M20" s="29" t="n"/>
      <c r="N20" s="405" t="n"/>
    </row>
    <row r="21" ht="22.95" customHeight="1" thickBot="1">
      <c r="A21" s="428" t="n"/>
      <c r="B21" s="441" t="inlineStr">
        <is>
          <t>UF</t>
        </is>
      </c>
      <c r="C21" s="1292">
        <f>C19/UF</f>
        <v/>
      </c>
      <c r="D21" s="1293" t="n"/>
      <c r="E21" s="1294">
        <f>E19/UF</f>
        <v/>
      </c>
      <c r="F21" s="29" t="n"/>
      <c r="G21" s="29" t="n"/>
      <c r="H21" s="29" t="n"/>
      <c r="I21" s="29" t="n"/>
      <c r="J21" s="32" t="n"/>
      <c r="K21" s="404" t="n"/>
      <c r="L21" s="29" t="n"/>
      <c r="M21" s="29" t="n"/>
      <c r="N21" s="405" t="n"/>
    </row>
    <row r="22" ht="15.75" customHeight="1">
      <c r="A22" s="428" t="n"/>
      <c r="B22" s="445" t="n"/>
      <c r="C22" s="1295" t="n"/>
      <c r="D22" s="1296" t="n"/>
      <c r="E22" s="1297" t="n"/>
      <c r="F22" s="29" t="n"/>
      <c r="G22" s="29" t="n"/>
      <c r="H22" s="29" t="n"/>
      <c r="I22" s="29" t="n"/>
      <c r="J22" s="32" t="n"/>
      <c r="K22" s="404" t="n"/>
      <c r="L22" s="29" t="n"/>
      <c r="M22" s="29" t="n"/>
      <c r="N22" s="405" t="n"/>
    </row>
    <row r="23" ht="15.75" customHeight="1" thickBot="1">
      <c r="A23" s="428" t="n"/>
      <c r="B23" s="449" t="n"/>
      <c r="C23" s="1298" t="n"/>
      <c r="D23" s="1298" t="n"/>
      <c r="E23" s="1299" t="n"/>
      <c r="F23" s="452" t="n"/>
      <c r="G23" s="452" t="n"/>
      <c r="H23" s="29" t="n"/>
      <c r="I23" s="29" t="n"/>
      <c r="J23" s="32" t="n"/>
      <c r="K23" s="404" t="n"/>
      <c r="L23" s="29" t="n"/>
      <c r="M23" s="29" t="n"/>
      <c r="N23" s="405" t="n"/>
    </row>
    <row r="24" ht="24.75" customHeight="1">
      <c r="A24" s="417" t="inlineStr">
        <is>
          <t>NOMBRE TASADOR</t>
        </is>
      </c>
      <c r="B24" s="1300" t="n"/>
      <c r="C24" s="1301" t="n"/>
      <c r="D24" s="1302" t="inlineStr">
        <is>
          <t>FECHA</t>
        </is>
      </c>
      <c r="E24" s="1303">
        <f>PORTADA!H7</f>
        <v/>
      </c>
      <c r="F24" s="29" t="n"/>
      <c r="G24" s="29" t="n"/>
      <c r="H24" s="29" t="n"/>
      <c r="I24" s="29" t="n"/>
      <c r="J24" s="32" t="n"/>
      <c r="K24" s="404" t="n"/>
      <c r="L24" s="29" t="n"/>
      <c r="M24" s="29" t="n"/>
      <c r="N24" s="405" t="n"/>
    </row>
    <row r="25" ht="24.75" customHeight="1">
      <c r="A25" s="417" t="inlineStr">
        <is>
          <t>RUT</t>
        </is>
      </c>
      <c r="B25" s="1300" t="n"/>
      <c r="C25" s="1301" t="n"/>
      <c r="D25" s="1298" t="inlineStr">
        <is>
          <t>DÓLAR</t>
        </is>
      </c>
      <c r="E25" s="1304">
        <f>USD</f>
        <v/>
      </c>
      <c r="F25" s="29" t="n"/>
      <c r="G25" s="29" t="n"/>
      <c r="H25" s="29" t="n"/>
      <c r="I25" s="29" t="n"/>
      <c r="J25" s="32" t="n"/>
      <c r="K25" s="404" t="n"/>
      <c r="L25" s="29" t="n"/>
      <c r="M25" s="29" t="n"/>
      <c r="N25" s="405" t="n"/>
    </row>
    <row r="26" ht="24.75" customHeight="1" thickBot="1">
      <c r="A26" s="417" t="inlineStr">
        <is>
          <t>Empresa</t>
        </is>
      </c>
      <c r="B26" s="1300" t="n"/>
      <c r="C26" s="1305" t="inlineStr">
        <is>
          <t xml:space="preserve">        FIRMA</t>
        </is>
      </c>
      <c r="D26" s="1298" t="inlineStr">
        <is>
          <t>UF</t>
        </is>
      </c>
      <c r="E26" s="1306">
        <f>UF</f>
        <v/>
      </c>
      <c r="F26" s="29" t="n"/>
      <c r="G26" s="29" t="n"/>
      <c r="H26" s="29" t="n"/>
      <c r="I26" s="29" t="n"/>
      <c r="J26" s="29" t="n"/>
      <c r="K26" s="29" t="n"/>
      <c r="L26" s="29" t="n"/>
      <c r="M26" s="29" t="n"/>
      <c r="N26" s="405" t="n"/>
    </row>
    <row r="27" ht="17.25" customHeight="1">
      <c r="A27" s="460" t="n"/>
      <c r="B27" s="461" t="n"/>
      <c r="C27" s="461" t="n"/>
      <c r="D27" s="461" t="n"/>
      <c r="E27" s="462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405" t="n"/>
    </row>
    <row r="28" ht="15.75" customHeight="1" thickBot="1">
      <c r="A28" s="134" t="n"/>
      <c r="B28" s="463" t="n"/>
      <c r="C28" s="1307" t="n"/>
      <c r="D28" s="1307" t="n"/>
      <c r="E28" s="1308" t="n"/>
      <c r="F28" s="1309" t="n"/>
      <c r="G28" s="424" t="n"/>
      <c r="H28" s="424" t="n"/>
      <c r="I28" s="424" t="n"/>
      <c r="J28" s="424" t="n"/>
      <c r="K28" s="424" t="n"/>
      <c r="L28" s="424" t="n"/>
      <c r="M28" s="424" t="n"/>
      <c r="N28" s="427" t="n"/>
    </row>
    <row r="29" ht="15.75" customHeight="1">
      <c r="B29" s="461" t="n"/>
      <c r="C29" s="1310" t="n"/>
      <c r="D29" s="1310" t="n"/>
      <c r="E29" s="1310" t="n"/>
      <c r="F29" s="1311" t="n"/>
      <c r="G29" s="29" t="n"/>
      <c r="H29" s="29" t="n"/>
      <c r="I29" s="29" t="n"/>
      <c r="J29" s="29" t="n"/>
      <c r="K29" s="29" t="n"/>
      <c r="L29" s="29" t="n"/>
      <c r="M29" s="29" t="n"/>
      <c r="N29" s="29" t="n"/>
    </row>
    <row r="30" ht="15.75" customHeight="1">
      <c r="B30" s="461" t="n"/>
      <c r="C30" s="1310" t="n"/>
      <c r="D30" s="1310" t="n"/>
      <c r="E30" s="1310" t="n"/>
      <c r="F30" s="1311" t="n"/>
      <c r="G30" s="29" t="n"/>
      <c r="H30" s="29" t="n"/>
      <c r="I30" s="29" t="n"/>
      <c r="J30" s="29" t="n"/>
      <c r="K30" s="29" t="n"/>
      <c r="L30" s="29" t="n"/>
      <c r="M30" s="29" t="n"/>
      <c r="N30" s="29" t="n"/>
    </row>
    <row r="31" ht="15.75" customHeight="1">
      <c r="B31" s="461" t="n"/>
      <c r="C31" s="1310" t="n"/>
      <c r="D31" s="1310" t="n"/>
      <c r="E31" s="1310" t="n"/>
      <c r="F31" s="29" t="n"/>
      <c r="G31" s="1312" t="n"/>
      <c r="H31" s="29" t="n"/>
      <c r="I31" s="29" t="n"/>
      <c r="J31" s="29" t="n"/>
      <c r="K31" s="29" t="n"/>
      <c r="L31" s="404" t="n"/>
      <c r="M31" s="29" t="n"/>
      <c r="N31" s="29" t="n"/>
    </row>
    <row r="32" ht="15.75" customHeight="1">
      <c r="B32" s="461" t="n"/>
      <c r="C32" s="1310" t="n"/>
      <c r="D32" s="1310" t="n"/>
      <c r="E32" s="1310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</row>
    <row r="33" ht="15.75" customHeight="1">
      <c r="B33" s="461" t="n"/>
      <c r="C33" s="1310" t="n"/>
      <c r="D33" s="1310" t="n"/>
      <c r="E33" s="1310" t="n"/>
      <c r="F33" s="29" t="n"/>
      <c r="G33" s="470" t="n"/>
      <c r="H33" s="29" t="n"/>
      <c r="I33" s="29" t="n"/>
      <c r="J33" s="29" t="n"/>
      <c r="K33" s="29" t="n"/>
      <c r="L33" s="29" t="n"/>
      <c r="M33" s="29" t="n"/>
      <c r="N33" s="29" t="n"/>
    </row>
    <row r="34" ht="15.75" customHeight="1">
      <c r="B34" s="461" t="n"/>
      <c r="C34" s="1310" t="n"/>
      <c r="D34" s="1310" t="n"/>
      <c r="E34" s="1310" t="n"/>
      <c r="F34" s="1311" t="n"/>
      <c r="G34" s="29" t="n"/>
      <c r="H34" s="29" t="n"/>
      <c r="I34" s="29" t="n"/>
      <c r="J34" s="29" t="n"/>
      <c r="K34" s="29" t="n"/>
      <c r="L34" s="29" t="n"/>
      <c r="M34" s="29" t="n"/>
      <c r="N34" s="29" t="n"/>
    </row>
    <row r="35" ht="15.75" customHeight="1">
      <c r="B35" s="461" t="n"/>
      <c r="C35" s="1310" t="n"/>
      <c r="D35" s="1310" t="n"/>
      <c r="E35" s="1310" t="n"/>
      <c r="F35" s="1311" t="n"/>
      <c r="G35" s="29" t="n"/>
      <c r="H35" s="29" t="n"/>
      <c r="I35" s="29" t="n"/>
      <c r="J35" s="29" t="n"/>
      <c r="K35" s="29" t="n"/>
      <c r="L35" s="29" t="n"/>
      <c r="M35" s="29" t="n"/>
      <c r="N35" s="29" t="n"/>
    </row>
    <row r="36" ht="15.75" customHeight="1">
      <c r="B36" s="461" t="n"/>
      <c r="C36" s="1310" t="n"/>
      <c r="D36" s="1310" t="n"/>
      <c r="E36" s="1310" t="n"/>
      <c r="F36" s="1311" t="n"/>
      <c r="G36" s="29" t="n"/>
      <c r="H36" s="29" t="n"/>
      <c r="I36" s="29" t="n"/>
      <c r="J36" s="29" t="n"/>
      <c r="K36" s="29" t="n"/>
      <c r="L36" s="29" t="n"/>
      <c r="M36" s="29" t="n"/>
      <c r="N36" s="29" t="n"/>
    </row>
    <row r="37" ht="15.75" customHeight="1">
      <c r="B37" s="461" t="n"/>
      <c r="C37" s="1310" t="n"/>
      <c r="D37" s="1310" t="n"/>
      <c r="E37" s="1310" t="n"/>
      <c r="N37" s="29" t="n"/>
    </row>
    <row r="38" ht="15.75" customHeight="1">
      <c r="B38" s="461" t="n"/>
      <c r="C38" s="1310" t="n"/>
      <c r="D38" s="1310" t="n"/>
      <c r="E38" s="1310" t="n"/>
      <c r="N38" s="29" t="n"/>
    </row>
    <row r="39" ht="15.75" customHeight="1">
      <c r="B39" s="461" t="n"/>
      <c r="C39" s="1310" t="n"/>
      <c r="D39" s="1310" t="n"/>
      <c r="E39" s="1310" t="n"/>
      <c r="N39" s="29" t="n"/>
    </row>
    <row r="40" ht="15.75" customHeight="1">
      <c r="B40" s="461" t="n"/>
      <c r="C40" s="1310" t="n"/>
      <c r="D40" s="1310" t="n"/>
      <c r="E40" s="1310" t="n"/>
      <c r="N40" s="29" t="n"/>
    </row>
    <row r="41" ht="15.75" customHeight="1">
      <c r="B41" s="461" t="n"/>
      <c r="C41" s="1310" t="n"/>
      <c r="D41" s="1310" t="n"/>
      <c r="E41" s="1310" t="n"/>
      <c r="N41" s="29" t="n"/>
    </row>
    <row r="42" ht="15.75" customHeight="1">
      <c r="B42" s="461" t="n"/>
      <c r="C42" s="1310" t="n"/>
      <c r="D42" s="1310" t="n"/>
      <c r="E42" s="1310" t="n"/>
      <c r="N42" s="29" t="n"/>
    </row>
    <row r="43" ht="15.75" customHeight="1">
      <c r="B43" s="461" t="n"/>
      <c r="C43" s="1310" t="n"/>
      <c r="D43" s="1310" t="n"/>
      <c r="E43" s="1310" t="n"/>
      <c r="N43" s="29" t="n"/>
    </row>
    <row r="44" ht="15.75" customHeight="1">
      <c r="B44" s="461" t="n"/>
      <c r="C44" s="1310" t="n"/>
      <c r="D44" s="1310" t="n"/>
      <c r="E44" s="1310" t="n"/>
      <c r="N44" s="29" t="n"/>
    </row>
    <row r="45" ht="15.75" customHeight="1">
      <c r="B45" s="461" t="n"/>
      <c r="C45" s="1310" t="n"/>
      <c r="D45" s="1310" t="n"/>
      <c r="E45" s="1310" t="n"/>
      <c r="N45" s="29" t="n"/>
    </row>
    <row r="46" ht="15.75" customHeight="1">
      <c r="B46" s="461" t="n"/>
      <c r="C46" s="1310" t="n"/>
      <c r="D46" s="1310" t="n"/>
      <c r="E46" s="1310" t="n"/>
      <c r="N46" s="29" t="n"/>
    </row>
    <row r="47" ht="15.75" customHeight="1">
      <c r="B47" s="461" t="n"/>
      <c r="C47" s="1310" t="n"/>
      <c r="D47" s="1310" t="n"/>
      <c r="E47" s="1310" t="n"/>
      <c r="N47" s="29" t="n"/>
    </row>
    <row r="48" ht="15.75" customHeight="1">
      <c r="B48" s="461" t="n"/>
      <c r="C48" s="1310" t="n"/>
      <c r="D48" s="1310" t="n"/>
      <c r="E48" s="1310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</row>
    <row r="49" ht="15.75" customHeight="1">
      <c r="B49" s="461" t="n"/>
      <c r="C49" s="1310" t="n"/>
      <c r="D49" s="1310" t="n"/>
      <c r="E49" s="1310" t="n"/>
    </row>
    <row r="50" ht="15.75" customHeight="1">
      <c r="B50" s="461" t="n"/>
      <c r="C50" s="1310" t="n"/>
      <c r="D50" s="1310" t="n"/>
      <c r="E50" s="1310" t="n"/>
    </row>
    <row r="51" ht="15.75" customHeight="1">
      <c r="B51" s="461" t="n"/>
      <c r="C51" s="1310" t="n"/>
      <c r="D51" s="1310" t="n"/>
      <c r="E51" s="1310" t="n"/>
    </row>
    <row r="52" ht="15.75" customHeight="1">
      <c r="B52" s="461" t="n"/>
      <c r="C52" s="1310" t="n"/>
      <c r="D52" s="1310" t="n"/>
      <c r="E52" s="1310" t="n"/>
    </row>
    <row r="53" ht="15.75" customHeight="1">
      <c r="B53" s="461" t="n"/>
      <c r="C53" s="1310" t="n"/>
      <c r="D53" s="1310" t="n"/>
      <c r="E53" s="1310" t="n"/>
    </row>
    <row r="54" ht="15.75" customHeight="1">
      <c r="B54" s="461" t="n"/>
      <c r="C54" s="1310" t="n"/>
      <c r="D54" s="1310" t="n"/>
      <c r="E54" s="1310" t="n"/>
    </row>
    <row r="55" ht="15.75" customHeight="1">
      <c r="B55" s="461" t="n"/>
      <c r="C55" s="1310" t="n"/>
      <c r="D55" s="1310" t="n"/>
      <c r="E55" s="1310" t="n"/>
    </row>
    <row r="56" ht="15.75" customHeight="1">
      <c r="B56" s="461" t="n"/>
      <c r="C56" s="1310" t="n"/>
      <c r="D56" s="1310" t="n"/>
      <c r="E56" s="1310" t="n"/>
    </row>
    <row r="57" ht="15.75" customHeight="1">
      <c r="B57" s="461" t="n"/>
      <c r="C57" s="1310" t="n"/>
      <c r="D57" s="1310" t="n"/>
      <c r="E57" s="1310" t="n"/>
    </row>
    <row r="58" ht="15.75" customHeight="1">
      <c r="B58" s="461" t="n"/>
      <c r="C58" s="1310" t="n"/>
      <c r="D58" s="1310" t="n"/>
      <c r="E58" s="1310" t="n"/>
    </row>
    <row r="59" ht="15.75" customHeight="1">
      <c r="B59" s="461" t="n"/>
      <c r="C59" s="1310" t="n"/>
      <c r="D59" s="1310" t="n"/>
      <c r="E59" s="1310" t="n"/>
    </row>
    <row r="60" ht="15.75" customHeight="1">
      <c r="B60" s="461" t="n"/>
      <c r="C60" s="1310" t="n"/>
      <c r="D60" s="1310" t="n"/>
      <c r="E60" s="1310" t="n"/>
    </row>
    <row r="61" ht="15.75" customHeight="1">
      <c r="B61" s="461" t="n"/>
      <c r="C61" s="1310" t="n"/>
      <c r="D61" s="1310" t="n"/>
      <c r="E61" s="1310" t="n"/>
    </row>
    <row r="62" ht="15.75" customHeight="1">
      <c r="B62" s="461" t="n"/>
      <c r="C62" s="1310" t="n"/>
      <c r="D62" s="1310" t="n"/>
      <c r="E62" s="1310" t="n"/>
    </row>
    <row r="63" ht="15.75" customHeight="1">
      <c r="B63" s="461" t="n"/>
      <c r="C63" s="1310" t="n"/>
      <c r="D63" s="1310" t="n"/>
      <c r="E63" s="1310" t="n"/>
    </row>
    <row r="64" ht="15.75" customHeight="1">
      <c r="B64" s="461" t="n"/>
      <c r="C64" s="1310" t="n"/>
      <c r="D64" s="1310" t="n"/>
      <c r="E64" s="1310" t="n"/>
    </row>
    <row r="65" ht="15.75" customHeight="1">
      <c r="B65" s="461" t="n"/>
      <c r="C65" s="1310" t="n"/>
      <c r="D65" s="1310" t="n"/>
      <c r="E65" s="1310" t="n"/>
    </row>
    <row r="66" ht="15.75" customHeight="1">
      <c r="B66" s="461" t="n"/>
      <c r="C66" s="1310" t="n"/>
      <c r="D66" s="1310" t="n"/>
      <c r="E66" s="1310" t="n"/>
    </row>
    <row r="67" ht="15.75" customHeight="1">
      <c r="B67" s="461" t="n"/>
      <c r="C67" s="1310" t="n"/>
      <c r="D67" s="1310" t="n"/>
      <c r="E67" s="1310" t="n"/>
    </row>
    <row r="68" ht="15.75" customHeight="1">
      <c r="B68" s="461" t="n"/>
      <c r="C68" s="1310" t="n"/>
      <c r="D68" s="1310" t="n"/>
      <c r="E68" s="1310" t="n"/>
    </row>
    <row r="69" ht="15.75" customHeight="1">
      <c r="B69" s="461" t="n"/>
      <c r="C69" s="1310" t="n"/>
      <c r="D69" s="1310" t="n"/>
      <c r="E69" s="1310" t="n"/>
    </row>
    <row r="70" ht="15.75" customHeight="1">
      <c r="B70" s="461" t="n"/>
      <c r="C70" s="1310" t="n"/>
      <c r="D70" s="1310" t="n"/>
      <c r="E70" s="1310" t="n"/>
    </row>
    <row r="71" ht="15.75" customHeight="1">
      <c r="B71" s="461" t="n"/>
      <c r="C71" s="1310" t="n"/>
      <c r="D71" s="1310" t="n"/>
      <c r="E71" s="1310" t="n"/>
    </row>
    <row r="72" ht="15.75" customHeight="1">
      <c r="B72" s="461" t="n"/>
      <c r="C72" s="1310" t="n"/>
      <c r="D72" s="1310" t="n"/>
      <c r="E72" s="1310" t="n"/>
    </row>
    <row r="73" ht="15.75" customHeight="1">
      <c r="B73" s="461" t="n"/>
      <c r="C73" s="1310" t="n"/>
      <c r="D73" s="1310" t="n"/>
      <c r="E73" s="1310" t="n"/>
    </row>
    <row r="74" ht="15.75" customHeight="1">
      <c r="B74" s="461" t="n"/>
      <c r="C74" s="1310" t="n"/>
      <c r="D74" s="1310" t="n"/>
      <c r="E74" s="1310" t="n"/>
    </row>
    <row r="75" ht="15.75" customHeight="1">
      <c r="B75" s="461" t="n"/>
      <c r="C75" s="1310" t="n"/>
      <c r="D75" s="1310" t="n"/>
      <c r="E75" s="1310" t="n"/>
    </row>
    <row r="76" ht="15.75" customHeight="1">
      <c r="B76" s="461" t="n"/>
      <c r="C76" s="1310" t="n"/>
      <c r="D76" s="1310" t="n"/>
      <c r="E76" s="1310" t="n"/>
    </row>
    <row r="77" ht="15.75" customHeight="1">
      <c r="B77" s="461" t="n"/>
      <c r="C77" s="1310" t="n"/>
      <c r="D77" s="1310" t="n"/>
      <c r="E77" s="1310" t="n"/>
    </row>
    <row r="78" ht="15.75" customHeight="1">
      <c r="B78" s="461" t="n"/>
      <c r="C78" s="1310" t="n"/>
      <c r="D78" s="1310" t="n"/>
      <c r="E78" s="1310" t="n"/>
    </row>
    <row r="79" ht="15.75" customHeight="1">
      <c r="B79" s="461" t="n"/>
      <c r="C79" s="1310" t="n"/>
      <c r="D79" s="1310" t="n"/>
      <c r="E79" s="1310" t="n"/>
    </row>
    <row r="80" ht="15.75" customHeight="1">
      <c r="B80" s="461" t="n"/>
      <c r="C80" s="1310" t="n"/>
      <c r="D80" s="1310" t="n"/>
      <c r="E80" s="1310" t="n"/>
    </row>
    <row r="81" ht="15.75" customHeight="1">
      <c r="B81" s="461" t="n"/>
      <c r="C81" s="1310" t="n"/>
      <c r="D81" s="1310" t="n"/>
      <c r="E81" s="1310" t="n"/>
    </row>
    <row r="82" ht="15.75" customHeight="1">
      <c r="B82" s="461" t="n"/>
      <c r="C82" s="1310" t="n"/>
      <c r="D82" s="1310" t="n"/>
      <c r="E82" s="1310" t="n"/>
    </row>
    <row r="83" ht="15.75" customHeight="1">
      <c r="B83" s="461" t="n"/>
      <c r="C83" s="1310" t="n"/>
      <c r="D83" s="1310" t="n"/>
      <c r="E83" s="1310" t="n"/>
    </row>
    <row r="84" ht="15.75" customHeight="1">
      <c r="B84" s="461" t="n"/>
      <c r="C84" s="1310" t="n"/>
      <c r="D84" s="1310" t="n"/>
      <c r="E84" s="1310" t="n"/>
    </row>
    <row r="85" ht="15.75" customHeight="1">
      <c r="B85" s="461" t="n"/>
      <c r="C85" s="1310" t="n"/>
      <c r="D85" s="1310" t="n"/>
      <c r="E85" s="1310" t="n"/>
    </row>
    <row r="86" ht="15.75" customHeight="1">
      <c r="B86" s="461" t="n"/>
      <c r="C86" s="1310" t="n"/>
      <c r="D86" s="1310" t="n"/>
      <c r="E86" s="1310" t="n"/>
    </row>
    <row r="87" ht="15.75" customHeight="1">
      <c r="B87" s="461" t="n"/>
      <c r="C87" s="1310" t="n"/>
      <c r="D87" s="1310" t="n"/>
      <c r="E87" s="1310" t="n"/>
    </row>
    <row r="88" ht="15.75" customHeight="1">
      <c r="B88" s="461" t="n"/>
      <c r="C88" s="1310" t="n"/>
      <c r="D88" s="1310" t="n"/>
      <c r="E88" s="1310" t="n"/>
    </row>
    <row r="89" ht="15.75" customHeight="1">
      <c r="B89" s="461" t="n"/>
      <c r="C89" s="1310" t="n"/>
      <c r="D89" s="1310" t="n"/>
      <c r="E89" s="1310" t="n"/>
    </row>
    <row r="90" ht="15.75" customHeight="1">
      <c r="B90" s="461" t="n"/>
      <c r="C90" s="1310" t="n"/>
      <c r="D90" s="1310" t="n"/>
      <c r="E90" s="1310" t="n"/>
    </row>
    <row r="91" ht="15.75" customHeight="1">
      <c r="B91" s="461" t="n"/>
      <c r="C91" s="1310" t="n"/>
      <c r="D91" s="1310" t="n"/>
      <c r="E91" s="1310" t="n"/>
    </row>
    <row r="92" ht="15.75" customHeight="1">
      <c r="B92" s="461" t="n"/>
      <c r="C92" s="1310" t="n"/>
      <c r="D92" s="1310" t="n"/>
      <c r="E92" s="1310" t="n"/>
    </row>
    <row r="93" ht="15.75" customHeight="1">
      <c r="B93" s="461" t="n"/>
      <c r="C93" s="1310" t="n"/>
      <c r="D93" s="1310" t="n"/>
      <c r="E93" s="1310" t="n"/>
    </row>
    <row r="94" ht="15.75" customHeight="1">
      <c r="B94" s="461" t="n"/>
      <c r="C94" s="1310" t="n"/>
      <c r="D94" s="1310" t="n"/>
      <c r="E94" s="1310" t="n"/>
    </row>
    <row r="95" ht="15.75" customHeight="1">
      <c r="B95" s="461" t="n"/>
      <c r="C95" s="1310" t="n"/>
      <c r="D95" s="1310" t="n"/>
      <c r="E95" s="1310" t="n"/>
    </row>
    <row r="96" ht="15.75" customHeight="1">
      <c r="B96" s="461" t="n"/>
      <c r="C96" s="1310" t="n"/>
      <c r="D96" s="1310" t="n"/>
      <c r="E96" s="1310" t="n"/>
    </row>
    <row r="97" ht="15.75" customHeight="1">
      <c r="B97" s="461" t="n"/>
      <c r="C97" s="1310" t="n"/>
      <c r="D97" s="1310" t="n"/>
      <c r="E97" s="1310" t="n"/>
    </row>
    <row r="98" ht="15.75" customHeight="1">
      <c r="B98" s="461" t="n"/>
      <c r="C98" s="1310" t="n"/>
      <c r="D98" s="1310" t="n"/>
      <c r="E98" s="1310" t="n"/>
    </row>
    <row r="99" ht="15.75" customHeight="1">
      <c r="B99" s="461" t="n"/>
      <c r="C99" s="1310" t="n"/>
      <c r="D99" s="1310" t="n"/>
      <c r="E99" s="1310" t="n"/>
    </row>
    <row r="100" ht="15.75" customHeight="1">
      <c r="B100" s="461" t="n"/>
      <c r="C100" s="1310" t="n"/>
      <c r="D100" s="1310" t="n"/>
      <c r="E100" s="1310" t="n"/>
    </row>
    <row r="101" ht="15.75" customHeight="1">
      <c r="B101" s="461" t="n"/>
      <c r="C101" s="1310" t="n"/>
      <c r="D101" s="1310" t="n"/>
      <c r="E101" s="1310" t="n"/>
    </row>
    <row r="102" ht="15.75" customHeight="1">
      <c r="B102" s="461" t="n"/>
      <c r="C102" s="1310" t="n"/>
      <c r="D102" s="1310" t="n"/>
      <c r="E102" s="1310" t="n"/>
    </row>
    <row r="103" ht="15.75" customHeight="1">
      <c r="B103" s="461" t="n"/>
      <c r="C103" s="1310" t="n"/>
      <c r="D103" s="1310" t="n"/>
      <c r="E103" s="1310" t="n"/>
    </row>
    <row r="104" ht="15.75" customHeight="1">
      <c r="B104" s="461" t="n"/>
      <c r="C104" s="1310" t="n"/>
      <c r="D104" s="1310" t="n"/>
      <c r="E104" s="1310" t="n"/>
    </row>
    <row r="105" ht="15.75" customHeight="1">
      <c r="B105" s="461" t="n"/>
      <c r="C105" s="1310" t="n"/>
      <c r="D105" s="1310" t="n"/>
      <c r="E105" s="1310" t="n"/>
    </row>
    <row r="106" ht="15.75" customHeight="1">
      <c r="B106" s="461" t="n"/>
      <c r="C106" s="1310" t="n"/>
      <c r="D106" s="1310" t="n"/>
      <c r="E106" s="1310" t="n"/>
    </row>
    <row r="107" ht="15.75" customHeight="1">
      <c r="B107" s="461" t="n"/>
      <c r="C107" s="1310" t="n"/>
      <c r="D107" s="1310" t="n"/>
      <c r="E107" s="1310" t="n"/>
    </row>
    <row r="108" ht="15.75" customHeight="1">
      <c r="B108" s="461" t="n"/>
      <c r="C108" s="1310" t="n"/>
      <c r="D108" s="1310" t="n"/>
      <c r="E108" s="1310" t="n"/>
    </row>
    <row r="109" ht="15.75" customHeight="1">
      <c r="B109" s="461" t="n"/>
      <c r="C109" s="1310" t="n"/>
      <c r="D109" s="1310" t="n"/>
      <c r="E109" s="1310" t="n"/>
    </row>
    <row r="110" ht="15.75" customHeight="1">
      <c r="B110" s="461" t="n"/>
      <c r="C110" s="1310" t="n"/>
      <c r="D110" s="1310" t="n"/>
      <c r="E110" s="1310" t="n"/>
    </row>
    <row r="111" ht="15.75" customHeight="1">
      <c r="B111" s="461" t="n"/>
      <c r="C111" s="1310" t="n"/>
      <c r="D111" s="1310" t="n"/>
      <c r="E111" s="1310" t="n"/>
    </row>
    <row r="112" ht="15.75" customHeight="1">
      <c r="B112" s="461" t="n"/>
      <c r="C112" s="1310" t="n"/>
      <c r="D112" s="1310" t="n"/>
      <c r="E112" s="1310" t="n"/>
    </row>
    <row r="113" ht="15.75" customHeight="1">
      <c r="B113" s="461" t="n"/>
      <c r="C113" s="1310" t="n"/>
      <c r="D113" s="1310" t="n"/>
      <c r="E113" s="1310" t="n"/>
    </row>
    <row r="114" ht="15.75" customHeight="1">
      <c r="B114" s="461" t="n"/>
      <c r="C114" s="1310" t="n"/>
      <c r="D114" s="1310" t="n"/>
      <c r="E114" s="1310" t="n"/>
    </row>
    <row r="115" ht="15.75" customHeight="1">
      <c r="B115" s="461" t="n"/>
      <c r="C115" s="1310" t="n"/>
      <c r="D115" s="1310" t="n"/>
      <c r="E115" s="1310" t="n"/>
    </row>
    <row r="116" ht="15.75" customHeight="1">
      <c r="B116" s="461" t="n"/>
      <c r="C116" s="1310" t="n"/>
      <c r="D116" s="1310" t="n"/>
      <c r="E116" s="1310" t="n"/>
    </row>
    <row r="117" ht="15.75" customHeight="1">
      <c r="B117" s="461" t="n"/>
      <c r="C117" s="1310" t="n"/>
      <c r="D117" s="1310" t="n"/>
      <c r="E117" s="1310" t="n"/>
    </row>
    <row r="118" ht="15.75" customHeight="1">
      <c r="B118" s="461" t="n"/>
      <c r="C118" s="1310" t="n"/>
      <c r="D118" s="1310" t="n"/>
      <c r="E118" s="1310" t="n"/>
    </row>
    <row r="119" ht="15.75" customHeight="1">
      <c r="B119" s="461" t="n"/>
      <c r="C119" s="1310" t="n"/>
      <c r="D119" s="1310" t="n"/>
      <c r="E119" s="1310" t="n"/>
    </row>
    <row r="120" ht="15.75" customHeight="1">
      <c r="B120" s="461" t="n"/>
      <c r="C120" s="1310" t="n"/>
      <c r="D120" s="1310" t="n"/>
      <c r="E120" s="1310" t="n"/>
    </row>
    <row r="121" ht="15.75" customHeight="1">
      <c r="B121" s="461" t="n"/>
      <c r="C121" s="1310" t="n"/>
      <c r="D121" s="1310" t="n"/>
      <c r="E121" s="1310" t="n"/>
    </row>
    <row r="122" ht="15.75" customHeight="1">
      <c r="B122" s="461" t="n"/>
      <c r="C122" s="1310" t="n"/>
      <c r="D122" s="1310" t="n"/>
      <c r="E122" s="1310" t="n"/>
    </row>
    <row r="123" ht="15.75" customHeight="1">
      <c r="B123" s="461" t="n"/>
      <c r="C123" s="1310" t="n"/>
      <c r="D123" s="1310" t="n"/>
      <c r="E123" s="1310" t="n"/>
    </row>
    <row r="124" ht="15.75" customHeight="1">
      <c r="B124" s="461" t="n"/>
      <c r="C124" s="1310" t="n"/>
      <c r="D124" s="1310" t="n"/>
      <c r="E124" s="1310" t="n"/>
    </row>
    <row r="125" ht="15.75" customHeight="1">
      <c r="B125" s="461" t="n"/>
      <c r="C125" s="1310" t="n"/>
      <c r="D125" s="1310" t="n"/>
      <c r="E125" s="1310" t="n"/>
    </row>
    <row r="126" ht="15.75" customHeight="1">
      <c r="B126" s="461" t="n"/>
      <c r="C126" s="1310" t="n"/>
      <c r="D126" s="1310" t="n"/>
      <c r="E126" s="1310" t="n"/>
    </row>
    <row r="127" ht="15.75" customHeight="1">
      <c r="B127" s="461" t="n"/>
      <c r="C127" s="1310" t="n"/>
      <c r="D127" s="1310" t="n"/>
      <c r="E127" s="1310" t="n"/>
    </row>
    <row r="128" ht="15.75" customHeight="1">
      <c r="B128" s="461" t="n"/>
      <c r="C128" s="1310" t="n"/>
      <c r="D128" s="1310" t="n"/>
      <c r="E128" s="1310" t="n"/>
    </row>
    <row r="129" ht="15.75" customHeight="1">
      <c r="B129" s="461" t="n"/>
      <c r="C129" s="1310" t="n"/>
      <c r="D129" s="1310" t="n"/>
      <c r="E129" s="1310" t="n"/>
    </row>
    <row r="130" ht="15.75" customHeight="1">
      <c r="B130" s="461" t="n"/>
      <c r="C130" s="1310" t="n"/>
      <c r="D130" s="1310" t="n"/>
      <c r="E130" s="1310" t="n"/>
    </row>
    <row r="131" ht="15.75" customHeight="1">
      <c r="B131" s="461" t="n"/>
      <c r="C131" s="1310" t="n"/>
      <c r="D131" s="1310" t="n"/>
      <c r="E131" s="1310" t="n"/>
    </row>
    <row r="132" ht="15.75" customHeight="1">
      <c r="B132" s="461" t="n"/>
      <c r="C132" s="1310" t="n"/>
      <c r="D132" s="1310" t="n"/>
      <c r="E132" s="1310" t="n"/>
    </row>
    <row r="133" ht="15.75" customHeight="1">
      <c r="B133" s="461" t="n"/>
      <c r="C133" s="1310" t="n"/>
      <c r="D133" s="1310" t="n"/>
      <c r="E133" s="1310" t="n"/>
    </row>
    <row r="134" ht="15.75" customHeight="1">
      <c r="B134" s="461" t="n"/>
      <c r="C134" s="1310" t="n"/>
      <c r="D134" s="1310" t="n"/>
      <c r="E134" s="1310" t="n"/>
    </row>
    <row r="135" ht="15.75" customHeight="1">
      <c r="B135" s="461" t="n"/>
      <c r="C135" s="1310" t="n"/>
      <c r="D135" s="1310" t="n"/>
      <c r="E135" s="1310" t="n"/>
    </row>
    <row r="136" ht="15.75" customHeight="1">
      <c r="B136" s="461" t="n"/>
      <c r="C136" s="1310" t="n"/>
      <c r="D136" s="1310" t="n"/>
      <c r="E136" s="1310" t="n"/>
    </row>
    <row r="137" ht="15.75" customHeight="1">
      <c r="B137" s="461" t="n"/>
      <c r="C137" s="1310" t="n"/>
      <c r="D137" s="1310" t="n"/>
      <c r="E137" s="1310" t="n"/>
    </row>
    <row r="138" ht="15.75" customHeight="1">
      <c r="B138" s="461" t="n"/>
      <c r="C138" s="1310" t="n"/>
      <c r="D138" s="1310" t="n"/>
      <c r="E138" s="1310" t="n"/>
    </row>
    <row r="139" ht="15.75" customHeight="1">
      <c r="B139" s="461" t="n"/>
      <c r="C139" s="1310" t="n"/>
      <c r="D139" s="1310" t="n"/>
      <c r="E139" s="1310" t="n"/>
    </row>
    <row r="140" ht="15.75" customHeight="1">
      <c r="B140" s="461" t="n"/>
      <c r="C140" s="1310" t="n"/>
      <c r="D140" s="1310" t="n"/>
      <c r="E140" s="1310" t="n"/>
    </row>
    <row r="141" ht="15.75" customHeight="1">
      <c r="B141" s="461" t="n"/>
      <c r="C141" s="1310" t="n"/>
      <c r="D141" s="1310" t="n"/>
      <c r="E141" s="1310" t="n"/>
    </row>
    <row r="142" ht="15.75" customHeight="1">
      <c r="B142" s="461" t="n"/>
      <c r="C142" s="1310" t="n"/>
      <c r="D142" s="1310" t="n"/>
      <c r="E142" s="1310" t="n"/>
    </row>
    <row r="143" ht="15.75" customHeight="1">
      <c r="B143" s="461" t="n"/>
      <c r="C143" s="1310" t="n"/>
      <c r="D143" s="1310" t="n"/>
      <c r="E143" s="1310" t="n"/>
    </row>
    <row r="144" ht="15.75" customHeight="1">
      <c r="B144" s="461" t="n"/>
      <c r="C144" s="1310" t="n"/>
      <c r="D144" s="1310" t="n"/>
      <c r="E144" s="1310" t="n"/>
    </row>
    <row r="145" ht="15.75" customHeight="1">
      <c r="B145" s="461" t="n"/>
      <c r="C145" s="1310" t="n"/>
      <c r="D145" s="1310" t="n"/>
      <c r="E145" s="1310" t="n"/>
    </row>
    <row r="146" ht="15.75" customHeight="1">
      <c r="B146" s="461" t="n"/>
      <c r="C146" s="1310" t="n"/>
      <c r="D146" s="1310" t="n"/>
      <c r="E146" s="1310" t="n"/>
    </row>
    <row r="147" ht="15.75" customHeight="1">
      <c r="B147" s="461" t="n"/>
      <c r="C147" s="1310" t="n"/>
      <c r="D147" s="1310" t="n"/>
      <c r="E147" s="1310" t="n"/>
    </row>
    <row r="148" ht="15.75" customHeight="1">
      <c r="B148" s="461" t="n"/>
      <c r="C148" s="1310" t="n"/>
      <c r="D148" s="1310" t="n"/>
      <c r="E148" s="1310" t="n"/>
    </row>
    <row r="149" ht="15.75" customHeight="1">
      <c r="B149" s="461" t="n"/>
      <c r="C149" s="1310" t="n"/>
      <c r="D149" s="1310" t="n"/>
      <c r="E149" s="1310" t="n"/>
    </row>
    <row r="150" ht="15.75" customHeight="1">
      <c r="B150" s="461" t="n"/>
      <c r="C150" s="1310" t="n"/>
      <c r="D150" s="1310" t="n"/>
      <c r="E150" s="1310" t="n"/>
    </row>
    <row r="151" ht="15.75" customHeight="1">
      <c r="B151" s="461" t="n"/>
      <c r="C151" s="1310" t="n"/>
      <c r="D151" s="1310" t="n"/>
      <c r="E151" s="1310" t="n"/>
    </row>
    <row r="152" ht="15.75" customHeight="1">
      <c r="B152" s="461" t="n"/>
      <c r="C152" s="1310" t="n"/>
      <c r="D152" s="1310" t="n"/>
      <c r="E152" s="1310" t="n"/>
    </row>
    <row r="153" ht="15.75" customHeight="1">
      <c r="B153" s="461" t="n"/>
      <c r="C153" s="1310" t="n"/>
      <c r="D153" s="1310" t="n"/>
      <c r="E153" s="1310" t="n"/>
    </row>
    <row r="154" ht="15.75" customHeight="1">
      <c r="B154" s="461" t="n"/>
      <c r="C154" s="1310" t="n"/>
      <c r="D154" s="1310" t="n"/>
      <c r="E154" s="1310" t="n"/>
    </row>
    <row r="155" ht="15.75" customHeight="1">
      <c r="B155" s="461" t="n"/>
      <c r="C155" s="1310" t="n"/>
      <c r="D155" s="1310" t="n"/>
      <c r="E155" s="1310" t="n"/>
    </row>
    <row r="156" ht="15.75" customHeight="1">
      <c r="B156" s="461" t="n"/>
      <c r="C156" s="1310" t="n"/>
      <c r="D156" s="1310" t="n"/>
      <c r="E156" s="1310" t="n"/>
    </row>
    <row r="157" ht="15.75" customHeight="1">
      <c r="B157" s="461" t="n"/>
      <c r="C157" s="1310" t="n"/>
      <c r="D157" s="1310" t="n"/>
      <c r="E157" s="1310" t="n"/>
    </row>
    <row r="158" ht="15.75" customHeight="1">
      <c r="B158" s="461" t="n"/>
      <c r="C158" s="1310" t="n"/>
      <c r="D158" s="1310" t="n"/>
      <c r="E158" s="1310" t="n"/>
    </row>
    <row r="159" ht="15.75" customHeight="1">
      <c r="B159" s="461" t="n"/>
      <c r="C159" s="1310" t="n"/>
      <c r="D159" s="1310" t="n"/>
      <c r="E159" s="1310" t="n"/>
    </row>
    <row r="160" ht="15.75" customHeight="1">
      <c r="B160" s="461" t="n"/>
      <c r="C160" s="1310" t="n"/>
      <c r="D160" s="1310" t="n"/>
      <c r="E160" s="1310" t="n"/>
    </row>
    <row r="161" ht="15.75" customHeight="1">
      <c r="B161" s="461" t="n"/>
      <c r="C161" s="1310" t="n"/>
      <c r="D161" s="1310" t="n"/>
      <c r="E161" s="1310" t="n"/>
    </row>
    <row r="162" ht="15.75" customHeight="1">
      <c r="B162" s="461" t="n"/>
      <c r="C162" s="1310" t="n"/>
      <c r="D162" s="1310" t="n"/>
      <c r="E162" s="1310" t="n"/>
    </row>
    <row r="163" ht="15.75" customHeight="1">
      <c r="B163" s="461" t="n"/>
      <c r="C163" s="1310" t="n"/>
      <c r="D163" s="1310" t="n"/>
      <c r="E163" s="1310" t="n"/>
    </row>
    <row r="164" ht="15.75" customHeight="1">
      <c r="B164" s="461" t="n"/>
      <c r="C164" s="1310" t="n"/>
      <c r="D164" s="1310" t="n"/>
      <c r="E164" s="1310" t="n"/>
    </row>
    <row r="165" ht="15.75" customHeight="1">
      <c r="B165" s="461" t="n"/>
      <c r="C165" s="1310" t="n"/>
      <c r="D165" s="1310" t="n"/>
      <c r="E165" s="1310" t="n"/>
    </row>
    <row r="166" ht="15.75" customHeight="1">
      <c r="B166" s="461" t="n"/>
      <c r="C166" s="1310" t="n"/>
      <c r="D166" s="1310" t="n"/>
      <c r="E166" s="1310" t="n"/>
    </row>
    <row r="167" ht="15.75" customHeight="1">
      <c r="B167" s="461" t="n"/>
      <c r="C167" s="1310" t="n"/>
      <c r="D167" s="1310" t="n"/>
      <c r="E167" s="1310" t="n"/>
    </row>
    <row r="168" ht="15.75" customHeight="1">
      <c r="B168" s="461" t="n"/>
      <c r="C168" s="1310" t="n"/>
      <c r="D168" s="1310" t="n"/>
      <c r="E168" s="1310" t="n"/>
    </row>
    <row r="169" ht="15.75" customHeight="1">
      <c r="B169" s="461" t="n"/>
      <c r="C169" s="1310" t="n"/>
      <c r="D169" s="1310" t="n"/>
      <c r="E169" s="1310" t="n"/>
    </row>
    <row r="170" ht="15.75" customHeight="1">
      <c r="B170" s="461" t="n"/>
      <c r="C170" s="1310" t="n"/>
      <c r="D170" s="1310" t="n"/>
      <c r="E170" s="1310" t="n"/>
    </row>
    <row r="171" ht="15.75" customHeight="1">
      <c r="B171" s="461" t="n"/>
      <c r="C171" s="1310" t="n"/>
      <c r="D171" s="1310" t="n"/>
      <c r="E171" s="1310" t="n"/>
    </row>
    <row r="172" ht="15.75" customHeight="1">
      <c r="B172" s="461" t="n"/>
      <c r="C172" s="1310" t="n"/>
      <c r="D172" s="1310" t="n"/>
      <c r="E172" s="1310" t="n"/>
    </row>
    <row r="173" ht="15.75" customHeight="1">
      <c r="B173" s="461" t="n"/>
      <c r="C173" s="1310" t="n"/>
      <c r="D173" s="1310" t="n"/>
      <c r="E173" s="1310" t="n"/>
    </row>
    <row r="174" ht="15.75" customHeight="1">
      <c r="B174" s="461" t="n"/>
      <c r="C174" s="1310" t="n"/>
      <c r="D174" s="1310" t="n"/>
      <c r="E174" s="1310" t="n"/>
    </row>
    <row r="175" ht="15.75" customHeight="1">
      <c r="B175" s="461" t="n"/>
      <c r="C175" s="1310" t="n"/>
      <c r="D175" s="1310" t="n"/>
      <c r="E175" s="1310" t="n"/>
    </row>
    <row r="176" ht="15.75" customHeight="1">
      <c r="B176" s="461" t="n"/>
      <c r="C176" s="1310" t="n"/>
      <c r="D176" s="1310" t="n"/>
      <c r="E176" s="1310" t="n"/>
    </row>
    <row r="177" ht="15.75" customHeight="1">
      <c r="B177" s="461" t="n"/>
      <c r="C177" s="1310" t="n"/>
      <c r="D177" s="1310" t="n"/>
      <c r="E177" s="1310" t="n"/>
    </row>
    <row r="178" ht="15.75" customHeight="1">
      <c r="B178" s="461" t="n"/>
      <c r="C178" s="1310" t="n"/>
      <c r="D178" s="1310" t="n"/>
      <c r="E178" s="1310" t="n"/>
    </row>
    <row r="179" ht="15.75" customHeight="1">
      <c r="B179" s="461" t="n"/>
      <c r="C179" s="1310" t="n"/>
      <c r="D179" s="1310" t="n"/>
      <c r="E179" s="1310" t="n"/>
    </row>
    <row r="180" ht="15.75" customHeight="1">
      <c r="B180" s="461" t="n"/>
      <c r="C180" s="1310" t="n"/>
      <c r="D180" s="1310" t="n"/>
      <c r="E180" s="1310" t="n"/>
    </row>
    <row r="181" ht="15.75" customHeight="1">
      <c r="B181" s="461" t="n"/>
      <c r="C181" s="1310" t="n"/>
      <c r="D181" s="1310" t="n"/>
      <c r="E181" s="1310" t="n"/>
    </row>
    <row r="182" ht="15.75" customHeight="1">
      <c r="B182" s="461" t="n"/>
      <c r="C182" s="1310" t="n"/>
      <c r="D182" s="1310" t="n"/>
      <c r="E182" s="1310" t="n"/>
    </row>
    <row r="183" ht="15.75" customHeight="1">
      <c r="B183" s="461" t="n"/>
      <c r="C183" s="1310" t="n"/>
      <c r="D183" s="1310" t="n"/>
      <c r="E183" s="1310" t="n"/>
    </row>
    <row r="184" ht="15.75" customHeight="1">
      <c r="B184" s="461" t="n"/>
      <c r="C184" s="1310" t="n"/>
      <c r="D184" s="1310" t="n"/>
      <c r="E184" s="1310" t="n"/>
    </row>
    <row r="185" ht="15.75" customHeight="1">
      <c r="B185" s="461" t="n"/>
      <c r="C185" s="1310" t="n"/>
      <c r="D185" s="1310" t="n"/>
      <c r="E185" s="1310" t="n"/>
    </row>
    <row r="186" ht="15.75" customHeight="1">
      <c r="B186" s="461" t="n"/>
      <c r="C186" s="1310" t="n"/>
      <c r="D186" s="1310" t="n"/>
      <c r="E186" s="1310" t="n"/>
    </row>
    <row r="187" ht="15.75" customHeight="1">
      <c r="B187" s="461" t="n"/>
      <c r="C187" s="1310" t="n"/>
      <c r="D187" s="1310" t="n"/>
      <c r="E187" s="1310" t="n"/>
    </row>
    <row r="188" ht="15.75" customHeight="1">
      <c r="B188" s="461" t="n"/>
      <c r="C188" s="1310" t="n"/>
      <c r="D188" s="1310" t="n"/>
      <c r="E188" s="1310" t="n"/>
    </row>
    <row r="189" ht="15.75" customHeight="1">
      <c r="B189" s="461" t="n"/>
      <c r="C189" s="1310" t="n"/>
      <c r="D189" s="1310" t="n"/>
      <c r="E189" s="1310" t="n"/>
    </row>
    <row r="190" ht="15.75" customHeight="1">
      <c r="B190" s="461" t="n"/>
      <c r="C190" s="1310" t="n"/>
      <c r="D190" s="1310" t="n"/>
      <c r="E190" s="1310" t="n"/>
    </row>
    <row r="191" ht="15.75" customHeight="1">
      <c r="B191" s="461" t="n"/>
      <c r="C191" s="1310" t="n"/>
      <c r="D191" s="1310" t="n"/>
      <c r="E191" s="1310" t="n"/>
    </row>
    <row r="192" ht="15.75" customHeight="1">
      <c r="C192" s="1313" t="n"/>
      <c r="D192" s="1313" t="n"/>
      <c r="E192" s="1313" t="n"/>
    </row>
    <row r="193" ht="15.75" customHeight="1">
      <c r="C193" s="1313" t="n"/>
      <c r="D193" s="1313" t="n"/>
      <c r="E193" s="1313" t="n"/>
    </row>
    <row r="194" ht="15.75" customHeight="1">
      <c r="C194" s="1313" t="n"/>
      <c r="D194" s="1313" t="n"/>
      <c r="E194" s="1313" t="n"/>
    </row>
    <row r="195" ht="15.75" customHeight="1">
      <c r="C195" s="1313" t="n"/>
      <c r="D195" s="1313" t="n"/>
      <c r="E195" s="1313" t="n"/>
    </row>
    <row r="196" ht="15.75" customHeight="1">
      <c r="C196" s="1313" t="n"/>
      <c r="D196" s="1313" t="n"/>
      <c r="E196" s="1313" t="n"/>
    </row>
    <row r="197" ht="15.75" customHeight="1">
      <c r="C197" s="1313" t="n"/>
      <c r="D197" s="1313" t="n"/>
      <c r="E197" s="1313" t="n"/>
    </row>
    <row r="198" ht="15.75" customHeight="1">
      <c r="C198" s="1313" t="n"/>
      <c r="D198" s="1313" t="n"/>
      <c r="E198" s="1313" t="n"/>
    </row>
    <row r="199" ht="15.75" customHeight="1">
      <c r="C199" s="1313" t="n"/>
      <c r="D199" s="1313" t="n"/>
      <c r="E199" s="1313" t="n"/>
    </row>
    <row r="200" ht="15.75" customHeight="1">
      <c r="C200" s="1313" t="n"/>
      <c r="D200" s="1313" t="n"/>
      <c r="E200" s="1313" t="n"/>
    </row>
    <row r="201" ht="15.75" customHeight="1">
      <c r="C201" s="1313" t="n"/>
      <c r="D201" s="1313" t="n"/>
      <c r="E201" s="1313" t="n"/>
    </row>
    <row r="202" ht="15.75" customHeight="1">
      <c r="C202" s="1313" t="n"/>
      <c r="D202" s="1313" t="n"/>
      <c r="E202" s="1313" t="n"/>
    </row>
    <row r="203" ht="15.75" customHeight="1">
      <c r="C203" s="1313" t="n"/>
      <c r="D203" s="1313" t="n"/>
      <c r="E203" s="1313" t="n"/>
    </row>
    <row r="204" ht="15.75" customHeight="1">
      <c r="C204" s="1313" t="n"/>
      <c r="D204" s="1313" t="n"/>
      <c r="E204" s="1313" t="n"/>
    </row>
    <row r="205" ht="15.75" customHeight="1">
      <c r="C205" s="1313" t="n"/>
      <c r="D205" s="1313" t="n"/>
      <c r="E205" s="1313" t="n"/>
    </row>
    <row r="206" ht="15.75" customHeight="1">
      <c r="C206" s="1313" t="n"/>
      <c r="D206" s="1313" t="n"/>
      <c r="E206" s="1313" t="n"/>
    </row>
    <row r="207" ht="15.75" customHeight="1">
      <c r="C207" s="1313" t="n"/>
      <c r="D207" s="1313" t="n"/>
      <c r="E207" s="1313" t="n"/>
    </row>
    <row r="208" ht="15.75" customHeight="1">
      <c r="C208" s="1313" t="n"/>
      <c r="D208" s="1313" t="n"/>
      <c r="E208" s="1313" t="n"/>
    </row>
    <row r="209" ht="15.75" customHeight="1">
      <c r="C209" s="1313" t="n"/>
      <c r="D209" s="1313" t="n"/>
      <c r="E209" s="1313" t="n"/>
    </row>
    <row r="210" ht="15.75" customHeight="1">
      <c r="C210" s="1313" t="n"/>
      <c r="D210" s="1313" t="n"/>
      <c r="E210" s="1313" t="n"/>
    </row>
    <row r="211" ht="15.75" customHeight="1">
      <c r="C211" s="1313" t="n"/>
      <c r="D211" s="1313" t="n"/>
      <c r="E211" s="1313" t="n"/>
    </row>
    <row r="212" ht="15.75" customHeight="1">
      <c r="C212" s="1313" t="n"/>
      <c r="D212" s="1313" t="n"/>
      <c r="E212" s="1313" t="n"/>
    </row>
    <row r="213" ht="15.75" customHeight="1">
      <c r="C213" s="1313" t="n"/>
      <c r="D213" s="1313" t="n"/>
      <c r="E213" s="1313" t="n"/>
    </row>
    <row r="214" ht="15.75" customHeight="1">
      <c r="C214" s="1313" t="n"/>
      <c r="D214" s="1313" t="n"/>
      <c r="E214" s="1313" t="n"/>
    </row>
    <row r="215" ht="15.75" customHeight="1">
      <c r="C215" s="1313" t="n"/>
      <c r="D215" s="1313" t="n"/>
      <c r="E215" s="1313" t="n"/>
    </row>
    <row r="216" ht="15.75" customHeight="1">
      <c r="C216" s="1313" t="n"/>
      <c r="D216" s="1313" t="n"/>
      <c r="E216" s="1313" t="n"/>
    </row>
    <row r="217" ht="15.75" customHeight="1">
      <c r="C217" s="1313" t="n"/>
      <c r="D217" s="1313" t="n"/>
      <c r="E217" s="1313" t="n"/>
    </row>
    <row r="218" ht="15.75" customHeight="1">
      <c r="C218" s="1313" t="n"/>
      <c r="D218" s="1313" t="n"/>
      <c r="E218" s="1313" t="n"/>
    </row>
    <row r="219" ht="15.75" customHeight="1">
      <c r="C219" s="1313" t="n"/>
      <c r="D219" s="1313" t="n"/>
      <c r="E219" s="1313" t="n"/>
    </row>
    <row r="220" ht="15.75" customHeight="1">
      <c r="C220" s="1313" t="n"/>
      <c r="D220" s="1313" t="n"/>
      <c r="E220" s="1313" t="n"/>
    </row>
    <row r="221" ht="15.75" customHeight="1">
      <c r="C221" s="1313" t="n"/>
      <c r="D221" s="1313" t="n"/>
      <c r="E221" s="1313" t="n"/>
    </row>
    <row r="222" ht="15.75" customHeight="1">
      <c r="C222" s="1313" t="n"/>
      <c r="D222" s="1313" t="n"/>
      <c r="E222" s="1313" t="n"/>
    </row>
    <row r="223" ht="15.75" customHeight="1">
      <c r="C223" s="1313" t="n"/>
      <c r="D223" s="1313" t="n"/>
      <c r="E223" s="1313" t="n"/>
    </row>
    <row r="224" ht="15.75" customHeight="1">
      <c r="C224" s="1313" t="n"/>
      <c r="D224" s="1313" t="n"/>
      <c r="E224" s="1313" t="n"/>
    </row>
    <row r="225" ht="15.75" customHeight="1">
      <c r="C225" s="1313" t="n"/>
      <c r="D225" s="1313" t="n"/>
      <c r="E225" s="1313" t="n"/>
    </row>
    <row r="226" ht="15.75" customHeight="1">
      <c r="C226" s="1313" t="n"/>
      <c r="D226" s="1313" t="n"/>
      <c r="E226" s="1313" t="n"/>
    </row>
    <row r="227" ht="15.75" customHeight="1">
      <c r="C227" s="1313" t="n"/>
      <c r="D227" s="1313" t="n"/>
      <c r="E227" s="1313" t="n"/>
    </row>
    <row r="228" ht="15.75" customHeight="1">
      <c r="C228" s="1313" t="n"/>
      <c r="D228" s="1313" t="n"/>
      <c r="E228" s="1313" t="n"/>
    </row>
    <row r="229" ht="15.75" customHeight="1">
      <c r="C229" s="1313" t="n"/>
      <c r="D229" s="1313" t="n"/>
      <c r="E229" s="1313" t="n"/>
    </row>
    <row r="230" ht="15.75" customHeight="1">
      <c r="C230" s="1313" t="n"/>
      <c r="D230" s="1313" t="n"/>
      <c r="E230" s="1313" t="n"/>
    </row>
    <row r="231" ht="15.75" customHeight="1">
      <c r="C231" s="1313" t="n"/>
      <c r="D231" s="1313" t="n"/>
      <c r="E231" s="1313" t="n"/>
    </row>
    <row r="232" ht="15.75" customHeight="1">
      <c r="C232" s="1313" t="n"/>
      <c r="D232" s="1313" t="n"/>
      <c r="E232" s="1313" t="n"/>
    </row>
    <row r="233" ht="15.75" customHeight="1">
      <c r="C233" s="1313" t="n"/>
      <c r="D233" s="1313" t="n"/>
      <c r="E233" s="1313" t="n"/>
    </row>
    <row r="234" ht="15.75" customHeight="1">
      <c r="C234" s="1313" t="n"/>
      <c r="D234" s="1313" t="n"/>
      <c r="E234" s="1313" t="n"/>
    </row>
    <row r="235" ht="15.75" customHeight="1">
      <c r="C235" s="1313" t="n"/>
      <c r="D235" s="1313" t="n"/>
      <c r="E235" s="1313" t="n"/>
    </row>
    <row r="236" ht="15.75" customHeight="1">
      <c r="C236" s="1313" t="n"/>
      <c r="D236" s="1313" t="n"/>
      <c r="E236" s="1313" t="n"/>
    </row>
    <row r="237" ht="15.75" customHeight="1">
      <c r="C237" s="1313" t="n"/>
      <c r="D237" s="1313" t="n"/>
      <c r="E237" s="1313" t="n"/>
    </row>
    <row r="238" ht="15.75" customHeight="1">
      <c r="C238" s="1313" t="n"/>
      <c r="D238" s="1313" t="n"/>
      <c r="E238" s="1313" t="n"/>
    </row>
    <row r="239" ht="15.75" customHeight="1">
      <c r="C239" s="1313" t="n"/>
      <c r="D239" s="1313" t="n"/>
      <c r="E239" s="1313" t="n"/>
    </row>
    <row r="240" ht="15.75" customHeight="1">
      <c r="C240" s="1313" t="n"/>
      <c r="D240" s="1313" t="n"/>
      <c r="E240" s="1313" t="n"/>
    </row>
    <row r="241" ht="15.75" customHeight="1">
      <c r="C241" s="1313" t="n"/>
      <c r="D241" s="1313" t="n"/>
      <c r="E241" s="1313" t="n"/>
    </row>
    <row r="242" ht="15.75" customHeight="1">
      <c r="C242" s="1313" t="n"/>
      <c r="D242" s="1313" t="n"/>
      <c r="E242" s="1313" t="n"/>
    </row>
    <row r="243" ht="15.75" customHeight="1">
      <c r="C243" s="1313" t="n"/>
      <c r="D243" s="1313" t="n"/>
      <c r="E243" s="1313" t="n"/>
    </row>
    <row r="244" ht="15.75" customHeight="1">
      <c r="C244" s="1313" t="n"/>
      <c r="D244" s="1313" t="n"/>
      <c r="E244" s="1313" t="n"/>
    </row>
    <row r="245" ht="15.75" customHeight="1">
      <c r="C245" s="1313" t="n"/>
      <c r="D245" s="1313" t="n"/>
      <c r="E245" s="1313" t="n"/>
    </row>
    <row r="246" ht="15.75" customHeight="1">
      <c r="C246" s="1313" t="n"/>
      <c r="D246" s="1313" t="n"/>
      <c r="E246" s="1313" t="n"/>
    </row>
    <row r="247" ht="15.75" customHeight="1">
      <c r="C247" s="1313" t="n"/>
      <c r="D247" s="1313" t="n"/>
      <c r="E247" s="1313" t="n"/>
    </row>
    <row r="248" ht="15.75" customHeight="1">
      <c r="C248" s="1313" t="n"/>
      <c r="D248" s="1313" t="n"/>
      <c r="E248" s="1313" t="n"/>
    </row>
    <row r="249" ht="15.75" customHeight="1">
      <c r="C249" s="1313" t="n"/>
      <c r="D249" s="1313" t="n"/>
      <c r="E249" s="1313" t="n"/>
    </row>
    <row r="250" ht="15.75" customHeight="1">
      <c r="C250" s="1313" t="n"/>
      <c r="D250" s="1313" t="n"/>
      <c r="E250" s="1313" t="n"/>
    </row>
    <row r="251" ht="15.75" customHeight="1">
      <c r="C251" s="1313" t="n"/>
      <c r="D251" s="1313" t="n"/>
      <c r="E251" s="1313" t="n"/>
    </row>
    <row r="252" ht="15.75" customHeight="1">
      <c r="C252" s="1313" t="n"/>
      <c r="D252" s="1313" t="n"/>
      <c r="E252" s="1313" t="n"/>
    </row>
    <row r="253" ht="15.75" customHeight="1">
      <c r="C253" s="1313" t="n"/>
      <c r="D253" s="1313" t="n"/>
      <c r="E253" s="1313" t="n"/>
    </row>
    <row r="254" ht="15.75" customHeight="1">
      <c r="C254" s="1313" t="n"/>
      <c r="D254" s="1313" t="n"/>
      <c r="E254" s="1313" t="n"/>
    </row>
    <row r="255" ht="15.75" customHeight="1">
      <c r="C255" s="1313" t="n"/>
      <c r="D255" s="1313" t="n"/>
      <c r="E255" s="1313" t="n"/>
    </row>
    <row r="256" ht="15.75" customHeight="1">
      <c r="C256" s="1313" t="n"/>
      <c r="D256" s="1313" t="n"/>
      <c r="E256" s="1313" t="n"/>
    </row>
    <row r="257" ht="15.75" customHeight="1">
      <c r="C257" s="1313" t="n"/>
      <c r="D257" s="1313" t="n"/>
      <c r="E257" s="1313" t="n"/>
    </row>
    <row r="258" ht="15.75" customHeight="1">
      <c r="C258" s="1313" t="n"/>
      <c r="D258" s="1313" t="n"/>
      <c r="E258" s="1313" t="n"/>
    </row>
    <row r="259" ht="15.75" customHeight="1">
      <c r="C259" s="1313" t="n"/>
      <c r="D259" s="1313" t="n"/>
      <c r="E259" s="1313" t="n"/>
    </row>
    <row r="260" ht="15.75" customHeight="1">
      <c r="C260" s="1313" t="n"/>
      <c r="D260" s="1313" t="n"/>
      <c r="E260" s="1313" t="n"/>
    </row>
    <row r="261" ht="15.75" customHeight="1">
      <c r="C261" s="1313" t="n"/>
      <c r="D261" s="1313" t="n"/>
      <c r="E261" s="1313" t="n"/>
    </row>
    <row r="262" ht="15.75" customHeight="1">
      <c r="C262" s="1313" t="n"/>
      <c r="D262" s="1313" t="n"/>
      <c r="E262" s="1313" t="n"/>
    </row>
    <row r="263" ht="15.75" customHeight="1">
      <c r="C263" s="1313" t="n"/>
      <c r="D263" s="1313" t="n"/>
      <c r="E263" s="1313" t="n"/>
    </row>
    <row r="264" ht="15.75" customHeight="1">
      <c r="C264" s="1313" t="n"/>
      <c r="D264" s="1313" t="n"/>
      <c r="E264" s="1313" t="n"/>
    </row>
    <row r="265" ht="15.75" customHeight="1">
      <c r="C265" s="1313" t="n"/>
      <c r="D265" s="1313" t="n"/>
      <c r="E265" s="1313" t="n"/>
    </row>
    <row r="266" ht="15.75" customHeight="1">
      <c r="C266" s="1313" t="n"/>
      <c r="D266" s="1313" t="n"/>
      <c r="E266" s="1313" t="n"/>
    </row>
    <row r="267" ht="15.75" customHeight="1">
      <c r="C267" s="1313" t="n"/>
      <c r="D267" s="1313" t="n"/>
      <c r="E267" s="1313" t="n"/>
    </row>
    <row r="268" ht="15.75" customHeight="1">
      <c r="C268" s="1313" t="n"/>
      <c r="D268" s="1313" t="n"/>
      <c r="E268" s="1313" t="n"/>
    </row>
    <row r="269" ht="15.75" customHeight="1">
      <c r="C269" s="1313" t="n"/>
      <c r="D269" s="1313" t="n"/>
      <c r="E269" s="1313" t="n"/>
    </row>
    <row r="270" ht="15.75" customHeight="1">
      <c r="C270" s="1313" t="n"/>
      <c r="D270" s="1313" t="n"/>
      <c r="E270" s="1313" t="n"/>
    </row>
    <row r="271" ht="15.75" customHeight="1">
      <c r="C271" s="1313" t="n"/>
      <c r="D271" s="1313" t="n"/>
      <c r="E271" s="1313" t="n"/>
    </row>
    <row r="272" ht="15.75" customHeight="1">
      <c r="C272" s="1313" t="n"/>
      <c r="D272" s="1313" t="n"/>
      <c r="E272" s="1313" t="n"/>
    </row>
    <row r="273" ht="15.75" customHeight="1">
      <c r="C273" s="1313" t="n"/>
      <c r="D273" s="1313" t="n"/>
      <c r="E273" s="1313" t="n"/>
    </row>
    <row r="274" ht="15.75" customHeight="1">
      <c r="C274" s="1313" t="n"/>
      <c r="D274" s="1313" t="n"/>
      <c r="E274" s="1313" t="n"/>
    </row>
    <row r="275" ht="15.75" customHeight="1">
      <c r="C275" s="1313" t="n"/>
      <c r="D275" s="1313" t="n"/>
      <c r="E275" s="1313" t="n"/>
    </row>
    <row r="276" ht="15.75" customHeight="1">
      <c r="C276" s="1313" t="n"/>
      <c r="D276" s="1313" t="n"/>
      <c r="E276" s="1313" t="n"/>
    </row>
    <row r="277" ht="15.75" customHeight="1">
      <c r="C277" s="1313" t="n"/>
      <c r="D277" s="1313" t="n"/>
      <c r="E277" s="1313" t="n"/>
    </row>
    <row r="278" ht="15.75" customHeight="1">
      <c r="C278" s="1313" t="n"/>
      <c r="D278" s="1313" t="n"/>
      <c r="E278" s="1313" t="n"/>
    </row>
    <row r="279" ht="15.75" customHeight="1">
      <c r="C279" s="1313" t="n"/>
      <c r="D279" s="1313" t="n"/>
      <c r="E279" s="1313" t="n"/>
    </row>
    <row r="280" ht="15.75" customHeight="1">
      <c r="C280" s="1313" t="n"/>
      <c r="D280" s="1313" t="n"/>
      <c r="E280" s="1313" t="n"/>
    </row>
    <row r="281" ht="15.75" customHeight="1">
      <c r="C281" s="1313" t="n"/>
      <c r="D281" s="1313" t="n"/>
      <c r="E281" s="1313" t="n"/>
    </row>
    <row r="282" ht="15.75" customHeight="1">
      <c r="C282" s="1313" t="n"/>
      <c r="D282" s="1313" t="n"/>
      <c r="E282" s="1313" t="n"/>
    </row>
    <row r="283" ht="15.75" customHeight="1">
      <c r="C283" s="1313" t="n"/>
      <c r="D283" s="1313" t="n"/>
      <c r="E283" s="1313" t="n"/>
    </row>
    <row r="284" ht="15.75" customHeight="1">
      <c r="C284" s="1313" t="n"/>
      <c r="D284" s="1313" t="n"/>
      <c r="E284" s="1313" t="n"/>
    </row>
    <row r="285" ht="15.75" customHeight="1">
      <c r="C285" s="1313" t="n"/>
      <c r="D285" s="1313" t="n"/>
      <c r="E285" s="1313" t="n"/>
    </row>
    <row r="286" ht="15.75" customHeight="1">
      <c r="C286" s="1313" t="n"/>
      <c r="D286" s="1313" t="n"/>
      <c r="E286" s="1313" t="n"/>
    </row>
    <row r="287" ht="15.75" customHeight="1">
      <c r="C287" s="1313" t="n"/>
      <c r="D287" s="1313" t="n"/>
      <c r="E287" s="1313" t="n"/>
    </row>
    <row r="288" ht="15.75" customHeight="1">
      <c r="C288" s="1313" t="n"/>
      <c r="D288" s="1313" t="n"/>
      <c r="E288" s="1313" t="n"/>
    </row>
    <row r="289" ht="15.75" customHeight="1">
      <c r="C289" s="1313" t="n"/>
      <c r="D289" s="1313" t="n"/>
      <c r="E289" s="1313" t="n"/>
    </row>
    <row r="290" ht="15.75" customHeight="1">
      <c r="C290" s="1313" t="n"/>
      <c r="D290" s="1313" t="n"/>
      <c r="E290" s="1313" t="n"/>
    </row>
    <row r="291" ht="15.75" customHeight="1">
      <c r="C291" s="1313" t="n"/>
      <c r="D291" s="1313" t="n"/>
      <c r="E291" s="1313" t="n"/>
    </row>
    <row r="292" ht="15.75" customHeight="1">
      <c r="C292" s="1313" t="n"/>
      <c r="D292" s="1313" t="n"/>
      <c r="E292" s="1313" t="n"/>
    </row>
    <row r="293" ht="15.75" customHeight="1">
      <c r="C293" s="1313" t="n"/>
      <c r="D293" s="1313" t="n"/>
      <c r="E293" s="1313" t="n"/>
    </row>
    <row r="294" ht="15.75" customHeight="1">
      <c r="C294" s="1313" t="n"/>
      <c r="D294" s="1313" t="n"/>
      <c r="E294" s="1313" t="n"/>
    </row>
    <row r="295" ht="15.75" customHeight="1">
      <c r="C295" s="1313" t="n"/>
      <c r="D295" s="1313" t="n"/>
      <c r="E295" s="1313" t="n"/>
    </row>
    <row r="296" ht="15.75" customHeight="1">
      <c r="C296" s="1313" t="n"/>
      <c r="D296" s="1313" t="n"/>
      <c r="E296" s="1313" t="n"/>
    </row>
    <row r="297" ht="15.75" customHeight="1">
      <c r="C297" s="1313" t="n"/>
      <c r="D297" s="1313" t="n"/>
      <c r="E297" s="1313" t="n"/>
    </row>
    <row r="298" ht="15.75" customHeight="1">
      <c r="C298" s="1313" t="n"/>
      <c r="D298" s="1313" t="n"/>
      <c r="E298" s="1313" t="n"/>
    </row>
    <row r="299" ht="15.75" customHeight="1">
      <c r="C299" s="1313" t="n"/>
      <c r="D299" s="1313" t="n"/>
      <c r="E299" s="1313" t="n"/>
    </row>
    <row r="300" ht="15.75" customHeight="1">
      <c r="C300" s="1313" t="n"/>
      <c r="D300" s="1313" t="n"/>
      <c r="E300" s="1313" t="n"/>
    </row>
    <row r="301" ht="15.75" customHeight="1">
      <c r="C301" s="1313" t="n"/>
      <c r="D301" s="1313" t="n"/>
      <c r="E301" s="1313" t="n"/>
    </row>
    <row r="302" ht="15.75" customHeight="1">
      <c r="C302" s="1313" t="n"/>
      <c r="D302" s="1313" t="n"/>
      <c r="E302" s="1313" t="n"/>
    </row>
    <row r="303" ht="15.75" customHeight="1">
      <c r="C303" s="1313" t="n"/>
      <c r="D303" s="1313" t="n"/>
      <c r="E303" s="1313" t="n"/>
    </row>
    <row r="304" ht="15.75" customHeight="1">
      <c r="C304" s="1313" t="n"/>
      <c r="D304" s="1313" t="n"/>
      <c r="E304" s="1313" t="n"/>
    </row>
    <row r="305" ht="15.75" customHeight="1">
      <c r="C305" s="1313" t="n"/>
      <c r="D305" s="1313" t="n"/>
      <c r="E305" s="1313" t="n"/>
    </row>
    <row r="306" ht="15.75" customHeight="1">
      <c r="C306" s="1313" t="n"/>
      <c r="D306" s="1313" t="n"/>
      <c r="E306" s="1313" t="n"/>
    </row>
    <row r="307" ht="15.75" customHeight="1">
      <c r="C307" s="1313" t="n"/>
      <c r="D307" s="1313" t="n"/>
      <c r="E307" s="1313" t="n"/>
    </row>
    <row r="308" ht="15.75" customHeight="1">
      <c r="C308" s="1313" t="n"/>
      <c r="D308" s="1313" t="n"/>
      <c r="E308" s="1313" t="n"/>
    </row>
    <row r="309" ht="15.75" customHeight="1">
      <c r="C309" s="1313" t="n"/>
      <c r="D309" s="1313" t="n"/>
      <c r="E309" s="1313" t="n"/>
    </row>
    <row r="310" ht="15.75" customHeight="1">
      <c r="C310" s="1313" t="n"/>
      <c r="D310" s="1313" t="n"/>
      <c r="E310" s="1313" t="n"/>
    </row>
    <row r="311" ht="15.75" customHeight="1">
      <c r="C311" s="1313" t="n"/>
      <c r="D311" s="1313" t="n"/>
      <c r="E311" s="1313" t="n"/>
    </row>
    <row r="312" ht="15.75" customHeight="1">
      <c r="C312" s="1313" t="n"/>
      <c r="D312" s="1313" t="n"/>
      <c r="E312" s="1313" t="n"/>
    </row>
    <row r="313" ht="15.75" customHeight="1">
      <c r="C313" s="1313" t="n"/>
      <c r="D313" s="1313" t="n"/>
      <c r="E313" s="1313" t="n"/>
    </row>
    <row r="314" ht="15.75" customHeight="1">
      <c r="C314" s="1313" t="n"/>
      <c r="D314" s="1313" t="n"/>
      <c r="E314" s="1313" t="n"/>
    </row>
    <row r="315" ht="15.75" customHeight="1">
      <c r="C315" s="1313" t="n"/>
      <c r="D315" s="1313" t="n"/>
      <c r="E315" s="1313" t="n"/>
    </row>
    <row r="316" ht="15.75" customHeight="1">
      <c r="C316" s="1313" t="n"/>
      <c r="D316" s="1313" t="n"/>
      <c r="E316" s="1313" t="n"/>
    </row>
    <row r="317" ht="15.75" customHeight="1">
      <c r="C317" s="1313" t="n"/>
      <c r="D317" s="1313" t="n"/>
      <c r="E317" s="1313" t="n"/>
    </row>
    <row r="318" ht="15.75" customHeight="1">
      <c r="C318" s="1313" t="n"/>
      <c r="D318" s="1313" t="n"/>
      <c r="E318" s="1313" t="n"/>
    </row>
    <row r="319" ht="15.75" customHeight="1">
      <c r="C319" s="1313" t="n"/>
      <c r="D319" s="1313" t="n"/>
      <c r="E319" s="1313" t="n"/>
    </row>
    <row r="320" ht="15.75" customHeight="1">
      <c r="C320" s="1313" t="n"/>
      <c r="D320" s="1313" t="n"/>
      <c r="E320" s="1313" t="n"/>
    </row>
    <row r="321" ht="15.75" customHeight="1">
      <c r="C321" s="1313" t="n"/>
      <c r="D321" s="1313" t="n"/>
      <c r="E321" s="1313" t="n"/>
    </row>
    <row r="322" ht="15.75" customHeight="1">
      <c r="C322" s="1313" t="n"/>
      <c r="D322" s="1313" t="n"/>
      <c r="E322" s="1313" t="n"/>
    </row>
    <row r="323" ht="15.75" customHeight="1">
      <c r="C323" s="1313" t="n"/>
      <c r="D323" s="1313" t="n"/>
      <c r="E323" s="1313" t="n"/>
    </row>
    <row r="324" ht="15.75" customHeight="1">
      <c r="C324" s="1313" t="n"/>
      <c r="D324" s="1313" t="n"/>
      <c r="E324" s="1313" t="n"/>
    </row>
    <row r="325" ht="15.75" customHeight="1">
      <c r="C325" s="1313" t="n"/>
      <c r="D325" s="1313" t="n"/>
      <c r="E325" s="1313" t="n"/>
    </row>
    <row r="326" ht="15.75" customHeight="1">
      <c r="C326" s="1313" t="n"/>
      <c r="D326" s="1313" t="n"/>
      <c r="E326" s="1313" t="n"/>
    </row>
    <row r="327" ht="15.75" customHeight="1">
      <c r="C327" s="1313" t="n"/>
      <c r="D327" s="1313" t="n"/>
      <c r="E327" s="1313" t="n"/>
    </row>
    <row r="328" ht="15.75" customHeight="1">
      <c r="C328" s="1313" t="n"/>
      <c r="D328" s="1313" t="n"/>
      <c r="E328" s="1313" t="n"/>
    </row>
    <row r="329" ht="15.75" customHeight="1">
      <c r="C329" s="1313" t="n"/>
      <c r="D329" s="1313" t="n"/>
      <c r="E329" s="1313" t="n"/>
    </row>
    <row r="330" ht="15.75" customHeight="1">
      <c r="C330" s="1313" t="n"/>
      <c r="D330" s="1313" t="n"/>
      <c r="E330" s="1313" t="n"/>
    </row>
    <row r="331" ht="15.75" customHeight="1">
      <c r="C331" s="1313" t="n"/>
      <c r="D331" s="1313" t="n"/>
      <c r="E331" s="1313" t="n"/>
    </row>
    <row r="332" ht="15.75" customHeight="1">
      <c r="C332" s="1313" t="n"/>
      <c r="D332" s="1313" t="n"/>
      <c r="E332" s="1313" t="n"/>
    </row>
    <row r="333" ht="15.75" customHeight="1">
      <c r="C333" s="1313" t="n"/>
      <c r="D333" s="1313" t="n"/>
      <c r="E333" s="1313" t="n"/>
    </row>
    <row r="334" ht="15.75" customHeight="1">
      <c r="C334" s="1313" t="n"/>
      <c r="D334" s="1313" t="n"/>
      <c r="E334" s="1313" t="n"/>
    </row>
    <row r="335" ht="15.75" customHeight="1">
      <c r="C335" s="1313" t="n"/>
      <c r="D335" s="1313" t="n"/>
      <c r="E335" s="1313" t="n"/>
    </row>
    <row r="336" ht="15.75" customHeight="1">
      <c r="C336" s="1313" t="n"/>
      <c r="D336" s="1313" t="n"/>
      <c r="E336" s="1313" t="n"/>
    </row>
    <row r="337" ht="15.75" customHeight="1">
      <c r="C337" s="1313" t="n"/>
      <c r="D337" s="1313" t="n"/>
      <c r="E337" s="1313" t="n"/>
    </row>
    <row r="338" ht="15.75" customHeight="1">
      <c r="C338" s="1313" t="n"/>
      <c r="D338" s="1313" t="n"/>
      <c r="E338" s="1313" t="n"/>
    </row>
    <row r="339" ht="15.75" customHeight="1">
      <c r="C339" s="1313" t="n"/>
      <c r="D339" s="1313" t="n"/>
      <c r="E339" s="1313" t="n"/>
    </row>
    <row r="340" ht="15.75" customHeight="1">
      <c r="C340" s="1313" t="n"/>
      <c r="D340" s="1313" t="n"/>
      <c r="E340" s="1313" t="n"/>
    </row>
    <row r="341" ht="15.75" customHeight="1">
      <c r="C341" s="1313" t="n"/>
      <c r="D341" s="1313" t="n"/>
      <c r="E341" s="1313" t="n"/>
    </row>
    <row r="342" ht="15.75" customHeight="1">
      <c r="C342" s="1313" t="n"/>
      <c r="D342" s="1313" t="n"/>
      <c r="E342" s="1313" t="n"/>
    </row>
    <row r="343" ht="15.75" customHeight="1">
      <c r="C343" s="1313" t="n"/>
      <c r="D343" s="1313" t="n"/>
      <c r="E343" s="1313" t="n"/>
    </row>
    <row r="344" ht="15.75" customHeight="1">
      <c r="C344" s="1313" t="n"/>
      <c r="D344" s="1313" t="n"/>
      <c r="E344" s="1313" t="n"/>
    </row>
    <row r="345" ht="15.75" customHeight="1">
      <c r="C345" s="1313" t="n"/>
      <c r="D345" s="1313" t="n"/>
      <c r="E345" s="1313" t="n"/>
    </row>
    <row r="346" ht="15.75" customHeight="1">
      <c r="C346" s="1313" t="n"/>
      <c r="D346" s="1313" t="n"/>
      <c r="E346" s="1313" t="n"/>
    </row>
    <row r="347" ht="15.75" customHeight="1">
      <c r="C347" s="1313" t="n"/>
      <c r="D347" s="1313" t="n"/>
      <c r="E347" s="1313" t="n"/>
    </row>
    <row r="348" ht="15.75" customHeight="1">
      <c r="C348" s="1313" t="n"/>
      <c r="D348" s="1313" t="n"/>
      <c r="E348" s="1313" t="n"/>
    </row>
    <row r="349" ht="15.75" customHeight="1">
      <c r="C349" s="1313" t="n"/>
      <c r="D349" s="1313" t="n"/>
      <c r="E349" s="1313" t="n"/>
    </row>
    <row r="350" ht="15.75" customHeight="1">
      <c r="C350" s="1313" t="n"/>
      <c r="D350" s="1313" t="n"/>
      <c r="E350" s="1313" t="n"/>
    </row>
    <row r="351" ht="15.75" customHeight="1">
      <c r="C351" s="1313" t="n"/>
      <c r="D351" s="1313" t="n"/>
      <c r="E351" s="1313" t="n"/>
    </row>
    <row r="352" ht="15.75" customHeight="1">
      <c r="C352" s="1313" t="n"/>
      <c r="D352" s="1313" t="n"/>
      <c r="E352" s="1313" t="n"/>
    </row>
    <row r="353" ht="15.75" customHeight="1">
      <c r="C353" s="1313" t="n"/>
      <c r="D353" s="1313" t="n"/>
      <c r="E353" s="1313" t="n"/>
    </row>
    <row r="354" ht="15.75" customHeight="1">
      <c r="C354" s="1313" t="n"/>
      <c r="D354" s="1313" t="n"/>
      <c r="E354" s="1313" t="n"/>
    </row>
    <row r="355" ht="15.75" customHeight="1">
      <c r="C355" s="1313" t="n"/>
      <c r="D355" s="1313" t="n"/>
      <c r="E355" s="1313" t="n"/>
    </row>
    <row r="356" ht="15.75" customHeight="1">
      <c r="C356" s="1313" t="n"/>
      <c r="D356" s="1313" t="n"/>
      <c r="E356" s="1313" t="n"/>
    </row>
    <row r="357" ht="15.75" customHeight="1">
      <c r="C357" s="1313" t="n"/>
      <c r="D357" s="1313" t="n"/>
      <c r="E357" s="1313" t="n"/>
    </row>
    <row r="358" ht="15.75" customHeight="1">
      <c r="C358" s="1313" t="n"/>
      <c r="D358" s="1313" t="n"/>
      <c r="E358" s="1313" t="n"/>
    </row>
    <row r="359" ht="15.75" customHeight="1">
      <c r="C359" s="1313" t="n"/>
      <c r="D359" s="1313" t="n"/>
      <c r="E359" s="1313" t="n"/>
    </row>
    <row r="360" ht="15.75" customHeight="1">
      <c r="C360" s="1313" t="n"/>
      <c r="D360" s="1313" t="n"/>
      <c r="E360" s="1313" t="n"/>
    </row>
    <row r="361" ht="15.75" customHeight="1">
      <c r="C361" s="1313" t="n"/>
      <c r="D361" s="1313" t="n"/>
      <c r="E361" s="1313" t="n"/>
    </row>
    <row r="362" ht="15.75" customHeight="1">
      <c r="C362" s="1313" t="n"/>
      <c r="D362" s="1313" t="n"/>
      <c r="E362" s="1313" t="n"/>
    </row>
    <row r="363" ht="15.75" customHeight="1">
      <c r="C363" s="1313" t="n"/>
      <c r="D363" s="1313" t="n"/>
      <c r="E363" s="1313" t="n"/>
    </row>
    <row r="364" ht="15.75" customHeight="1">
      <c r="C364" s="1313" t="n"/>
      <c r="D364" s="1313" t="n"/>
      <c r="E364" s="1313" t="n"/>
    </row>
    <row r="365" ht="15.75" customHeight="1">
      <c r="C365" s="1313" t="n"/>
      <c r="D365" s="1313" t="n"/>
      <c r="E365" s="1313" t="n"/>
    </row>
    <row r="366" ht="15.75" customHeight="1">
      <c r="C366" s="1313" t="n"/>
      <c r="D366" s="1313" t="n"/>
      <c r="E366" s="1313" t="n"/>
    </row>
    <row r="367" ht="15.75" customHeight="1">
      <c r="C367" s="1313" t="n"/>
      <c r="D367" s="1313" t="n"/>
      <c r="E367" s="1313" t="n"/>
    </row>
    <row r="368" ht="15.75" customHeight="1">
      <c r="C368" s="1313" t="n"/>
      <c r="D368" s="1313" t="n"/>
      <c r="E368" s="1313" t="n"/>
    </row>
    <row r="369" ht="15.75" customHeight="1">
      <c r="C369" s="1313" t="n"/>
      <c r="D369" s="1313" t="n"/>
      <c r="E369" s="1313" t="n"/>
    </row>
    <row r="370" ht="15.75" customHeight="1">
      <c r="C370" s="1313" t="n"/>
      <c r="D370" s="1313" t="n"/>
      <c r="E370" s="1313" t="n"/>
    </row>
    <row r="371" ht="15.75" customHeight="1">
      <c r="C371" s="1313" t="n"/>
      <c r="D371" s="1313" t="n"/>
      <c r="E371" s="1313" t="n"/>
    </row>
    <row r="372" ht="15.75" customHeight="1">
      <c r="C372" s="1313" t="n"/>
      <c r="D372" s="1313" t="n"/>
      <c r="E372" s="1313" t="n"/>
    </row>
    <row r="373" ht="15.75" customHeight="1">
      <c r="C373" s="1313" t="n"/>
      <c r="D373" s="1313" t="n"/>
      <c r="E373" s="1313" t="n"/>
    </row>
    <row r="374" ht="15.75" customHeight="1">
      <c r="C374" s="1313" t="n"/>
      <c r="D374" s="1313" t="n"/>
      <c r="E374" s="1313" t="n"/>
    </row>
    <row r="375" ht="15.75" customHeight="1">
      <c r="C375" s="1313" t="n"/>
      <c r="D375" s="1313" t="n"/>
      <c r="E375" s="1313" t="n"/>
    </row>
    <row r="376" ht="15.75" customHeight="1">
      <c r="C376" s="1313" t="n"/>
      <c r="D376" s="1313" t="n"/>
      <c r="E376" s="1313" t="n"/>
    </row>
    <row r="377" ht="15.75" customHeight="1">
      <c r="C377" s="1313" t="n"/>
      <c r="D377" s="1313" t="n"/>
      <c r="E377" s="1313" t="n"/>
    </row>
    <row r="378" ht="15.75" customHeight="1">
      <c r="C378" s="1313" t="n"/>
      <c r="D378" s="1313" t="n"/>
      <c r="E378" s="1313" t="n"/>
    </row>
    <row r="379" ht="15.75" customHeight="1">
      <c r="C379" s="1313" t="n"/>
      <c r="D379" s="1313" t="n"/>
      <c r="E379" s="1313" t="n"/>
    </row>
    <row r="380" ht="15.75" customHeight="1">
      <c r="C380" s="1313" t="n"/>
      <c r="D380" s="1313" t="n"/>
      <c r="E380" s="1313" t="n"/>
    </row>
    <row r="381" ht="15.75" customHeight="1">
      <c r="C381" s="1313" t="n"/>
      <c r="D381" s="1313" t="n"/>
      <c r="E381" s="1313" t="n"/>
    </row>
    <row r="382" ht="15.75" customHeight="1">
      <c r="C382" s="1313" t="n"/>
      <c r="D382" s="1313" t="n"/>
      <c r="E382" s="1313" t="n"/>
    </row>
    <row r="383" ht="15.75" customHeight="1">
      <c r="C383" s="1313" t="n"/>
      <c r="D383" s="1313" t="n"/>
      <c r="E383" s="1313" t="n"/>
    </row>
    <row r="384" ht="15.75" customHeight="1">
      <c r="C384" s="1313" t="n"/>
      <c r="D384" s="1313" t="n"/>
      <c r="E384" s="1313" t="n"/>
    </row>
    <row r="385" ht="15.75" customHeight="1">
      <c r="C385" s="1313" t="n"/>
      <c r="D385" s="1313" t="n"/>
      <c r="E385" s="1313" t="n"/>
    </row>
    <row r="386" ht="15.75" customHeight="1">
      <c r="C386" s="1313" t="n"/>
      <c r="D386" s="1313" t="n"/>
      <c r="E386" s="1313" t="n"/>
    </row>
    <row r="387" ht="15.75" customHeight="1">
      <c r="C387" s="1313" t="n"/>
      <c r="D387" s="1313" t="n"/>
      <c r="E387" s="1313" t="n"/>
    </row>
    <row r="388" ht="15.75" customHeight="1">
      <c r="C388" s="1313" t="n"/>
      <c r="D388" s="1313" t="n"/>
      <c r="E388" s="1313" t="n"/>
    </row>
    <row r="389" ht="15.75" customHeight="1">
      <c r="C389" s="1313" t="n"/>
      <c r="D389" s="1313" t="n"/>
      <c r="E389" s="1313" t="n"/>
    </row>
    <row r="390" ht="15.75" customHeight="1">
      <c r="C390" s="1313" t="n"/>
      <c r="D390" s="1313" t="n"/>
      <c r="E390" s="1313" t="n"/>
    </row>
    <row r="391" ht="15.75" customHeight="1">
      <c r="C391" s="1313" t="n"/>
      <c r="D391" s="1313" t="n"/>
      <c r="E391" s="1313" t="n"/>
    </row>
    <row r="392" ht="15.75" customHeight="1">
      <c r="C392" s="1313" t="n"/>
      <c r="D392" s="1313" t="n"/>
      <c r="E392" s="1313" t="n"/>
    </row>
    <row r="393" ht="15.75" customHeight="1">
      <c r="C393" s="1313" t="n"/>
      <c r="D393" s="1313" t="n"/>
      <c r="E393" s="1313" t="n"/>
    </row>
    <row r="394" ht="15.75" customHeight="1">
      <c r="C394" s="1313" t="n"/>
      <c r="D394" s="1313" t="n"/>
      <c r="E394" s="1313" t="n"/>
    </row>
    <row r="395" ht="15.75" customHeight="1">
      <c r="C395" s="1313" t="n"/>
      <c r="D395" s="1313" t="n"/>
      <c r="E395" s="1313" t="n"/>
    </row>
    <row r="396" ht="15.75" customHeight="1">
      <c r="C396" s="1313" t="n"/>
      <c r="D396" s="1313" t="n"/>
      <c r="E396" s="1313" t="n"/>
    </row>
    <row r="397" ht="15.75" customHeight="1">
      <c r="C397" s="1313" t="n"/>
      <c r="D397" s="1313" t="n"/>
      <c r="E397" s="1313" t="n"/>
    </row>
    <row r="398" ht="15.75" customHeight="1">
      <c r="C398" s="1313" t="n"/>
      <c r="D398" s="1313" t="n"/>
      <c r="E398" s="1313" t="n"/>
    </row>
    <row r="399" ht="15.75" customHeight="1">
      <c r="C399" s="1313" t="n"/>
      <c r="D399" s="1313" t="n"/>
      <c r="E399" s="1313" t="n"/>
    </row>
    <row r="400" ht="15.75" customHeight="1">
      <c r="C400" s="1313" t="n"/>
      <c r="D400" s="1313" t="n"/>
      <c r="E400" s="1313" t="n"/>
    </row>
    <row r="401" ht="15.75" customHeight="1">
      <c r="C401" s="1313" t="n"/>
      <c r="D401" s="1313" t="n"/>
      <c r="E401" s="1313" t="n"/>
    </row>
    <row r="402" ht="15.75" customHeight="1">
      <c r="C402" s="1313" t="n"/>
      <c r="D402" s="1313" t="n"/>
      <c r="E402" s="1313" t="n"/>
    </row>
    <row r="403" ht="15.75" customHeight="1">
      <c r="C403" s="1313" t="n"/>
      <c r="D403" s="1313" t="n"/>
      <c r="E403" s="1313" t="n"/>
    </row>
    <row r="404" ht="15.75" customHeight="1">
      <c r="C404" s="1313" t="n"/>
      <c r="D404" s="1313" t="n"/>
      <c r="E404" s="1313" t="n"/>
    </row>
    <row r="405" ht="15.75" customHeight="1">
      <c r="C405" s="1313" t="n"/>
      <c r="D405" s="1313" t="n"/>
      <c r="E405" s="1313" t="n"/>
    </row>
    <row r="406" ht="15.75" customHeight="1">
      <c r="C406" s="1313" t="n"/>
      <c r="D406" s="1313" t="n"/>
      <c r="E406" s="1313" t="n"/>
    </row>
    <row r="407" ht="15.75" customHeight="1">
      <c r="C407" s="1313" t="n"/>
      <c r="D407" s="1313" t="n"/>
      <c r="E407" s="1313" t="n"/>
    </row>
    <row r="408" ht="15.75" customHeight="1">
      <c r="C408" s="1313" t="n"/>
      <c r="D408" s="1313" t="n"/>
      <c r="E408" s="1313" t="n"/>
    </row>
    <row r="409" ht="15.75" customHeight="1">
      <c r="C409" s="1313" t="n"/>
      <c r="D409" s="1313" t="n"/>
      <c r="E409" s="1313" t="n"/>
    </row>
    <row r="410" ht="15.75" customHeight="1">
      <c r="C410" s="1313" t="n"/>
      <c r="D410" s="1313" t="n"/>
      <c r="E410" s="1313" t="n"/>
    </row>
    <row r="411" ht="15.75" customHeight="1">
      <c r="C411" s="1313" t="n"/>
      <c r="D411" s="1313" t="n"/>
      <c r="E411" s="1313" t="n"/>
    </row>
    <row r="412" ht="15.75" customHeight="1">
      <c r="C412" s="1313" t="n"/>
      <c r="D412" s="1313" t="n"/>
      <c r="E412" s="1313" t="n"/>
    </row>
    <row r="413" ht="15.75" customHeight="1">
      <c r="C413" s="1313" t="n"/>
      <c r="D413" s="1313" t="n"/>
      <c r="E413" s="1313" t="n"/>
    </row>
    <row r="414" ht="15.75" customHeight="1">
      <c r="C414" s="1313" t="n"/>
      <c r="D414" s="1313" t="n"/>
      <c r="E414" s="1313" t="n"/>
    </row>
    <row r="415" ht="15.75" customHeight="1">
      <c r="C415" s="1313" t="n"/>
      <c r="D415" s="1313" t="n"/>
      <c r="E415" s="1313" t="n"/>
    </row>
    <row r="416" ht="15.75" customHeight="1">
      <c r="C416" s="1313" t="n"/>
      <c r="D416" s="1313" t="n"/>
      <c r="E416" s="1313" t="n"/>
    </row>
    <row r="417" ht="15.75" customHeight="1">
      <c r="C417" s="1313" t="n"/>
      <c r="D417" s="1313" t="n"/>
      <c r="E417" s="1313" t="n"/>
    </row>
    <row r="418" ht="15.75" customHeight="1">
      <c r="C418" s="1313" t="n"/>
      <c r="D418" s="1313" t="n"/>
      <c r="E418" s="1313" t="n"/>
    </row>
    <row r="419" ht="15.75" customHeight="1">
      <c r="C419" s="1313" t="n"/>
      <c r="D419" s="1313" t="n"/>
      <c r="E419" s="1313" t="n"/>
    </row>
    <row r="420" ht="15.75" customHeight="1">
      <c r="C420" s="1313" t="n"/>
      <c r="D420" s="1313" t="n"/>
      <c r="E420" s="1313" t="n"/>
    </row>
    <row r="421" ht="15.75" customHeight="1">
      <c r="C421" s="1313" t="n"/>
      <c r="D421" s="1313" t="n"/>
      <c r="E421" s="1313" t="n"/>
    </row>
    <row r="422" ht="15.75" customHeight="1">
      <c r="C422" s="1313" t="n"/>
      <c r="D422" s="1313" t="n"/>
      <c r="E422" s="1313" t="n"/>
    </row>
    <row r="423" ht="15.75" customHeight="1">
      <c r="C423" s="1313" t="n"/>
      <c r="D423" s="1313" t="n"/>
      <c r="E423" s="1313" t="n"/>
    </row>
    <row r="424" ht="15.75" customHeight="1">
      <c r="C424" s="1313" t="n"/>
      <c r="D424" s="1313" t="n"/>
      <c r="E424" s="1313" t="n"/>
    </row>
    <row r="425" ht="15.75" customHeight="1">
      <c r="C425" s="1313" t="n"/>
      <c r="D425" s="1313" t="n"/>
      <c r="E425" s="1313" t="n"/>
    </row>
    <row r="426" ht="15.75" customHeight="1">
      <c r="C426" s="1313" t="n"/>
      <c r="D426" s="1313" t="n"/>
      <c r="E426" s="1313" t="n"/>
    </row>
    <row r="427" ht="15.75" customHeight="1">
      <c r="C427" s="1313" t="n"/>
      <c r="D427" s="1313" t="n"/>
      <c r="E427" s="1313" t="n"/>
    </row>
    <row r="428" ht="15.75" customHeight="1">
      <c r="C428" s="1313" t="n"/>
      <c r="D428" s="1313" t="n"/>
      <c r="E428" s="1313" t="n"/>
    </row>
    <row r="429" ht="15.75" customHeight="1">
      <c r="C429" s="1313" t="n"/>
      <c r="D429" s="1313" t="n"/>
      <c r="E429" s="1313" t="n"/>
    </row>
    <row r="430" ht="15.75" customHeight="1">
      <c r="C430" s="1313" t="n"/>
      <c r="D430" s="1313" t="n"/>
      <c r="E430" s="1313" t="n"/>
    </row>
    <row r="431" ht="15.75" customHeight="1">
      <c r="C431" s="1313" t="n"/>
      <c r="D431" s="1313" t="n"/>
      <c r="E431" s="1313" t="n"/>
    </row>
    <row r="432" ht="15.75" customHeight="1">
      <c r="C432" s="1313" t="n"/>
      <c r="D432" s="1313" t="n"/>
      <c r="E432" s="1313" t="n"/>
    </row>
    <row r="433" ht="15.75" customHeight="1">
      <c r="C433" s="1313" t="n"/>
      <c r="D433" s="1313" t="n"/>
      <c r="E433" s="1313" t="n"/>
    </row>
    <row r="434" ht="15.75" customHeight="1">
      <c r="C434" s="1313" t="n"/>
      <c r="D434" s="1313" t="n"/>
      <c r="E434" s="1313" t="n"/>
    </row>
    <row r="435" ht="15.75" customHeight="1">
      <c r="C435" s="1313" t="n"/>
      <c r="D435" s="1313" t="n"/>
      <c r="E435" s="1313" t="n"/>
    </row>
    <row r="436" ht="15.75" customHeight="1">
      <c r="C436" s="1313" t="n"/>
      <c r="D436" s="1313" t="n"/>
      <c r="E436" s="1313" t="n"/>
    </row>
    <row r="437" ht="15.75" customHeight="1">
      <c r="C437" s="1313" t="n"/>
      <c r="D437" s="1313" t="n"/>
      <c r="E437" s="1313" t="n"/>
    </row>
    <row r="438" ht="15.75" customHeight="1">
      <c r="C438" s="1313" t="n"/>
      <c r="D438" s="1313" t="n"/>
      <c r="E438" s="1313" t="n"/>
    </row>
    <row r="439" ht="15.75" customHeight="1">
      <c r="C439" s="1313" t="n"/>
      <c r="D439" s="1313" t="n"/>
      <c r="E439" s="1313" t="n"/>
    </row>
    <row r="440" ht="15.75" customHeight="1">
      <c r="C440" s="1313" t="n"/>
      <c r="D440" s="1313" t="n"/>
      <c r="E440" s="1313" t="n"/>
    </row>
    <row r="441" ht="15.75" customHeight="1">
      <c r="C441" s="1313" t="n"/>
      <c r="D441" s="1313" t="n"/>
      <c r="E441" s="1313" t="n"/>
    </row>
    <row r="442" ht="15.75" customHeight="1">
      <c r="C442" s="1313" t="n"/>
      <c r="D442" s="1313" t="n"/>
      <c r="E442" s="1313" t="n"/>
    </row>
    <row r="443" ht="15.75" customHeight="1">
      <c r="C443" s="1313" t="n"/>
      <c r="D443" s="1313" t="n"/>
      <c r="E443" s="1313" t="n"/>
    </row>
    <row r="444" ht="15.75" customHeight="1">
      <c r="C444" s="1313" t="n"/>
      <c r="D444" s="1313" t="n"/>
      <c r="E444" s="1313" t="n"/>
    </row>
    <row r="445" ht="15.75" customHeight="1">
      <c r="C445" s="1313" t="n"/>
      <c r="D445" s="1313" t="n"/>
      <c r="E445" s="1313" t="n"/>
    </row>
    <row r="446" ht="15.75" customHeight="1">
      <c r="C446" s="1313" t="n"/>
      <c r="D446" s="1313" t="n"/>
      <c r="E446" s="1313" t="n"/>
    </row>
    <row r="447" ht="15.75" customHeight="1">
      <c r="C447" s="1313" t="n"/>
      <c r="D447" s="1313" t="n"/>
      <c r="E447" s="1313" t="n"/>
    </row>
    <row r="448" ht="15.75" customHeight="1">
      <c r="C448" s="1313" t="n"/>
      <c r="D448" s="1313" t="n"/>
      <c r="E448" s="1313" t="n"/>
    </row>
    <row r="449" ht="15.75" customHeight="1">
      <c r="C449" s="1313" t="n"/>
      <c r="D449" s="1313" t="n"/>
      <c r="E449" s="1313" t="n"/>
    </row>
    <row r="450" ht="15.75" customHeight="1">
      <c r="C450" s="1313" t="n"/>
      <c r="D450" s="1313" t="n"/>
      <c r="E450" s="1313" t="n"/>
    </row>
    <row r="451" ht="15.75" customHeight="1">
      <c r="C451" s="1313" t="n"/>
      <c r="D451" s="1313" t="n"/>
      <c r="E451" s="1313" t="n"/>
    </row>
    <row r="452" ht="15.75" customHeight="1">
      <c r="C452" s="1313" t="n"/>
      <c r="D452" s="1313" t="n"/>
      <c r="E452" s="1313" t="n"/>
    </row>
    <row r="453" ht="15.75" customHeight="1">
      <c r="C453" s="1313" t="n"/>
      <c r="D453" s="1313" t="n"/>
      <c r="E453" s="1313" t="n"/>
    </row>
    <row r="454" ht="15.75" customHeight="1">
      <c r="C454" s="1313" t="n"/>
      <c r="D454" s="1313" t="n"/>
      <c r="E454" s="1313" t="n"/>
    </row>
    <row r="455" ht="15.75" customHeight="1">
      <c r="C455" s="1313" t="n"/>
      <c r="D455" s="1313" t="n"/>
      <c r="E455" s="1313" t="n"/>
    </row>
    <row r="456" ht="15.75" customHeight="1">
      <c r="C456" s="1313" t="n"/>
      <c r="D456" s="1313" t="n"/>
      <c r="E456" s="1313" t="n"/>
    </row>
    <row r="457" ht="15.75" customHeight="1">
      <c r="C457" s="1313" t="n"/>
      <c r="D457" s="1313" t="n"/>
      <c r="E457" s="1313" t="n"/>
    </row>
    <row r="458" ht="15.75" customHeight="1">
      <c r="C458" s="1313" t="n"/>
      <c r="D458" s="1313" t="n"/>
      <c r="E458" s="1313" t="n"/>
    </row>
    <row r="459" ht="15.75" customHeight="1">
      <c r="C459" s="1313" t="n"/>
      <c r="D459" s="1313" t="n"/>
      <c r="E459" s="1313" t="n"/>
    </row>
    <row r="460" ht="15.75" customHeight="1">
      <c r="C460" s="1313" t="n"/>
      <c r="D460" s="1313" t="n"/>
      <c r="E460" s="1313" t="n"/>
    </row>
    <row r="461" ht="15.75" customHeight="1">
      <c r="C461" s="1313" t="n"/>
      <c r="D461" s="1313" t="n"/>
      <c r="E461" s="1313" t="n"/>
    </row>
    <row r="462" ht="15.75" customHeight="1">
      <c r="C462" s="1313" t="n"/>
      <c r="D462" s="1313" t="n"/>
      <c r="E462" s="1313" t="n"/>
    </row>
    <row r="463" ht="15.75" customHeight="1">
      <c r="C463" s="1313" t="n"/>
      <c r="D463" s="1313" t="n"/>
      <c r="E463" s="1313" t="n"/>
    </row>
    <row r="464" ht="15.75" customHeight="1">
      <c r="C464" s="1313" t="n"/>
      <c r="D464" s="1313" t="n"/>
      <c r="E464" s="1313" t="n"/>
    </row>
    <row r="465" ht="15.75" customHeight="1">
      <c r="C465" s="1313" t="n"/>
      <c r="D465" s="1313" t="n"/>
      <c r="E465" s="1313" t="n"/>
    </row>
    <row r="466" ht="15.75" customHeight="1">
      <c r="C466" s="1313" t="n"/>
      <c r="D466" s="1313" t="n"/>
      <c r="E466" s="1313" t="n"/>
    </row>
    <row r="467" ht="15.75" customHeight="1">
      <c r="C467" s="1313" t="n"/>
      <c r="D467" s="1313" t="n"/>
      <c r="E467" s="1313" t="n"/>
    </row>
    <row r="468" ht="15.75" customHeight="1">
      <c r="C468" s="1313" t="n"/>
      <c r="D468" s="1313" t="n"/>
      <c r="E468" s="1313" t="n"/>
    </row>
    <row r="469" ht="15.75" customHeight="1">
      <c r="C469" s="1313" t="n"/>
      <c r="D469" s="1313" t="n"/>
      <c r="E469" s="1313" t="n"/>
    </row>
    <row r="470" ht="15.75" customHeight="1">
      <c r="C470" s="1313" t="n"/>
      <c r="D470" s="1313" t="n"/>
      <c r="E470" s="1313" t="n"/>
    </row>
    <row r="471" ht="15.75" customHeight="1">
      <c r="C471" s="1313" t="n"/>
      <c r="D471" s="1313" t="n"/>
      <c r="E471" s="1313" t="n"/>
    </row>
    <row r="472" ht="15.75" customHeight="1">
      <c r="C472" s="1313" t="n"/>
      <c r="D472" s="1313" t="n"/>
      <c r="E472" s="1313" t="n"/>
    </row>
    <row r="473" ht="15.75" customHeight="1">
      <c r="C473" s="1313" t="n"/>
      <c r="D473" s="1313" t="n"/>
      <c r="E473" s="1313" t="n"/>
    </row>
    <row r="474" ht="15.75" customHeight="1">
      <c r="C474" s="1313" t="n"/>
      <c r="D474" s="1313" t="n"/>
      <c r="E474" s="1313" t="n"/>
    </row>
    <row r="475" ht="15.75" customHeight="1">
      <c r="C475" s="1313" t="n"/>
      <c r="D475" s="1313" t="n"/>
      <c r="E475" s="1313" t="n"/>
    </row>
    <row r="476" ht="15.75" customHeight="1">
      <c r="C476" s="1313" t="n"/>
      <c r="D476" s="1313" t="n"/>
      <c r="E476" s="1313" t="n"/>
    </row>
    <row r="477" ht="15.75" customHeight="1">
      <c r="C477" s="1313" t="n"/>
      <c r="D477" s="1313" t="n"/>
      <c r="E477" s="1313" t="n"/>
    </row>
    <row r="478" ht="15.75" customHeight="1">
      <c r="C478" s="1313" t="n"/>
      <c r="D478" s="1313" t="n"/>
      <c r="E478" s="1313" t="n"/>
    </row>
    <row r="479" ht="15.75" customHeight="1">
      <c r="C479" s="1313" t="n"/>
      <c r="D479" s="1313" t="n"/>
      <c r="E479" s="1313" t="n"/>
    </row>
    <row r="480" ht="15.75" customHeight="1">
      <c r="C480" s="1313" t="n"/>
      <c r="D480" s="1313" t="n"/>
      <c r="E480" s="1313" t="n"/>
    </row>
    <row r="481" ht="15.75" customHeight="1">
      <c r="C481" s="1313" t="n"/>
      <c r="D481" s="1313" t="n"/>
      <c r="E481" s="1313" t="n"/>
    </row>
    <row r="482" ht="15.75" customHeight="1">
      <c r="C482" s="1313" t="n"/>
      <c r="D482" s="1313" t="n"/>
      <c r="E482" s="1313" t="n"/>
    </row>
    <row r="483" ht="15.75" customHeight="1">
      <c r="C483" s="1313" t="n"/>
      <c r="D483" s="1313" t="n"/>
      <c r="E483" s="1313" t="n"/>
    </row>
    <row r="484" ht="15.75" customHeight="1">
      <c r="C484" s="1313" t="n"/>
      <c r="D484" s="1313" t="n"/>
      <c r="E484" s="1313" t="n"/>
    </row>
    <row r="485" ht="15.75" customHeight="1">
      <c r="C485" s="1313" t="n"/>
      <c r="D485" s="1313" t="n"/>
      <c r="E485" s="1313" t="n"/>
    </row>
    <row r="486" ht="15.75" customHeight="1">
      <c r="C486" s="1313" t="n"/>
      <c r="D486" s="1313" t="n"/>
      <c r="E486" s="1313" t="n"/>
    </row>
    <row r="487" ht="15.75" customHeight="1">
      <c r="C487" s="1313" t="n"/>
      <c r="D487" s="1313" t="n"/>
      <c r="E487" s="1313" t="n"/>
    </row>
    <row r="488" ht="15.75" customHeight="1">
      <c r="C488" s="1313" t="n"/>
      <c r="D488" s="1313" t="n"/>
      <c r="E488" s="1313" t="n"/>
    </row>
    <row r="489" ht="15.75" customHeight="1">
      <c r="C489" s="1313" t="n"/>
      <c r="D489" s="1313" t="n"/>
      <c r="E489" s="1313" t="n"/>
    </row>
    <row r="490" ht="15.75" customHeight="1">
      <c r="C490" s="1313" t="n"/>
      <c r="D490" s="1313" t="n"/>
      <c r="E490" s="1313" t="n"/>
    </row>
    <row r="491" ht="15.75" customHeight="1">
      <c r="C491" s="1313" t="n"/>
      <c r="D491" s="1313" t="n"/>
      <c r="E491" s="1313" t="n"/>
    </row>
    <row r="492" ht="15.75" customHeight="1">
      <c r="C492" s="1313" t="n"/>
      <c r="D492" s="1313" t="n"/>
      <c r="E492" s="1313" t="n"/>
    </row>
    <row r="493" ht="15.75" customHeight="1">
      <c r="C493" s="1313" t="n"/>
      <c r="D493" s="1313" t="n"/>
      <c r="E493" s="1313" t="n"/>
    </row>
    <row r="494" ht="15.75" customHeight="1">
      <c r="C494" s="1313" t="n"/>
      <c r="D494" s="1313" t="n"/>
      <c r="E494" s="1313" t="n"/>
    </row>
    <row r="495" ht="15.75" customHeight="1">
      <c r="C495" s="1313" t="n"/>
      <c r="D495" s="1313" t="n"/>
      <c r="E495" s="1313" t="n"/>
    </row>
    <row r="496" ht="15.75" customHeight="1">
      <c r="C496" s="1313" t="n"/>
      <c r="D496" s="1313" t="n"/>
      <c r="E496" s="1313" t="n"/>
    </row>
    <row r="497" ht="15.75" customHeight="1">
      <c r="C497" s="1313" t="n"/>
      <c r="D497" s="1313" t="n"/>
      <c r="E497" s="1313" t="n"/>
    </row>
    <row r="498" ht="15.75" customHeight="1">
      <c r="C498" s="1313" t="n"/>
      <c r="D498" s="1313" t="n"/>
      <c r="E498" s="1313" t="n"/>
    </row>
    <row r="499" ht="15.75" customHeight="1">
      <c r="C499" s="1313" t="n"/>
      <c r="D499" s="1313" t="n"/>
      <c r="E499" s="1313" t="n"/>
    </row>
    <row r="500" ht="15.75" customHeight="1">
      <c r="C500" s="1313" t="n"/>
      <c r="D500" s="1313" t="n"/>
      <c r="E500" s="1313" t="n"/>
    </row>
    <row r="501" ht="15.75" customHeight="1">
      <c r="C501" s="1313" t="n"/>
      <c r="D501" s="1313" t="n"/>
      <c r="E501" s="1313" t="n"/>
    </row>
    <row r="502" ht="15.75" customHeight="1">
      <c r="C502" s="1313" t="n"/>
      <c r="D502" s="1313" t="n"/>
      <c r="E502" s="1313" t="n"/>
    </row>
    <row r="503" ht="15.75" customHeight="1">
      <c r="C503" s="1313" t="n"/>
      <c r="D503" s="1313" t="n"/>
      <c r="E503" s="1313" t="n"/>
    </row>
    <row r="504" ht="15.75" customHeight="1">
      <c r="C504" s="1313" t="n"/>
      <c r="D504" s="1313" t="n"/>
      <c r="E504" s="1313" t="n"/>
    </row>
    <row r="505" ht="15.75" customHeight="1">
      <c r="C505" s="1313" t="n"/>
      <c r="D505" s="1313" t="n"/>
      <c r="E505" s="1313" t="n"/>
    </row>
    <row r="506" ht="15.75" customHeight="1">
      <c r="C506" s="1313" t="n"/>
      <c r="D506" s="1313" t="n"/>
      <c r="E506" s="1313" t="n"/>
    </row>
    <row r="507" ht="15.75" customHeight="1">
      <c r="C507" s="1313" t="n"/>
      <c r="D507" s="1313" t="n"/>
      <c r="E507" s="1313" t="n"/>
    </row>
    <row r="508" ht="15.75" customHeight="1">
      <c r="C508" s="1313" t="n"/>
      <c r="D508" s="1313" t="n"/>
      <c r="E508" s="1313" t="n"/>
    </row>
    <row r="509" ht="15.75" customHeight="1">
      <c r="C509" s="1313" t="n"/>
      <c r="D509" s="1313" t="n"/>
      <c r="E509" s="1313" t="n"/>
    </row>
    <row r="510" ht="15.75" customHeight="1">
      <c r="C510" s="1313" t="n"/>
      <c r="D510" s="1313" t="n"/>
      <c r="E510" s="1313" t="n"/>
    </row>
    <row r="511" ht="15.75" customHeight="1">
      <c r="C511" s="1313" t="n"/>
      <c r="D511" s="1313" t="n"/>
      <c r="E511" s="1313" t="n"/>
    </row>
    <row r="512" ht="15.75" customHeight="1">
      <c r="C512" s="1313" t="n"/>
      <c r="D512" s="1313" t="n"/>
      <c r="E512" s="1313" t="n"/>
    </row>
    <row r="513" ht="15.75" customHeight="1">
      <c r="C513" s="1313" t="n"/>
      <c r="D513" s="1313" t="n"/>
      <c r="E513" s="1313" t="n"/>
    </row>
    <row r="514" ht="15.75" customHeight="1">
      <c r="C514" s="1313" t="n"/>
      <c r="D514" s="1313" t="n"/>
      <c r="E514" s="1313" t="n"/>
    </row>
    <row r="515" ht="15.75" customHeight="1">
      <c r="C515" s="1313" t="n"/>
      <c r="D515" s="1313" t="n"/>
      <c r="E515" s="1313" t="n"/>
    </row>
    <row r="516" ht="15.75" customHeight="1">
      <c r="C516" s="1313" t="n"/>
      <c r="D516" s="1313" t="n"/>
      <c r="E516" s="1313" t="n"/>
    </row>
    <row r="517" ht="15.75" customHeight="1">
      <c r="C517" s="1313" t="n"/>
      <c r="D517" s="1313" t="n"/>
      <c r="E517" s="1313" t="n"/>
    </row>
    <row r="518" ht="15.75" customHeight="1">
      <c r="C518" s="1313" t="n"/>
      <c r="D518" s="1313" t="n"/>
      <c r="E518" s="1313" t="n"/>
    </row>
    <row r="519" ht="15.75" customHeight="1">
      <c r="C519" s="1313" t="n"/>
      <c r="D519" s="1313" t="n"/>
      <c r="E519" s="1313" t="n"/>
    </row>
    <row r="520" ht="15.75" customHeight="1">
      <c r="C520" s="1313" t="n"/>
      <c r="D520" s="1313" t="n"/>
      <c r="E520" s="1313" t="n"/>
    </row>
    <row r="521" ht="15.75" customHeight="1">
      <c r="C521" s="1313" t="n"/>
      <c r="D521" s="1313" t="n"/>
      <c r="E521" s="1313" t="n"/>
    </row>
    <row r="522" ht="15.75" customHeight="1">
      <c r="C522" s="1313" t="n"/>
      <c r="D522" s="1313" t="n"/>
      <c r="E522" s="1313" t="n"/>
    </row>
    <row r="523" ht="15.75" customHeight="1">
      <c r="C523" s="1313" t="n"/>
      <c r="D523" s="1313" t="n"/>
      <c r="E523" s="1313" t="n"/>
    </row>
    <row r="524" ht="15.75" customHeight="1">
      <c r="C524" s="1313" t="n"/>
      <c r="D524" s="1313" t="n"/>
      <c r="E524" s="1313" t="n"/>
    </row>
    <row r="525" ht="15.75" customHeight="1">
      <c r="C525" s="1313" t="n"/>
      <c r="D525" s="1313" t="n"/>
      <c r="E525" s="1313" t="n"/>
    </row>
    <row r="526" ht="15.75" customHeight="1">
      <c r="C526" s="1313" t="n"/>
      <c r="D526" s="1313" t="n"/>
      <c r="E526" s="1313" t="n"/>
    </row>
    <row r="527" ht="15.75" customHeight="1">
      <c r="C527" s="1313" t="n"/>
      <c r="D527" s="1313" t="n"/>
      <c r="E527" s="1313" t="n"/>
    </row>
    <row r="528" ht="15.75" customHeight="1">
      <c r="C528" s="1313" t="n"/>
      <c r="D528" s="1313" t="n"/>
      <c r="E528" s="1313" t="n"/>
    </row>
    <row r="529" ht="15.75" customHeight="1">
      <c r="C529" s="1313" t="n"/>
      <c r="D529" s="1313" t="n"/>
      <c r="E529" s="1313" t="n"/>
    </row>
    <row r="530" ht="15.75" customHeight="1">
      <c r="C530" s="1313" t="n"/>
      <c r="D530" s="1313" t="n"/>
      <c r="E530" s="1313" t="n"/>
    </row>
    <row r="531" ht="15.75" customHeight="1">
      <c r="C531" s="1313" t="n"/>
      <c r="D531" s="1313" t="n"/>
      <c r="E531" s="1313" t="n"/>
    </row>
    <row r="532" ht="15.75" customHeight="1">
      <c r="C532" s="1313" t="n"/>
      <c r="D532" s="1313" t="n"/>
      <c r="E532" s="1313" t="n"/>
    </row>
    <row r="533" ht="15.75" customHeight="1">
      <c r="C533" s="1313" t="n"/>
      <c r="D533" s="1313" t="n"/>
      <c r="E533" s="1313" t="n"/>
    </row>
    <row r="534" ht="15.75" customHeight="1">
      <c r="C534" s="1313" t="n"/>
      <c r="D534" s="1313" t="n"/>
      <c r="E534" s="1313" t="n"/>
    </row>
    <row r="535" ht="15.75" customHeight="1">
      <c r="C535" s="1313" t="n"/>
      <c r="D535" s="1313" t="n"/>
      <c r="E535" s="1313" t="n"/>
    </row>
    <row r="536" ht="15.75" customHeight="1">
      <c r="C536" s="1313" t="n"/>
      <c r="D536" s="1313" t="n"/>
      <c r="E536" s="1313" t="n"/>
    </row>
    <row r="537" ht="15.75" customHeight="1">
      <c r="C537" s="1313" t="n"/>
      <c r="D537" s="1313" t="n"/>
      <c r="E537" s="1313" t="n"/>
    </row>
    <row r="538" ht="15.75" customHeight="1">
      <c r="C538" s="1313" t="n"/>
      <c r="D538" s="1313" t="n"/>
      <c r="E538" s="1313" t="n"/>
    </row>
    <row r="539" ht="15.75" customHeight="1">
      <c r="C539" s="1313" t="n"/>
      <c r="D539" s="1313" t="n"/>
      <c r="E539" s="1313" t="n"/>
    </row>
    <row r="540" ht="15.75" customHeight="1">
      <c r="C540" s="1313" t="n"/>
      <c r="D540" s="1313" t="n"/>
      <c r="E540" s="1313" t="n"/>
    </row>
    <row r="541" ht="15.75" customHeight="1">
      <c r="C541" s="1313" t="n"/>
      <c r="D541" s="1313" t="n"/>
      <c r="E541" s="1313" t="n"/>
    </row>
    <row r="542" ht="15.75" customHeight="1">
      <c r="C542" s="1313" t="n"/>
      <c r="D542" s="1313" t="n"/>
      <c r="E542" s="1313" t="n"/>
    </row>
    <row r="543" ht="15.75" customHeight="1">
      <c r="C543" s="1313" t="n"/>
      <c r="D543" s="1313" t="n"/>
      <c r="E543" s="1313" t="n"/>
    </row>
    <row r="544" ht="15.75" customHeight="1">
      <c r="C544" s="1313" t="n"/>
      <c r="D544" s="1313" t="n"/>
      <c r="E544" s="1313" t="n"/>
    </row>
    <row r="545" ht="15.75" customHeight="1">
      <c r="C545" s="1313" t="n"/>
      <c r="D545" s="1313" t="n"/>
      <c r="E545" s="1313" t="n"/>
    </row>
    <row r="546" ht="15.75" customHeight="1">
      <c r="C546" s="1313" t="n"/>
      <c r="D546" s="1313" t="n"/>
      <c r="E546" s="1313" t="n"/>
    </row>
    <row r="547" ht="15.75" customHeight="1">
      <c r="C547" s="1313" t="n"/>
      <c r="D547" s="1313" t="n"/>
      <c r="E547" s="1313" t="n"/>
    </row>
    <row r="548" ht="15.75" customHeight="1">
      <c r="C548" s="1313" t="n"/>
      <c r="D548" s="1313" t="n"/>
      <c r="E548" s="1313" t="n"/>
    </row>
    <row r="549" ht="15.75" customHeight="1">
      <c r="C549" s="1313" t="n"/>
      <c r="D549" s="1313" t="n"/>
      <c r="E549" s="1313" t="n"/>
    </row>
    <row r="550" ht="15.75" customHeight="1">
      <c r="C550" s="1313" t="n"/>
      <c r="D550" s="1313" t="n"/>
      <c r="E550" s="1313" t="n"/>
    </row>
    <row r="551" ht="15.75" customHeight="1">
      <c r="C551" s="1313" t="n"/>
      <c r="D551" s="1313" t="n"/>
      <c r="E551" s="1313" t="n"/>
    </row>
    <row r="552" ht="15.75" customHeight="1">
      <c r="C552" s="1313" t="n"/>
      <c r="D552" s="1313" t="n"/>
      <c r="E552" s="1313" t="n"/>
    </row>
    <row r="553" ht="15.75" customHeight="1">
      <c r="C553" s="1313" t="n"/>
      <c r="D553" s="1313" t="n"/>
      <c r="E553" s="1313" t="n"/>
    </row>
    <row r="554" ht="15.75" customHeight="1">
      <c r="C554" s="1313" t="n"/>
      <c r="D554" s="1313" t="n"/>
      <c r="E554" s="1313" t="n"/>
    </row>
    <row r="555" ht="15.75" customHeight="1">
      <c r="C555" s="1313" t="n"/>
      <c r="D555" s="1313" t="n"/>
      <c r="E555" s="1313" t="n"/>
    </row>
    <row r="556" ht="15.75" customHeight="1">
      <c r="C556" s="1313" t="n"/>
      <c r="D556" s="1313" t="n"/>
      <c r="E556" s="1313" t="n"/>
    </row>
    <row r="557" ht="15.75" customHeight="1">
      <c r="C557" s="1313" t="n"/>
      <c r="D557" s="1313" t="n"/>
      <c r="E557" s="1313" t="n"/>
    </row>
    <row r="558" ht="15.75" customHeight="1">
      <c r="C558" s="1313" t="n"/>
      <c r="D558" s="1313" t="n"/>
      <c r="E558" s="1313" t="n"/>
    </row>
    <row r="559" ht="15.75" customHeight="1">
      <c r="C559" s="1313" t="n"/>
      <c r="D559" s="1313" t="n"/>
      <c r="E559" s="1313" t="n"/>
    </row>
    <row r="560" ht="15.75" customHeight="1">
      <c r="C560" s="1313" t="n"/>
      <c r="D560" s="1313" t="n"/>
      <c r="E560" s="1313" t="n"/>
    </row>
    <row r="561" ht="15.75" customHeight="1">
      <c r="C561" s="1313" t="n"/>
      <c r="D561" s="1313" t="n"/>
      <c r="E561" s="1313" t="n"/>
    </row>
    <row r="562" ht="15.75" customHeight="1">
      <c r="C562" s="1313" t="n"/>
      <c r="D562" s="1313" t="n"/>
      <c r="E562" s="1313" t="n"/>
    </row>
    <row r="563" ht="15.75" customHeight="1">
      <c r="C563" s="1313" t="n"/>
      <c r="D563" s="1313" t="n"/>
      <c r="E563" s="1313" t="n"/>
    </row>
    <row r="564" ht="15.75" customHeight="1">
      <c r="C564" s="1313" t="n"/>
      <c r="D564" s="1313" t="n"/>
      <c r="E564" s="1313" t="n"/>
    </row>
    <row r="565" ht="15.75" customHeight="1">
      <c r="C565" s="1313" t="n"/>
      <c r="D565" s="1313" t="n"/>
      <c r="E565" s="1313" t="n"/>
    </row>
    <row r="566" ht="15.75" customHeight="1">
      <c r="C566" s="1313" t="n"/>
      <c r="D566" s="1313" t="n"/>
      <c r="E566" s="1313" t="n"/>
    </row>
    <row r="567" ht="15.75" customHeight="1">
      <c r="C567" s="1313" t="n"/>
      <c r="D567" s="1313" t="n"/>
      <c r="E567" s="1313" t="n"/>
    </row>
    <row r="568" ht="15.75" customHeight="1">
      <c r="C568" s="1313" t="n"/>
      <c r="D568" s="1313" t="n"/>
      <c r="E568" s="1313" t="n"/>
    </row>
    <row r="569" ht="15.75" customHeight="1">
      <c r="C569" s="1313" t="n"/>
      <c r="D569" s="1313" t="n"/>
      <c r="E569" s="1313" t="n"/>
    </row>
    <row r="570" ht="15.75" customHeight="1">
      <c r="C570" s="1313" t="n"/>
      <c r="D570" s="1313" t="n"/>
      <c r="E570" s="1313" t="n"/>
    </row>
    <row r="571" ht="15.75" customHeight="1">
      <c r="C571" s="1313" t="n"/>
      <c r="D571" s="1313" t="n"/>
      <c r="E571" s="1313" t="n"/>
    </row>
    <row r="572" ht="15.75" customHeight="1">
      <c r="C572" s="1313" t="n"/>
      <c r="D572" s="1313" t="n"/>
      <c r="E572" s="1313" t="n"/>
    </row>
    <row r="573" ht="15.75" customHeight="1">
      <c r="C573" s="1313" t="n"/>
      <c r="D573" s="1313" t="n"/>
      <c r="E573" s="1313" t="n"/>
    </row>
    <row r="574" ht="15.75" customHeight="1">
      <c r="C574" s="1313" t="n"/>
      <c r="D574" s="1313" t="n"/>
      <c r="E574" s="1313" t="n"/>
    </row>
    <row r="575" ht="15.75" customHeight="1">
      <c r="C575" s="1313" t="n"/>
      <c r="D575" s="1313" t="n"/>
      <c r="E575" s="1313" t="n"/>
    </row>
    <row r="576" ht="15.75" customHeight="1">
      <c r="C576" s="1313" t="n"/>
      <c r="D576" s="1313" t="n"/>
      <c r="E576" s="1313" t="n"/>
    </row>
    <row r="577" ht="15.75" customHeight="1">
      <c r="C577" s="1313" t="n"/>
      <c r="D577" s="1313" t="n"/>
      <c r="E577" s="1313" t="n"/>
    </row>
    <row r="578" ht="15.75" customHeight="1">
      <c r="C578" s="1313" t="n"/>
      <c r="D578" s="1313" t="n"/>
      <c r="E578" s="1313" t="n"/>
    </row>
    <row r="579" ht="15.75" customHeight="1">
      <c r="C579" s="1313" t="n"/>
      <c r="D579" s="1313" t="n"/>
      <c r="E579" s="1313" t="n"/>
    </row>
    <row r="580" ht="15.75" customHeight="1">
      <c r="C580" s="1313" t="n"/>
      <c r="D580" s="1313" t="n"/>
      <c r="E580" s="1313" t="n"/>
    </row>
    <row r="581" ht="15.75" customHeight="1">
      <c r="C581" s="1313" t="n"/>
      <c r="D581" s="1313" t="n"/>
      <c r="E581" s="1313" t="n"/>
    </row>
    <row r="582" ht="15.75" customHeight="1">
      <c r="C582" s="1313" t="n"/>
      <c r="D582" s="1313" t="n"/>
      <c r="E582" s="1313" t="n"/>
    </row>
    <row r="583" ht="15.75" customHeight="1">
      <c r="C583" s="1313" t="n"/>
      <c r="D583" s="1313" t="n"/>
      <c r="E583" s="1313" t="n"/>
    </row>
    <row r="584" ht="15.75" customHeight="1">
      <c r="C584" s="1313" t="n"/>
      <c r="D584" s="1313" t="n"/>
      <c r="E584" s="1313" t="n"/>
    </row>
    <row r="585" ht="15.75" customHeight="1">
      <c r="C585" s="1313" t="n"/>
      <c r="D585" s="1313" t="n"/>
      <c r="E585" s="1313" t="n"/>
    </row>
    <row r="586" ht="15.75" customHeight="1">
      <c r="C586" s="1313" t="n"/>
      <c r="D586" s="1313" t="n"/>
      <c r="E586" s="1313" t="n"/>
    </row>
    <row r="587" ht="15.75" customHeight="1">
      <c r="C587" s="1313" t="n"/>
      <c r="D587" s="1313" t="n"/>
      <c r="E587" s="1313" t="n"/>
    </row>
    <row r="588" ht="15.75" customHeight="1">
      <c r="C588" s="1313" t="n"/>
      <c r="D588" s="1313" t="n"/>
      <c r="E588" s="1313" t="n"/>
    </row>
    <row r="589" ht="15.75" customHeight="1">
      <c r="C589" s="1313" t="n"/>
      <c r="D589" s="1313" t="n"/>
      <c r="E589" s="1313" t="n"/>
    </row>
    <row r="590" ht="15.75" customHeight="1">
      <c r="C590" s="1313" t="n"/>
      <c r="D590" s="1313" t="n"/>
      <c r="E590" s="1313" t="n"/>
    </row>
    <row r="591" ht="15.75" customHeight="1">
      <c r="C591" s="1313" t="n"/>
      <c r="D591" s="1313" t="n"/>
      <c r="E591" s="1313" t="n"/>
    </row>
    <row r="592" ht="15.75" customHeight="1">
      <c r="C592" s="1313" t="n"/>
      <c r="D592" s="1313" t="n"/>
      <c r="E592" s="1313" t="n"/>
    </row>
    <row r="593" ht="15.75" customHeight="1">
      <c r="C593" s="1313" t="n"/>
      <c r="D593" s="1313" t="n"/>
      <c r="E593" s="1313" t="n"/>
    </row>
    <row r="594" ht="15.75" customHeight="1">
      <c r="C594" s="1313" t="n"/>
      <c r="D594" s="1313" t="n"/>
      <c r="E594" s="1313" t="n"/>
    </row>
    <row r="595" ht="15.75" customHeight="1">
      <c r="C595" s="1313" t="n"/>
      <c r="D595" s="1313" t="n"/>
      <c r="E595" s="1313" t="n"/>
    </row>
    <row r="596" ht="15.75" customHeight="1">
      <c r="C596" s="1313" t="n"/>
      <c r="D596" s="1313" t="n"/>
      <c r="E596" s="1313" t="n"/>
    </row>
    <row r="597" ht="15.75" customHeight="1">
      <c r="C597" s="1313" t="n"/>
      <c r="D597" s="1313" t="n"/>
      <c r="E597" s="1313" t="n"/>
    </row>
    <row r="598" ht="15.75" customHeight="1">
      <c r="C598" s="1313" t="n"/>
      <c r="D598" s="1313" t="n"/>
      <c r="E598" s="1313" t="n"/>
    </row>
    <row r="599" ht="15.75" customHeight="1">
      <c r="C599" s="1313" t="n"/>
      <c r="D599" s="1313" t="n"/>
      <c r="E599" s="1313" t="n"/>
    </row>
    <row r="600" ht="15.75" customHeight="1">
      <c r="C600" s="1313" t="n"/>
      <c r="D600" s="1313" t="n"/>
      <c r="E600" s="1313" t="n"/>
    </row>
    <row r="601" ht="15.75" customHeight="1">
      <c r="C601" s="1313" t="n"/>
      <c r="D601" s="1313" t="n"/>
      <c r="E601" s="1313" t="n"/>
    </row>
    <row r="602" ht="15.75" customHeight="1">
      <c r="C602" s="1313" t="n"/>
      <c r="D602" s="1313" t="n"/>
      <c r="E602" s="1313" t="n"/>
    </row>
    <row r="603" ht="15.75" customHeight="1">
      <c r="C603" s="1313" t="n"/>
      <c r="D603" s="1313" t="n"/>
      <c r="E603" s="1313" t="n"/>
    </row>
    <row r="604" ht="15.75" customHeight="1">
      <c r="C604" s="1313" t="n"/>
      <c r="D604" s="1313" t="n"/>
      <c r="E604" s="1313" t="n"/>
    </row>
    <row r="605" ht="15.75" customHeight="1">
      <c r="C605" s="1313" t="n"/>
      <c r="D605" s="1313" t="n"/>
      <c r="E605" s="1313" t="n"/>
    </row>
    <row r="606" ht="15.75" customHeight="1">
      <c r="C606" s="1313" t="n"/>
      <c r="D606" s="1313" t="n"/>
      <c r="E606" s="1313" t="n"/>
    </row>
    <row r="607" ht="15.75" customHeight="1">
      <c r="C607" s="1313" t="n"/>
      <c r="D607" s="1313" t="n"/>
      <c r="E607" s="1313" t="n"/>
    </row>
    <row r="608" ht="15.75" customHeight="1">
      <c r="C608" s="1313" t="n"/>
      <c r="D608" s="1313" t="n"/>
      <c r="E608" s="1313" t="n"/>
    </row>
    <row r="609" ht="15.75" customHeight="1">
      <c r="C609" s="1313" t="n"/>
      <c r="D609" s="1313" t="n"/>
      <c r="E609" s="1313" t="n"/>
    </row>
    <row r="610" ht="15.75" customHeight="1">
      <c r="C610" s="1313" t="n"/>
      <c r="D610" s="1313" t="n"/>
      <c r="E610" s="1313" t="n"/>
    </row>
    <row r="611" ht="15.75" customHeight="1">
      <c r="C611" s="1313" t="n"/>
      <c r="D611" s="1313" t="n"/>
      <c r="E611" s="1313" t="n"/>
    </row>
    <row r="612" ht="15.75" customHeight="1">
      <c r="C612" s="1313" t="n"/>
      <c r="D612" s="1313" t="n"/>
      <c r="E612" s="1313" t="n"/>
    </row>
    <row r="613" ht="15.75" customHeight="1">
      <c r="C613" s="1313" t="n"/>
      <c r="D613" s="1313" t="n"/>
      <c r="E613" s="1313" t="n"/>
    </row>
    <row r="614" ht="15.75" customHeight="1">
      <c r="C614" s="1313" t="n"/>
      <c r="D614" s="1313" t="n"/>
      <c r="E614" s="1313" t="n"/>
    </row>
    <row r="615" ht="15.75" customHeight="1">
      <c r="C615" s="1313" t="n"/>
      <c r="D615" s="1313" t="n"/>
      <c r="E615" s="1313" t="n"/>
    </row>
    <row r="616" ht="15.75" customHeight="1">
      <c r="C616" s="1313" t="n"/>
      <c r="D616" s="1313" t="n"/>
      <c r="E616" s="1313" t="n"/>
    </row>
    <row r="617" ht="15.75" customHeight="1">
      <c r="C617" s="1313" t="n"/>
      <c r="D617" s="1313" t="n"/>
      <c r="E617" s="1313" t="n"/>
    </row>
    <row r="618" ht="15.75" customHeight="1">
      <c r="C618" s="1313" t="n"/>
      <c r="D618" s="1313" t="n"/>
      <c r="E618" s="1313" t="n"/>
    </row>
    <row r="619" ht="15.75" customHeight="1">
      <c r="C619" s="1313" t="n"/>
      <c r="D619" s="1313" t="n"/>
      <c r="E619" s="1313" t="n"/>
    </row>
    <row r="620" ht="15.75" customHeight="1">
      <c r="C620" s="1313" t="n"/>
      <c r="D620" s="1313" t="n"/>
      <c r="E620" s="1313" t="n"/>
    </row>
    <row r="621" ht="15.75" customHeight="1">
      <c r="C621" s="1313" t="n"/>
      <c r="D621" s="1313" t="n"/>
      <c r="E621" s="1313" t="n"/>
    </row>
    <row r="622" ht="15.75" customHeight="1">
      <c r="C622" s="1313" t="n"/>
      <c r="D622" s="1313" t="n"/>
      <c r="E622" s="1313" t="n"/>
    </row>
    <row r="623" ht="15.75" customHeight="1">
      <c r="C623" s="1313" t="n"/>
      <c r="D623" s="1313" t="n"/>
      <c r="E623" s="1313" t="n"/>
    </row>
    <row r="624" ht="15.75" customHeight="1">
      <c r="C624" s="1313" t="n"/>
      <c r="D624" s="1313" t="n"/>
      <c r="E624" s="1313" t="n"/>
    </row>
    <row r="625" ht="15.75" customHeight="1">
      <c r="C625" s="1313" t="n"/>
      <c r="D625" s="1313" t="n"/>
      <c r="E625" s="1313" t="n"/>
    </row>
    <row r="626" ht="15.75" customHeight="1">
      <c r="C626" s="1313" t="n"/>
      <c r="D626" s="1313" t="n"/>
      <c r="E626" s="1313" t="n"/>
    </row>
    <row r="627" ht="15.75" customHeight="1">
      <c r="C627" s="1313" t="n"/>
      <c r="D627" s="1313" t="n"/>
      <c r="E627" s="1313" t="n"/>
    </row>
    <row r="628" ht="15.75" customHeight="1">
      <c r="C628" s="1313" t="n"/>
      <c r="D628" s="1313" t="n"/>
      <c r="E628" s="1313" t="n"/>
    </row>
    <row r="629" ht="15.75" customHeight="1">
      <c r="C629" s="1313" t="n"/>
      <c r="D629" s="1313" t="n"/>
      <c r="E629" s="1313" t="n"/>
    </row>
    <row r="630" ht="15.75" customHeight="1">
      <c r="C630" s="1313" t="n"/>
      <c r="D630" s="1313" t="n"/>
      <c r="E630" s="1313" t="n"/>
    </row>
    <row r="631" ht="15.75" customHeight="1">
      <c r="C631" s="1313" t="n"/>
      <c r="D631" s="1313" t="n"/>
      <c r="E631" s="1313" t="n"/>
    </row>
    <row r="632" ht="15.75" customHeight="1">
      <c r="C632" s="1313" t="n"/>
      <c r="D632" s="1313" t="n"/>
      <c r="E632" s="1313" t="n"/>
    </row>
    <row r="633" ht="15.75" customHeight="1">
      <c r="C633" s="1313" t="n"/>
      <c r="D633" s="1313" t="n"/>
      <c r="E633" s="1313" t="n"/>
    </row>
    <row r="634" ht="15.75" customHeight="1">
      <c r="C634" s="1313" t="n"/>
      <c r="D634" s="1313" t="n"/>
      <c r="E634" s="1313" t="n"/>
    </row>
    <row r="635" ht="15.75" customHeight="1">
      <c r="C635" s="1313" t="n"/>
      <c r="D635" s="1313" t="n"/>
      <c r="E635" s="1313" t="n"/>
    </row>
    <row r="636" ht="15.75" customHeight="1">
      <c r="C636" s="1313" t="n"/>
      <c r="D636" s="1313" t="n"/>
      <c r="E636" s="1313" t="n"/>
    </row>
    <row r="637" ht="15.75" customHeight="1">
      <c r="C637" s="1313" t="n"/>
      <c r="D637" s="1313" t="n"/>
      <c r="E637" s="1313" t="n"/>
    </row>
    <row r="638" ht="15.75" customHeight="1">
      <c r="C638" s="1313" t="n"/>
      <c r="D638" s="1313" t="n"/>
      <c r="E638" s="1313" t="n"/>
    </row>
    <row r="639" ht="15.75" customHeight="1">
      <c r="C639" s="1313" t="n"/>
      <c r="D639" s="1313" t="n"/>
      <c r="E639" s="1313" t="n"/>
    </row>
    <row r="640" ht="15.75" customHeight="1">
      <c r="C640" s="1313" t="n"/>
      <c r="D640" s="1313" t="n"/>
      <c r="E640" s="1313" t="n"/>
    </row>
    <row r="641" ht="15.75" customHeight="1">
      <c r="C641" s="1313" t="n"/>
      <c r="D641" s="1313" t="n"/>
      <c r="E641" s="1313" t="n"/>
    </row>
    <row r="642" ht="15.75" customHeight="1">
      <c r="C642" s="1313" t="n"/>
      <c r="D642" s="1313" t="n"/>
      <c r="E642" s="1313" t="n"/>
    </row>
    <row r="643" ht="15.75" customHeight="1">
      <c r="C643" s="1313" t="n"/>
      <c r="D643" s="1313" t="n"/>
      <c r="E643" s="1313" t="n"/>
    </row>
    <row r="644" ht="15.75" customHeight="1">
      <c r="C644" s="1313" t="n"/>
      <c r="D644" s="1313" t="n"/>
      <c r="E644" s="1313" t="n"/>
    </row>
    <row r="645" ht="15.75" customHeight="1">
      <c r="C645" s="1313" t="n"/>
      <c r="D645" s="1313" t="n"/>
      <c r="E645" s="1313" t="n"/>
    </row>
    <row r="646" ht="15.75" customHeight="1">
      <c r="C646" s="1313" t="n"/>
      <c r="D646" s="1313" t="n"/>
      <c r="E646" s="1313" t="n"/>
    </row>
    <row r="647" ht="15.75" customHeight="1">
      <c r="C647" s="1313" t="n"/>
      <c r="D647" s="1313" t="n"/>
      <c r="E647" s="1313" t="n"/>
    </row>
    <row r="648" ht="15.75" customHeight="1">
      <c r="C648" s="1313" t="n"/>
      <c r="D648" s="1313" t="n"/>
      <c r="E648" s="1313" t="n"/>
    </row>
    <row r="649" ht="15.75" customHeight="1">
      <c r="C649" s="1313" t="n"/>
      <c r="D649" s="1313" t="n"/>
      <c r="E649" s="1313" t="n"/>
    </row>
    <row r="650" ht="15.75" customHeight="1">
      <c r="C650" s="1313" t="n"/>
      <c r="D650" s="1313" t="n"/>
      <c r="E650" s="1313" t="n"/>
    </row>
    <row r="651" ht="15.75" customHeight="1">
      <c r="C651" s="1313" t="n"/>
      <c r="D651" s="1313" t="n"/>
      <c r="E651" s="1313" t="n"/>
    </row>
    <row r="652" ht="15.75" customHeight="1">
      <c r="C652" s="1313" t="n"/>
      <c r="D652" s="1313" t="n"/>
      <c r="E652" s="1313" t="n"/>
    </row>
    <row r="653" ht="15.75" customHeight="1">
      <c r="C653" s="1313" t="n"/>
      <c r="D653" s="1313" t="n"/>
      <c r="E653" s="1313" t="n"/>
    </row>
    <row r="654" ht="15.75" customHeight="1">
      <c r="C654" s="1313" t="n"/>
      <c r="D654" s="1313" t="n"/>
      <c r="E654" s="1313" t="n"/>
    </row>
    <row r="655" ht="15.75" customHeight="1">
      <c r="C655" s="1313" t="n"/>
      <c r="D655" s="1313" t="n"/>
      <c r="E655" s="1313" t="n"/>
    </row>
    <row r="656" ht="15.75" customHeight="1">
      <c r="C656" s="1313" t="n"/>
      <c r="D656" s="1313" t="n"/>
      <c r="E656" s="1313" t="n"/>
    </row>
    <row r="657" ht="15.75" customHeight="1">
      <c r="C657" s="1313" t="n"/>
      <c r="D657" s="1313" t="n"/>
      <c r="E657" s="1313" t="n"/>
    </row>
    <row r="658" ht="15.75" customHeight="1">
      <c r="C658" s="1313" t="n"/>
      <c r="D658" s="1313" t="n"/>
      <c r="E658" s="1313" t="n"/>
    </row>
    <row r="659" ht="15.75" customHeight="1">
      <c r="C659" s="1313" t="n"/>
      <c r="D659" s="1313" t="n"/>
      <c r="E659" s="1313" t="n"/>
    </row>
    <row r="660" ht="15.75" customHeight="1">
      <c r="C660" s="1313" t="n"/>
      <c r="D660" s="1313" t="n"/>
      <c r="E660" s="1313" t="n"/>
    </row>
    <row r="661" ht="15.75" customHeight="1">
      <c r="C661" s="1313" t="n"/>
      <c r="D661" s="1313" t="n"/>
      <c r="E661" s="1313" t="n"/>
    </row>
    <row r="662" ht="15.75" customHeight="1">
      <c r="C662" s="1313" t="n"/>
      <c r="D662" s="1313" t="n"/>
      <c r="E662" s="1313" t="n"/>
    </row>
    <row r="663" ht="15.75" customHeight="1">
      <c r="C663" s="1313" t="n"/>
      <c r="D663" s="1313" t="n"/>
      <c r="E663" s="1313" t="n"/>
    </row>
    <row r="664" ht="15.75" customHeight="1">
      <c r="C664" s="1313" t="n"/>
      <c r="D664" s="1313" t="n"/>
      <c r="E664" s="1313" t="n"/>
    </row>
    <row r="665" ht="15.75" customHeight="1">
      <c r="C665" s="1313" t="n"/>
      <c r="D665" s="1313" t="n"/>
      <c r="E665" s="1313" t="n"/>
    </row>
    <row r="666" ht="15.75" customHeight="1">
      <c r="C666" s="1313" t="n"/>
      <c r="D666" s="1313" t="n"/>
      <c r="E666" s="1313" t="n"/>
    </row>
    <row r="667" ht="15.75" customHeight="1">
      <c r="C667" s="1313" t="n"/>
      <c r="D667" s="1313" t="n"/>
      <c r="E667" s="1313" t="n"/>
    </row>
    <row r="668" ht="15.75" customHeight="1">
      <c r="C668" s="1313" t="n"/>
      <c r="D668" s="1313" t="n"/>
      <c r="E668" s="1313" t="n"/>
    </row>
    <row r="669" ht="15.75" customHeight="1">
      <c r="C669" s="1313" t="n"/>
      <c r="D669" s="1313" t="n"/>
      <c r="E669" s="1313" t="n"/>
    </row>
    <row r="670" ht="15.75" customHeight="1">
      <c r="C670" s="1313" t="n"/>
      <c r="D670" s="1313" t="n"/>
      <c r="E670" s="1313" t="n"/>
    </row>
    <row r="671" ht="15.75" customHeight="1">
      <c r="C671" s="1313" t="n"/>
      <c r="D671" s="1313" t="n"/>
      <c r="E671" s="1313" t="n"/>
    </row>
    <row r="672" ht="15.75" customHeight="1">
      <c r="C672" s="1313" t="n"/>
      <c r="D672" s="1313" t="n"/>
      <c r="E672" s="1313" t="n"/>
    </row>
    <row r="673" ht="15.75" customHeight="1">
      <c r="C673" s="1313" t="n"/>
      <c r="D673" s="1313" t="n"/>
      <c r="E673" s="1313" t="n"/>
    </row>
    <row r="674" ht="15.75" customHeight="1">
      <c r="C674" s="1313" t="n"/>
      <c r="D674" s="1313" t="n"/>
      <c r="E674" s="1313" t="n"/>
    </row>
    <row r="675" ht="15.75" customHeight="1">
      <c r="C675" s="1313" t="n"/>
      <c r="D675" s="1313" t="n"/>
      <c r="E675" s="1313" t="n"/>
    </row>
    <row r="676" ht="15.75" customHeight="1">
      <c r="C676" s="1313" t="n"/>
      <c r="D676" s="1313" t="n"/>
      <c r="E676" s="1313" t="n"/>
    </row>
    <row r="677" ht="15.75" customHeight="1">
      <c r="C677" s="1313" t="n"/>
      <c r="D677" s="1313" t="n"/>
      <c r="E677" s="1313" t="n"/>
    </row>
    <row r="678" ht="15.75" customHeight="1">
      <c r="C678" s="1313" t="n"/>
      <c r="D678" s="1313" t="n"/>
      <c r="E678" s="1313" t="n"/>
    </row>
    <row r="679" ht="15.75" customHeight="1">
      <c r="C679" s="1313" t="n"/>
      <c r="D679" s="1313" t="n"/>
      <c r="E679" s="1313" t="n"/>
    </row>
    <row r="680" ht="15.75" customHeight="1">
      <c r="C680" s="1313" t="n"/>
      <c r="D680" s="1313" t="n"/>
      <c r="E680" s="1313" t="n"/>
    </row>
    <row r="681" ht="15.75" customHeight="1">
      <c r="C681" s="1313" t="n"/>
      <c r="D681" s="1313" t="n"/>
      <c r="E681" s="1313" t="n"/>
    </row>
    <row r="682" ht="15.75" customHeight="1">
      <c r="C682" s="1313" t="n"/>
      <c r="D682" s="1313" t="n"/>
      <c r="E682" s="1313" t="n"/>
    </row>
    <row r="683" ht="15.75" customHeight="1">
      <c r="C683" s="1313" t="n"/>
      <c r="D683" s="1313" t="n"/>
      <c r="E683" s="1313" t="n"/>
    </row>
    <row r="684" ht="15.75" customHeight="1">
      <c r="C684" s="1313" t="n"/>
      <c r="D684" s="1313" t="n"/>
      <c r="E684" s="1313" t="n"/>
    </row>
    <row r="685" ht="15.75" customHeight="1">
      <c r="C685" s="1313" t="n"/>
      <c r="D685" s="1313" t="n"/>
      <c r="E685" s="1313" t="n"/>
    </row>
    <row r="686" ht="15.75" customHeight="1">
      <c r="C686" s="1313" t="n"/>
      <c r="D686" s="1313" t="n"/>
      <c r="E686" s="1313" t="n"/>
    </row>
    <row r="687" ht="15.75" customHeight="1">
      <c r="C687" s="1313" t="n"/>
      <c r="D687" s="1313" t="n"/>
      <c r="E687" s="1313" t="n"/>
    </row>
    <row r="688" ht="15.75" customHeight="1">
      <c r="C688" s="1313" t="n"/>
      <c r="D688" s="1313" t="n"/>
      <c r="E688" s="1313" t="n"/>
    </row>
    <row r="689" ht="15.75" customHeight="1">
      <c r="C689" s="1313" t="n"/>
      <c r="D689" s="1313" t="n"/>
      <c r="E689" s="1313" t="n"/>
    </row>
    <row r="690" ht="15.75" customHeight="1">
      <c r="C690" s="1313" t="n"/>
      <c r="D690" s="1313" t="n"/>
      <c r="E690" s="1313" t="n"/>
    </row>
    <row r="691" ht="15.75" customHeight="1">
      <c r="C691" s="1313" t="n"/>
      <c r="D691" s="1313" t="n"/>
      <c r="E691" s="1313" t="n"/>
    </row>
    <row r="692" ht="15.75" customHeight="1">
      <c r="C692" s="1313" t="n"/>
      <c r="D692" s="1313" t="n"/>
      <c r="E692" s="1313" t="n"/>
    </row>
    <row r="693" ht="15.75" customHeight="1">
      <c r="C693" s="1313" t="n"/>
      <c r="D693" s="1313" t="n"/>
      <c r="E693" s="1313" t="n"/>
    </row>
    <row r="694" ht="15.75" customHeight="1">
      <c r="C694" s="1313" t="n"/>
      <c r="D694" s="1313" t="n"/>
      <c r="E694" s="1313" t="n"/>
    </row>
    <row r="695" ht="15.75" customHeight="1">
      <c r="C695" s="1313" t="n"/>
      <c r="D695" s="1313" t="n"/>
      <c r="E695" s="1313" t="n"/>
    </row>
    <row r="696" ht="15.75" customHeight="1">
      <c r="C696" s="1313" t="n"/>
      <c r="D696" s="1313" t="n"/>
      <c r="E696" s="1313" t="n"/>
    </row>
    <row r="697" ht="15.75" customHeight="1">
      <c r="C697" s="1313" t="n"/>
      <c r="D697" s="1313" t="n"/>
      <c r="E697" s="1313" t="n"/>
    </row>
    <row r="698" ht="15.75" customHeight="1">
      <c r="C698" s="1313" t="n"/>
      <c r="D698" s="1313" t="n"/>
      <c r="E698" s="1313" t="n"/>
    </row>
    <row r="699" ht="15.75" customHeight="1">
      <c r="C699" s="1313" t="n"/>
      <c r="D699" s="1313" t="n"/>
      <c r="E699" s="1313" t="n"/>
    </row>
    <row r="700" ht="15.75" customHeight="1">
      <c r="C700" s="1313" t="n"/>
      <c r="D700" s="1313" t="n"/>
      <c r="E700" s="1313" t="n"/>
    </row>
    <row r="701" ht="15.75" customHeight="1">
      <c r="C701" s="1313" t="n"/>
      <c r="D701" s="1313" t="n"/>
      <c r="E701" s="1313" t="n"/>
    </row>
    <row r="702" ht="15.75" customHeight="1">
      <c r="C702" s="1313" t="n"/>
      <c r="D702" s="1313" t="n"/>
      <c r="E702" s="1313" t="n"/>
    </row>
    <row r="703" ht="15.75" customHeight="1">
      <c r="C703" s="1313" t="n"/>
      <c r="D703" s="1313" t="n"/>
      <c r="E703" s="1313" t="n"/>
    </row>
    <row r="704" ht="15.75" customHeight="1">
      <c r="C704" s="1313" t="n"/>
      <c r="D704" s="1313" t="n"/>
      <c r="E704" s="1313" t="n"/>
    </row>
    <row r="705" ht="15.75" customHeight="1">
      <c r="C705" s="1313" t="n"/>
      <c r="D705" s="1313" t="n"/>
      <c r="E705" s="1313" t="n"/>
    </row>
    <row r="706" ht="15.75" customHeight="1">
      <c r="C706" s="1313" t="n"/>
      <c r="D706" s="1313" t="n"/>
      <c r="E706" s="1313" t="n"/>
    </row>
    <row r="707" ht="15.75" customHeight="1">
      <c r="C707" s="1313" t="n"/>
      <c r="D707" s="1313" t="n"/>
      <c r="E707" s="1313" t="n"/>
    </row>
    <row r="708" ht="15.75" customHeight="1">
      <c r="C708" s="1313" t="n"/>
      <c r="D708" s="1313" t="n"/>
      <c r="E708" s="1313" t="n"/>
    </row>
    <row r="709" ht="15.75" customHeight="1">
      <c r="C709" s="1313" t="n"/>
      <c r="D709" s="1313" t="n"/>
      <c r="E709" s="1313" t="n"/>
    </row>
    <row r="710" ht="15.75" customHeight="1">
      <c r="C710" s="1313" t="n"/>
      <c r="D710" s="1313" t="n"/>
      <c r="E710" s="1313" t="n"/>
    </row>
    <row r="711" ht="15.75" customHeight="1">
      <c r="C711" s="1313" t="n"/>
      <c r="D711" s="1313" t="n"/>
      <c r="E711" s="1313" t="n"/>
    </row>
    <row r="712" ht="15.75" customHeight="1">
      <c r="C712" s="1313" t="n"/>
      <c r="D712" s="1313" t="n"/>
      <c r="E712" s="1313" t="n"/>
    </row>
    <row r="713" ht="15.75" customHeight="1">
      <c r="C713" s="1313" t="n"/>
      <c r="D713" s="1313" t="n"/>
      <c r="E713" s="1313" t="n"/>
    </row>
    <row r="714" ht="15.75" customHeight="1">
      <c r="C714" s="1313" t="n"/>
      <c r="D714" s="1313" t="n"/>
      <c r="E714" s="1313" t="n"/>
    </row>
    <row r="715" ht="15.75" customHeight="1">
      <c r="C715" s="1313" t="n"/>
      <c r="D715" s="1313" t="n"/>
      <c r="E715" s="1313" t="n"/>
    </row>
    <row r="716" ht="15.75" customHeight="1">
      <c r="C716" s="1313" t="n"/>
      <c r="D716" s="1313" t="n"/>
      <c r="E716" s="1313" t="n"/>
    </row>
    <row r="717" ht="15.75" customHeight="1">
      <c r="C717" s="1313" t="n"/>
      <c r="D717" s="1313" t="n"/>
      <c r="E717" s="1313" t="n"/>
    </row>
    <row r="718" ht="15.75" customHeight="1">
      <c r="C718" s="1313" t="n"/>
      <c r="D718" s="1313" t="n"/>
      <c r="E718" s="1313" t="n"/>
    </row>
    <row r="719" ht="15.75" customHeight="1">
      <c r="C719" s="1313" t="n"/>
      <c r="D719" s="1313" t="n"/>
      <c r="E719" s="1313" t="n"/>
    </row>
    <row r="720" ht="15.75" customHeight="1">
      <c r="C720" s="1313" t="n"/>
      <c r="D720" s="1313" t="n"/>
      <c r="E720" s="1313" t="n"/>
    </row>
    <row r="721" ht="15.75" customHeight="1">
      <c r="C721" s="1313" t="n"/>
      <c r="D721" s="1313" t="n"/>
      <c r="E721" s="1313" t="n"/>
    </row>
    <row r="722" ht="15.75" customHeight="1">
      <c r="C722" s="1313" t="n"/>
      <c r="D722" s="1313" t="n"/>
      <c r="E722" s="1313" t="n"/>
    </row>
    <row r="723" ht="15.75" customHeight="1">
      <c r="C723" s="1313" t="n"/>
      <c r="D723" s="1313" t="n"/>
      <c r="E723" s="1313" t="n"/>
    </row>
    <row r="724" ht="15.75" customHeight="1">
      <c r="C724" s="1313" t="n"/>
      <c r="D724" s="1313" t="n"/>
      <c r="E724" s="1313" t="n"/>
    </row>
    <row r="725" ht="15.75" customHeight="1">
      <c r="C725" s="1313" t="n"/>
      <c r="D725" s="1313" t="n"/>
      <c r="E725" s="1313" t="n"/>
    </row>
    <row r="726" ht="15.75" customHeight="1">
      <c r="C726" s="1313" t="n"/>
      <c r="D726" s="1313" t="n"/>
      <c r="E726" s="1313" t="n"/>
    </row>
    <row r="727" ht="15.75" customHeight="1">
      <c r="C727" s="1313" t="n"/>
      <c r="D727" s="1313" t="n"/>
      <c r="E727" s="1313" t="n"/>
    </row>
    <row r="728" ht="15.75" customHeight="1">
      <c r="C728" s="1313" t="n"/>
      <c r="D728" s="1313" t="n"/>
      <c r="E728" s="1313" t="n"/>
    </row>
    <row r="729" ht="15.75" customHeight="1">
      <c r="C729" s="1313" t="n"/>
      <c r="D729" s="1313" t="n"/>
      <c r="E729" s="1313" t="n"/>
    </row>
    <row r="730" ht="15.75" customHeight="1">
      <c r="C730" s="1313" t="n"/>
      <c r="D730" s="1313" t="n"/>
      <c r="E730" s="1313" t="n"/>
    </row>
    <row r="731" ht="15.75" customHeight="1">
      <c r="C731" s="1313" t="n"/>
      <c r="D731" s="1313" t="n"/>
      <c r="E731" s="1313" t="n"/>
    </row>
    <row r="732" ht="15.75" customHeight="1">
      <c r="C732" s="1313" t="n"/>
      <c r="D732" s="1313" t="n"/>
      <c r="E732" s="1313" t="n"/>
    </row>
    <row r="733" ht="15.75" customHeight="1">
      <c r="C733" s="1313" t="n"/>
      <c r="D733" s="1313" t="n"/>
      <c r="E733" s="1313" t="n"/>
    </row>
    <row r="734" ht="15.75" customHeight="1">
      <c r="C734" s="1313" t="n"/>
      <c r="D734" s="1313" t="n"/>
      <c r="E734" s="1313" t="n"/>
    </row>
    <row r="735" ht="15.75" customHeight="1">
      <c r="C735" s="1313" t="n"/>
      <c r="D735" s="1313" t="n"/>
      <c r="E735" s="1313" t="n"/>
    </row>
    <row r="736" ht="15.75" customHeight="1">
      <c r="C736" s="1313" t="n"/>
      <c r="D736" s="1313" t="n"/>
      <c r="E736" s="1313" t="n"/>
    </row>
    <row r="737" ht="15.75" customHeight="1">
      <c r="C737" s="1313" t="n"/>
      <c r="D737" s="1313" t="n"/>
      <c r="E737" s="1313" t="n"/>
    </row>
    <row r="738" ht="15.75" customHeight="1">
      <c r="C738" s="1313" t="n"/>
      <c r="D738" s="1313" t="n"/>
      <c r="E738" s="1313" t="n"/>
    </row>
    <row r="739" ht="15.75" customHeight="1">
      <c r="C739" s="1313" t="n"/>
      <c r="D739" s="1313" t="n"/>
      <c r="E739" s="1313" t="n"/>
    </row>
    <row r="740" ht="15.75" customHeight="1">
      <c r="C740" s="1313" t="n"/>
      <c r="D740" s="1313" t="n"/>
      <c r="E740" s="1313" t="n"/>
    </row>
    <row r="741" ht="15.75" customHeight="1">
      <c r="C741" s="1313" t="n"/>
      <c r="D741" s="1313" t="n"/>
      <c r="E741" s="1313" t="n"/>
    </row>
    <row r="742" ht="15.75" customHeight="1">
      <c r="C742" s="1313" t="n"/>
      <c r="D742" s="1313" t="n"/>
      <c r="E742" s="1313" t="n"/>
    </row>
    <row r="743" ht="15.75" customHeight="1">
      <c r="C743" s="1313" t="n"/>
      <c r="D743" s="1313" t="n"/>
      <c r="E743" s="1313" t="n"/>
    </row>
    <row r="744" ht="15.75" customHeight="1">
      <c r="C744" s="1313" t="n"/>
      <c r="D744" s="1313" t="n"/>
      <c r="E744" s="1313" t="n"/>
    </row>
    <row r="745" ht="15.75" customHeight="1">
      <c r="C745" s="1313" t="n"/>
      <c r="D745" s="1313" t="n"/>
      <c r="E745" s="1313" t="n"/>
    </row>
    <row r="746" ht="15.75" customHeight="1">
      <c r="C746" s="1313" t="n"/>
      <c r="D746" s="1313" t="n"/>
      <c r="E746" s="1313" t="n"/>
    </row>
    <row r="747" ht="15.75" customHeight="1">
      <c r="C747" s="1313" t="n"/>
      <c r="D747" s="1313" t="n"/>
      <c r="E747" s="1313" t="n"/>
    </row>
    <row r="748" ht="15.75" customHeight="1">
      <c r="C748" s="1313" t="n"/>
      <c r="D748" s="1313" t="n"/>
      <c r="E748" s="1313" t="n"/>
    </row>
    <row r="749" ht="15.75" customHeight="1">
      <c r="C749" s="1313" t="n"/>
      <c r="D749" s="1313" t="n"/>
      <c r="E749" s="1313" t="n"/>
    </row>
    <row r="750" ht="15.75" customHeight="1">
      <c r="C750" s="1313" t="n"/>
      <c r="D750" s="1313" t="n"/>
      <c r="E750" s="1313" t="n"/>
    </row>
    <row r="751" ht="15.75" customHeight="1">
      <c r="C751" s="1313" t="n"/>
      <c r="D751" s="1313" t="n"/>
      <c r="E751" s="1313" t="n"/>
    </row>
    <row r="752" ht="15.75" customHeight="1">
      <c r="C752" s="1313" t="n"/>
      <c r="D752" s="1313" t="n"/>
      <c r="E752" s="1313" t="n"/>
    </row>
    <row r="753" ht="15.75" customHeight="1">
      <c r="C753" s="1313" t="n"/>
      <c r="D753" s="1313" t="n"/>
      <c r="E753" s="1313" t="n"/>
    </row>
    <row r="754" ht="15.75" customHeight="1">
      <c r="C754" s="1313" t="n"/>
      <c r="D754" s="1313" t="n"/>
      <c r="E754" s="1313" t="n"/>
    </row>
    <row r="755" ht="15.75" customHeight="1">
      <c r="C755" s="1313" t="n"/>
      <c r="D755" s="1313" t="n"/>
      <c r="E755" s="1313" t="n"/>
    </row>
    <row r="756" ht="15.75" customHeight="1">
      <c r="C756" s="1313" t="n"/>
      <c r="D756" s="1313" t="n"/>
      <c r="E756" s="1313" t="n"/>
    </row>
    <row r="757" ht="15.75" customHeight="1">
      <c r="C757" s="1313" t="n"/>
      <c r="D757" s="1313" t="n"/>
      <c r="E757" s="1313" t="n"/>
    </row>
    <row r="758" ht="15.75" customHeight="1">
      <c r="C758" s="1313" t="n"/>
      <c r="D758" s="1313" t="n"/>
      <c r="E758" s="1313" t="n"/>
    </row>
    <row r="759" ht="15.75" customHeight="1">
      <c r="C759" s="1313" t="n"/>
      <c r="D759" s="1313" t="n"/>
      <c r="E759" s="1313" t="n"/>
    </row>
    <row r="760" ht="15.75" customHeight="1">
      <c r="C760" s="1313" t="n"/>
      <c r="D760" s="1313" t="n"/>
      <c r="E760" s="1313" t="n"/>
    </row>
    <row r="761" ht="15.75" customHeight="1">
      <c r="C761" s="1313" t="n"/>
      <c r="D761" s="1313" t="n"/>
      <c r="E761" s="1313" t="n"/>
    </row>
    <row r="762" ht="15.75" customHeight="1">
      <c r="C762" s="1313" t="n"/>
      <c r="D762" s="1313" t="n"/>
      <c r="E762" s="1313" t="n"/>
    </row>
    <row r="763" ht="15.75" customHeight="1">
      <c r="C763" s="1313" t="n"/>
      <c r="D763" s="1313" t="n"/>
      <c r="E763" s="1313" t="n"/>
    </row>
    <row r="764" ht="15.75" customHeight="1">
      <c r="C764" s="1313" t="n"/>
      <c r="D764" s="1313" t="n"/>
      <c r="E764" s="1313" t="n"/>
    </row>
    <row r="765" ht="15.75" customHeight="1">
      <c r="C765" s="1313" t="n"/>
      <c r="D765" s="1313" t="n"/>
      <c r="E765" s="1313" t="n"/>
    </row>
    <row r="766" ht="15.75" customHeight="1">
      <c r="C766" s="1313" t="n"/>
      <c r="D766" s="1313" t="n"/>
      <c r="E766" s="1313" t="n"/>
    </row>
    <row r="767" ht="15.75" customHeight="1">
      <c r="C767" s="1313" t="n"/>
      <c r="D767" s="1313" t="n"/>
      <c r="E767" s="1313" t="n"/>
    </row>
    <row r="768" ht="15.75" customHeight="1">
      <c r="C768" s="1313" t="n"/>
      <c r="D768" s="1313" t="n"/>
      <c r="E768" s="1313" t="n"/>
    </row>
    <row r="769" ht="15.75" customHeight="1">
      <c r="C769" s="1313" t="n"/>
      <c r="D769" s="1313" t="n"/>
      <c r="E769" s="1313" t="n"/>
    </row>
    <row r="770" ht="15.75" customHeight="1">
      <c r="C770" s="1313" t="n"/>
      <c r="D770" s="1313" t="n"/>
      <c r="E770" s="1313" t="n"/>
    </row>
    <row r="771" ht="15.75" customHeight="1">
      <c r="C771" s="1313" t="n"/>
      <c r="D771" s="1313" t="n"/>
      <c r="E771" s="1313" t="n"/>
    </row>
    <row r="772" ht="15.75" customHeight="1">
      <c r="C772" s="1313" t="n"/>
      <c r="D772" s="1313" t="n"/>
      <c r="E772" s="1313" t="n"/>
    </row>
    <row r="773" ht="15.75" customHeight="1">
      <c r="C773" s="1313" t="n"/>
      <c r="D773" s="1313" t="n"/>
      <c r="E773" s="1313" t="n"/>
    </row>
    <row r="774" ht="15.75" customHeight="1">
      <c r="C774" s="1313" t="n"/>
      <c r="D774" s="1313" t="n"/>
      <c r="E774" s="1313" t="n"/>
    </row>
    <row r="775" ht="15.75" customHeight="1">
      <c r="C775" s="1313" t="n"/>
      <c r="D775" s="1313" t="n"/>
      <c r="E775" s="1313" t="n"/>
    </row>
    <row r="776" ht="15.75" customHeight="1">
      <c r="C776" s="1313" t="n"/>
      <c r="D776" s="1313" t="n"/>
      <c r="E776" s="1313" t="n"/>
    </row>
    <row r="777" ht="15.75" customHeight="1">
      <c r="C777" s="1313" t="n"/>
      <c r="D777" s="1313" t="n"/>
      <c r="E777" s="1313" t="n"/>
    </row>
    <row r="778" ht="15.75" customHeight="1">
      <c r="C778" s="1313" t="n"/>
      <c r="D778" s="1313" t="n"/>
      <c r="E778" s="1313" t="n"/>
    </row>
    <row r="779" ht="15.75" customHeight="1">
      <c r="C779" s="1313" t="n"/>
      <c r="D779" s="1313" t="n"/>
      <c r="E779" s="1313" t="n"/>
    </row>
    <row r="780" ht="15.75" customHeight="1">
      <c r="C780" s="1313" t="n"/>
      <c r="D780" s="1313" t="n"/>
      <c r="E780" s="1313" t="n"/>
    </row>
    <row r="781" ht="15.75" customHeight="1">
      <c r="C781" s="1313" t="n"/>
      <c r="D781" s="1313" t="n"/>
      <c r="E781" s="1313" t="n"/>
    </row>
    <row r="782" ht="15.75" customHeight="1">
      <c r="C782" s="1313" t="n"/>
      <c r="D782" s="1313" t="n"/>
      <c r="E782" s="1313" t="n"/>
    </row>
    <row r="783" ht="15.75" customHeight="1">
      <c r="C783" s="1313" t="n"/>
      <c r="D783" s="1313" t="n"/>
      <c r="E783" s="1313" t="n"/>
    </row>
    <row r="784" ht="15.75" customHeight="1">
      <c r="C784" s="1313" t="n"/>
      <c r="D784" s="1313" t="n"/>
      <c r="E784" s="1313" t="n"/>
    </row>
    <row r="785" ht="15.75" customHeight="1">
      <c r="C785" s="1313" t="n"/>
      <c r="D785" s="1313" t="n"/>
      <c r="E785" s="1313" t="n"/>
    </row>
    <row r="786" ht="15.75" customHeight="1">
      <c r="C786" s="1313" t="n"/>
      <c r="D786" s="1313" t="n"/>
      <c r="E786" s="1313" t="n"/>
    </row>
    <row r="787" ht="15.75" customHeight="1">
      <c r="C787" s="1313" t="n"/>
      <c r="D787" s="1313" t="n"/>
      <c r="E787" s="1313" t="n"/>
    </row>
    <row r="788" ht="15.75" customHeight="1">
      <c r="C788" s="1313" t="n"/>
      <c r="D788" s="1313" t="n"/>
      <c r="E788" s="1313" t="n"/>
    </row>
    <row r="789" ht="15.75" customHeight="1">
      <c r="C789" s="1313" t="n"/>
      <c r="D789" s="1313" t="n"/>
      <c r="E789" s="1313" t="n"/>
    </row>
    <row r="790" ht="15.75" customHeight="1">
      <c r="C790" s="1313" t="n"/>
      <c r="D790" s="1313" t="n"/>
      <c r="E790" s="1313" t="n"/>
    </row>
    <row r="791" ht="15.75" customHeight="1">
      <c r="C791" s="1313" t="n"/>
      <c r="D791" s="1313" t="n"/>
      <c r="E791" s="1313" t="n"/>
    </row>
    <row r="792" ht="15.75" customHeight="1">
      <c r="C792" s="1313" t="n"/>
      <c r="D792" s="1313" t="n"/>
      <c r="E792" s="1313" t="n"/>
    </row>
    <row r="793" ht="15.75" customHeight="1">
      <c r="C793" s="1313" t="n"/>
      <c r="D793" s="1313" t="n"/>
      <c r="E793" s="1313" t="n"/>
    </row>
    <row r="794" ht="15.75" customHeight="1">
      <c r="C794" s="1313" t="n"/>
      <c r="D794" s="1313" t="n"/>
      <c r="E794" s="1313" t="n"/>
    </row>
    <row r="795" ht="15.75" customHeight="1">
      <c r="C795" s="1313" t="n"/>
      <c r="D795" s="1313" t="n"/>
      <c r="E795" s="1313" t="n"/>
    </row>
    <row r="796" ht="15.75" customHeight="1">
      <c r="C796" s="1313" t="n"/>
      <c r="D796" s="1313" t="n"/>
      <c r="E796" s="1313" t="n"/>
    </row>
    <row r="797" ht="15.75" customHeight="1">
      <c r="C797" s="1313" t="n"/>
      <c r="D797" s="1313" t="n"/>
      <c r="E797" s="1313" t="n"/>
    </row>
    <row r="798" ht="15.75" customHeight="1">
      <c r="C798" s="1313" t="n"/>
      <c r="D798" s="1313" t="n"/>
      <c r="E798" s="1313" t="n"/>
    </row>
    <row r="799" ht="15.75" customHeight="1">
      <c r="C799" s="1313" t="n"/>
      <c r="D799" s="1313" t="n"/>
      <c r="E799" s="1313" t="n"/>
    </row>
    <row r="800" ht="15.75" customHeight="1">
      <c r="C800" s="1313" t="n"/>
      <c r="D800" s="1313" t="n"/>
      <c r="E800" s="1313" t="n"/>
    </row>
    <row r="801" ht="15.75" customHeight="1">
      <c r="C801" s="1313" t="n"/>
      <c r="D801" s="1313" t="n"/>
      <c r="E801" s="1313" t="n"/>
    </row>
    <row r="802" ht="15.75" customHeight="1">
      <c r="C802" s="1313" t="n"/>
      <c r="D802" s="1313" t="n"/>
      <c r="E802" s="1313" t="n"/>
    </row>
    <row r="803" ht="15.75" customHeight="1">
      <c r="C803" s="1313" t="n"/>
      <c r="D803" s="1313" t="n"/>
      <c r="E803" s="1313" t="n"/>
    </row>
    <row r="804" ht="15.75" customHeight="1">
      <c r="C804" s="1313" t="n"/>
      <c r="D804" s="1313" t="n"/>
      <c r="E804" s="1313" t="n"/>
    </row>
    <row r="805" ht="15.75" customHeight="1">
      <c r="C805" s="1313" t="n"/>
      <c r="D805" s="1313" t="n"/>
      <c r="E805" s="1313" t="n"/>
    </row>
    <row r="806" ht="15.75" customHeight="1">
      <c r="C806" s="1313" t="n"/>
      <c r="D806" s="1313" t="n"/>
      <c r="E806" s="1313" t="n"/>
    </row>
    <row r="807" ht="15.75" customHeight="1">
      <c r="C807" s="1313" t="n"/>
      <c r="D807" s="1313" t="n"/>
      <c r="E807" s="1313" t="n"/>
    </row>
    <row r="808" ht="15.75" customHeight="1">
      <c r="C808" s="1313" t="n"/>
      <c r="D808" s="1313" t="n"/>
      <c r="E808" s="1313" t="n"/>
    </row>
    <row r="809" ht="15.75" customHeight="1">
      <c r="C809" s="1313" t="n"/>
      <c r="D809" s="1313" t="n"/>
      <c r="E809" s="1313" t="n"/>
    </row>
    <row r="810" ht="15.75" customHeight="1">
      <c r="C810" s="1313" t="n"/>
      <c r="D810" s="1313" t="n"/>
      <c r="E810" s="1313" t="n"/>
    </row>
    <row r="811" ht="15.75" customHeight="1">
      <c r="C811" s="1313" t="n"/>
      <c r="D811" s="1313" t="n"/>
      <c r="E811" s="1313" t="n"/>
    </row>
    <row r="812" ht="15.75" customHeight="1">
      <c r="C812" s="1313" t="n"/>
      <c r="D812" s="1313" t="n"/>
      <c r="E812" s="1313" t="n"/>
    </row>
    <row r="813" ht="15.75" customHeight="1">
      <c r="C813" s="1313" t="n"/>
      <c r="D813" s="1313" t="n"/>
      <c r="E813" s="1313" t="n"/>
    </row>
    <row r="814" ht="15.75" customHeight="1">
      <c r="C814" s="1313" t="n"/>
      <c r="D814" s="1313" t="n"/>
      <c r="E814" s="1313" t="n"/>
    </row>
    <row r="815" ht="15.75" customHeight="1">
      <c r="C815" s="1313" t="n"/>
      <c r="D815" s="1313" t="n"/>
      <c r="E815" s="1313" t="n"/>
    </row>
    <row r="816" ht="15.75" customHeight="1">
      <c r="C816" s="1313" t="n"/>
      <c r="D816" s="1313" t="n"/>
      <c r="E816" s="1313" t="n"/>
    </row>
    <row r="817" ht="15.75" customHeight="1">
      <c r="C817" s="1313" t="n"/>
      <c r="D817" s="1313" t="n"/>
      <c r="E817" s="1313" t="n"/>
    </row>
    <row r="818" ht="15.75" customHeight="1">
      <c r="C818" s="1313" t="n"/>
      <c r="D818" s="1313" t="n"/>
      <c r="E818" s="1313" t="n"/>
    </row>
    <row r="819" ht="15.75" customHeight="1">
      <c r="C819" s="1313" t="n"/>
      <c r="D819" s="1313" t="n"/>
      <c r="E819" s="1313" t="n"/>
    </row>
    <row r="820" ht="15.75" customHeight="1">
      <c r="C820" s="1313" t="n"/>
      <c r="D820" s="1313" t="n"/>
      <c r="E820" s="1313" t="n"/>
    </row>
    <row r="821" ht="15.75" customHeight="1">
      <c r="C821" s="1313" t="n"/>
      <c r="D821" s="1313" t="n"/>
      <c r="E821" s="1313" t="n"/>
    </row>
    <row r="822" ht="15.75" customHeight="1">
      <c r="C822" s="1313" t="n"/>
      <c r="D822" s="1313" t="n"/>
      <c r="E822" s="1313" t="n"/>
    </row>
    <row r="823" ht="15.75" customHeight="1">
      <c r="C823" s="1313" t="n"/>
      <c r="D823" s="1313" t="n"/>
      <c r="E823" s="1313" t="n"/>
    </row>
    <row r="824" ht="15.75" customHeight="1">
      <c r="C824" s="1313" t="n"/>
      <c r="D824" s="1313" t="n"/>
      <c r="E824" s="1313" t="n"/>
    </row>
    <row r="825" ht="15.75" customHeight="1">
      <c r="C825" s="1313" t="n"/>
      <c r="D825" s="1313" t="n"/>
      <c r="E825" s="1313" t="n"/>
    </row>
    <row r="826" ht="15.75" customHeight="1">
      <c r="C826" s="1313" t="n"/>
      <c r="D826" s="1313" t="n"/>
      <c r="E826" s="1313" t="n"/>
    </row>
    <row r="827" ht="15.75" customHeight="1">
      <c r="C827" s="1313" t="n"/>
      <c r="D827" s="1313" t="n"/>
      <c r="E827" s="1313" t="n"/>
    </row>
    <row r="828" ht="15.75" customHeight="1">
      <c r="C828" s="1313" t="n"/>
      <c r="D828" s="1313" t="n"/>
      <c r="E828" s="1313" t="n"/>
    </row>
    <row r="829" ht="15.75" customHeight="1">
      <c r="C829" s="1313" t="n"/>
      <c r="D829" s="1313" t="n"/>
      <c r="E829" s="1313" t="n"/>
    </row>
    <row r="830" ht="15.75" customHeight="1">
      <c r="C830" s="1313" t="n"/>
      <c r="D830" s="1313" t="n"/>
      <c r="E830" s="1313" t="n"/>
    </row>
    <row r="831" ht="15.75" customHeight="1">
      <c r="C831" s="1313" t="n"/>
      <c r="D831" s="1313" t="n"/>
      <c r="E831" s="1313" t="n"/>
    </row>
    <row r="832" ht="15.75" customHeight="1">
      <c r="C832" s="1313" t="n"/>
      <c r="D832" s="1313" t="n"/>
      <c r="E832" s="1313" t="n"/>
    </row>
    <row r="833" ht="15.75" customHeight="1">
      <c r="C833" s="1313" t="n"/>
      <c r="D833" s="1313" t="n"/>
      <c r="E833" s="1313" t="n"/>
    </row>
    <row r="834" ht="15.75" customHeight="1">
      <c r="C834" s="1313" t="n"/>
      <c r="D834" s="1313" t="n"/>
      <c r="E834" s="1313" t="n"/>
    </row>
    <row r="835" ht="15.75" customHeight="1">
      <c r="C835" s="1313" t="n"/>
      <c r="D835" s="1313" t="n"/>
      <c r="E835" s="1313" t="n"/>
    </row>
    <row r="836" ht="15.75" customHeight="1">
      <c r="C836" s="1313" t="n"/>
      <c r="D836" s="1313" t="n"/>
      <c r="E836" s="1313" t="n"/>
    </row>
    <row r="837" ht="15.75" customHeight="1">
      <c r="C837" s="1313" t="n"/>
      <c r="D837" s="1313" t="n"/>
      <c r="E837" s="1313" t="n"/>
    </row>
    <row r="838" ht="15.75" customHeight="1">
      <c r="C838" s="1313" t="n"/>
      <c r="D838" s="1313" t="n"/>
      <c r="E838" s="1313" t="n"/>
    </row>
    <row r="839" ht="15.75" customHeight="1">
      <c r="C839" s="1313" t="n"/>
      <c r="D839" s="1313" t="n"/>
      <c r="E839" s="1313" t="n"/>
    </row>
    <row r="840" ht="15.75" customHeight="1">
      <c r="C840" s="1313" t="n"/>
      <c r="D840" s="1313" t="n"/>
      <c r="E840" s="1313" t="n"/>
    </row>
    <row r="841" ht="15.75" customHeight="1">
      <c r="C841" s="1313" t="n"/>
      <c r="D841" s="1313" t="n"/>
      <c r="E841" s="1313" t="n"/>
    </row>
    <row r="842" ht="15.75" customHeight="1">
      <c r="C842" s="1313" t="n"/>
      <c r="D842" s="1313" t="n"/>
      <c r="E842" s="1313" t="n"/>
    </row>
    <row r="843" ht="15.75" customHeight="1">
      <c r="C843" s="1313" t="n"/>
      <c r="D843" s="1313" t="n"/>
      <c r="E843" s="1313" t="n"/>
    </row>
    <row r="844" ht="15.75" customHeight="1">
      <c r="C844" s="1313" t="n"/>
      <c r="D844" s="1313" t="n"/>
      <c r="E844" s="1313" t="n"/>
    </row>
    <row r="845" ht="15.75" customHeight="1">
      <c r="C845" s="1313" t="n"/>
      <c r="D845" s="1313" t="n"/>
      <c r="E845" s="1313" t="n"/>
    </row>
    <row r="846" ht="15.75" customHeight="1">
      <c r="C846" s="1313" t="n"/>
      <c r="D846" s="1313" t="n"/>
      <c r="E846" s="1313" t="n"/>
    </row>
    <row r="847" ht="15.75" customHeight="1">
      <c r="C847" s="1313" t="n"/>
      <c r="D847" s="1313" t="n"/>
      <c r="E847" s="1313" t="n"/>
    </row>
    <row r="848" ht="15.75" customHeight="1">
      <c r="C848" s="1313" t="n"/>
      <c r="D848" s="1313" t="n"/>
      <c r="E848" s="1313" t="n"/>
    </row>
    <row r="849" ht="15.75" customHeight="1">
      <c r="C849" s="1313" t="n"/>
      <c r="D849" s="1313" t="n"/>
      <c r="E849" s="1313" t="n"/>
    </row>
    <row r="850" ht="15.75" customHeight="1">
      <c r="C850" s="1313" t="n"/>
      <c r="D850" s="1313" t="n"/>
      <c r="E850" s="1313" t="n"/>
    </row>
    <row r="851" ht="15.75" customHeight="1">
      <c r="C851" s="1313" t="n"/>
      <c r="D851" s="1313" t="n"/>
      <c r="E851" s="1313" t="n"/>
    </row>
    <row r="852" ht="15.75" customHeight="1">
      <c r="C852" s="1313" t="n"/>
      <c r="D852" s="1313" t="n"/>
      <c r="E852" s="1313" t="n"/>
    </row>
    <row r="853" ht="15.75" customHeight="1">
      <c r="C853" s="1313" t="n"/>
      <c r="D853" s="1313" t="n"/>
      <c r="E853" s="1313" t="n"/>
    </row>
    <row r="854" ht="15.75" customHeight="1">
      <c r="C854" s="1313" t="n"/>
      <c r="D854" s="1313" t="n"/>
      <c r="E854" s="1313" t="n"/>
    </row>
    <row r="855" ht="15.75" customHeight="1">
      <c r="C855" s="1313" t="n"/>
      <c r="D855" s="1313" t="n"/>
      <c r="E855" s="1313" t="n"/>
    </row>
    <row r="856" ht="15.75" customHeight="1">
      <c r="C856" s="1313" t="n"/>
      <c r="D856" s="1313" t="n"/>
      <c r="E856" s="1313" t="n"/>
    </row>
    <row r="857" ht="15.75" customHeight="1">
      <c r="C857" s="1313" t="n"/>
      <c r="D857" s="1313" t="n"/>
      <c r="E857" s="1313" t="n"/>
    </row>
    <row r="858" ht="15.75" customHeight="1">
      <c r="C858" s="1313" t="n"/>
      <c r="D858" s="1313" t="n"/>
      <c r="E858" s="1313" t="n"/>
    </row>
    <row r="859" ht="15.75" customHeight="1">
      <c r="C859" s="1313" t="n"/>
      <c r="D859" s="1313" t="n"/>
      <c r="E859" s="1313" t="n"/>
    </row>
    <row r="860" ht="15.75" customHeight="1">
      <c r="C860" s="1313" t="n"/>
      <c r="D860" s="1313" t="n"/>
      <c r="E860" s="1313" t="n"/>
    </row>
    <row r="861" ht="15.75" customHeight="1">
      <c r="C861" s="1313" t="n"/>
      <c r="D861" s="1313" t="n"/>
      <c r="E861" s="1313" t="n"/>
    </row>
    <row r="862" ht="15.75" customHeight="1">
      <c r="C862" s="1313" t="n"/>
      <c r="D862" s="1313" t="n"/>
      <c r="E862" s="1313" t="n"/>
    </row>
    <row r="863" ht="15.75" customHeight="1">
      <c r="C863" s="1313" t="n"/>
      <c r="D863" s="1313" t="n"/>
      <c r="E863" s="1313" t="n"/>
    </row>
    <row r="864" ht="15.75" customHeight="1">
      <c r="C864" s="1313" t="n"/>
      <c r="D864" s="1313" t="n"/>
      <c r="E864" s="1313" t="n"/>
    </row>
    <row r="865" ht="15.75" customHeight="1">
      <c r="C865" s="1313" t="n"/>
      <c r="D865" s="1313" t="n"/>
      <c r="E865" s="1313" t="n"/>
    </row>
    <row r="866" ht="15.75" customHeight="1">
      <c r="C866" s="1313" t="n"/>
      <c r="D866" s="1313" t="n"/>
      <c r="E866" s="1313" t="n"/>
    </row>
    <row r="867" ht="15.75" customHeight="1">
      <c r="C867" s="1313" t="n"/>
      <c r="D867" s="1313" t="n"/>
      <c r="E867" s="1313" t="n"/>
    </row>
    <row r="868" ht="15.75" customHeight="1">
      <c r="C868" s="1313" t="n"/>
      <c r="D868" s="1313" t="n"/>
      <c r="E868" s="1313" t="n"/>
    </row>
    <row r="869" ht="15.75" customHeight="1">
      <c r="C869" s="1313" t="n"/>
      <c r="D869" s="1313" t="n"/>
      <c r="E869" s="1313" t="n"/>
    </row>
    <row r="870" ht="15.75" customHeight="1">
      <c r="C870" s="1313" t="n"/>
      <c r="D870" s="1313" t="n"/>
      <c r="E870" s="1313" t="n"/>
    </row>
    <row r="871" ht="15.75" customHeight="1">
      <c r="C871" s="1313" t="n"/>
      <c r="D871" s="1313" t="n"/>
      <c r="E871" s="1313" t="n"/>
    </row>
    <row r="872" ht="15.75" customHeight="1">
      <c r="C872" s="1313" t="n"/>
      <c r="D872" s="1313" t="n"/>
      <c r="E872" s="1313" t="n"/>
    </row>
    <row r="873" ht="15.75" customHeight="1">
      <c r="C873" s="1313" t="n"/>
      <c r="D873" s="1313" t="n"/>
      <c r="E873" s="1313" t="n"/>
    </row>
    <row r="874" ht="15.75" customHeight="1">
      <c r="C874" s="1313" t="n"/>
      <c r="D874" s="1313" t="n"/>
      <c r="E874" s="1313" t="n"/>
    </row>
    <row r="875" ht="15.75" customHeight="1">
      <c r="C875" s="1313" t="n"/>
      <c r="D875" s="1313" t="n"/>
      <c r="E875" s="1313" t="n"/>
    </row>
    <row r="876" ht="15.75" customHeight="1">
      <c r="C876" s="1313" t="n"/>
      <c r="D876" s="1313" t="n"/>
      <c r="E876" s="1313" t="n"/>
    </row>
    <row r="877" ht="15.75" customHeight="1">
      <c r="C877" s="1313" t="n"/>
      <c r="D877" s="1313" t="n"/>
      <c r="E877" s="1313" t="n"/>
    </row>
    <row r="878" ht="15.75" customHeight="1">
      <c r="C878" s="1313" t="n"/>
      <c r="D878" s="1313" t="n"/>
      <c r="E878" s="1313" t="n"/>
    </row>
    <row r="879" ht="15.75" customHeight="1">
      <c r="C879" s="1313" t="n"/>
      <c r="D879" s="1313" t="n"/>
      <c r="E879" s="1313" t="n"/>
    </row>
    <row r="880" ht="15.75" customHeight="1">
      <c r="C880" s="1313" t="n"/>
      <c r="D880" s="1313" t="n"/>
      <c r="E880" s="1313" t="n"/>
    </row>
    <row r="881" ht="15.75" customHeight="1">
      <c r="C881" s="1313" t="n"/>
      <c r="D881" s="1313" t="n"/>
      <c r="E881" s="1313" t="n"/>
    </row>
    <row r="882" ht="15.75" customHeight="1">
      <c r="C882" s="1313" t="n"/>
      <c r="D882" s="1313" t="n"/>
      <c r="E882" s="1313" t="n"/>
    </row>
    <row r="883" ht="15.75" customHeight="1">
      <c r="C883" s="1313" t="n"/>
      <c r="D883" s="1313" t="n"/>
      <c r="E883" s="1313" t="n"/>
    </row>
    <row r="884" ht="15.75" customHeight="1">
      <c r="C884" s="1313" t="n"/>
      <c r="D884" s="1313" t="n"/>
      <c r="E884" s="1313" t="n"/>
    </row>
    <row r="885" ht="15.75" customHeight="1">
      <c r="C885" s="1313" t="n"/>
      <c r="D885" s="1313" t="n"/>
      <c r="E885" s="1313" t="n"/>
    </row>
    <row r="886" ht="15.75" customHeight="1">
      <c r="C886" s="1313" t="n"/>
      <c r="D886" s="1313" t="n"/>
      <c r="E886" s="1313" t="n"/>
    </row>
    <row r="887" ht="15.75" customHeight="1">
      <c r="C887" s="1313" t="n"/>
      <c r="D887" s="1313" t="n"/>
      <c r="E887" s="1313" t="n"/>
    </row>
    <row r="888" ht="15.75" customHeight="1">
      <c r="C888" s="1313" t="n"/>
      <c r="D888" s="1313" t="n"/>
      <c r="E888" s="1313" t="n"/>
    </row>
    <row r="889" ht="15.75" customHeight="1">
      <c r="C889" s="1313" t="n"/>
      <c r="D889" s="1313" t="n"/>
      <c r="E889" s="1313" t="n"/>
    </row>
    <row r="890" ht="15.75" customHeight="1">
      <c r="C890" s="1313" t="n"/>
      <c r="D890" s="1313" t="n"/>
      <c r="E890" s="1313" t="n"/>
    </row>
    <row r="891" ht="15.75" customHeight="1">
      <c r="C891" s="1313" t="n"/>
      <c r="D891" s="1313" t="n"/>
      <c r="E891" s="1313" t="n"/>
    </row>
    <row r="892" ht="15.75" customHeight="1">
      <c r="C892" s="1313" t="n"/>
      <c r="D892" s="1313" t="n"/>
      <c r="E892" s="1313" t="n"/>
    </row>
    <row r="893" ht="15.75" customHeight="1">
      <c r="C893" s="1313" t="n"/>
      <c r="D893" s="1313" t="n"/>
      <c r="E893" s="1313" t="n"/>
    </row>
    <row r="894" ht="15.75" customHeight="1">
      <c r="C894" s="1313" t="n"/>
      <c r="D894" s="1313" t="n"/>
      <c r="E894" s="1313" t="n"/>
    </row>
    <row r="895" ht="15.75" customHeight="1">
      <c r="C895" s="1313" t="n"/>
      <c r="D895" s="1313" t="n"/>
      <c r="E895" s="1313" t="n"/>
    </row>
    <row r="896" ht="15.75" customHeight="1">
      <c r="C896" s="1313" t="n"/>
      <c r="D896" s="1313" t="n"/>
      <c r="E896" s="1313" t="n"/>
    </row>
    <row r="897" ht="15.75" customHeight="1">
      <c r="C897" s="1313" t="n"/>
      <c r="D897" s="1313" t="n"/>
      <c r="E897" s="1313" t="n"/>
    </row>
    <row r="898" ht="15.75" customHeight="1">
      <c r="C898" s="1313" t="n"/>
      <c r="D898" s="1313" t="n"/>
      <c r="E898" s="1313" t="n"/>
    </row>
    <row r="899" ht="15.75" customHeight="1">
      <c r="C899" s="1313" t="n"/>
      <c r="D899" s="1313" t="n"/>
      <c r="E899" s="1313" t="n"/>
    </row>
    <row r="900" ht="15.75" customHeight="1">
      <c r="C900" s="1313" t="n"/>
      <c r="D900" s="1313" t="n"/>
      <c r="E900" s="1313" t="n"/>
    </row>
    <row r="901" ht="15.75" customHeight="1">
      <c r="C901" s="1313" t="n"/>
      <c r="D901" s="1313" t="n"/>
      <c r="E901" s="1313" t="n"/>
    </row>
    <row r="902" ht="15.75" customHeight="1">
      <c r="C902" s="1313" t="n"/>
      <c r="D902" s="1313" t="n"/>
      <c r="E902" s="1313" t="n"/>
    </row>
    <row r="903" ht="15.75" customHeight="1">
      <c r="C903" s="1313" t="n"/>
      <c r="D903" s="1313" t="n"/>
      <c r="E903" s="1313" t="n"/>
    </row>
    <row r="904" ht="15.75" customHeight="1">
      <c r="C904" s="1313" t="n"/>
      <c r="D904" s="1313" t="n"/>
      <c r="E904" s="1313" t="n"/>
    </row>
    <row r="905" ht="15.75" customHeight="1">
      <c r="C905" s="1313" t="n"/>
      <c r="D905" s="1313" t="n"/>
      <c r="E905" s="1313" t="n"/>
    </row>
    <row r="906" ht="15.75" customHeight="1">
      <c r="C906" s="1313" t="n"/>
      <c r="D906" s="1313" t="n"/>
      <c r="E906" s="1313" t="n"/>
    </row>
    <row r="907" ht="15.75" customHeight="1">
      <c r="C907" s="1313" t="n"/>
      <c r="D907" s="1313" t="n"/>
      <c r="E907" s="1313" t="n"/>
    </row>
    <row r="908" ht="15.75" customHeight="1">
      <c r="C908" s="1313" t="n"/>
      <c r="D908" s="1313" t="n"/>
      <c r="E908" s="1313" t="n"/>
    </row>
    <row r="909" ht="15.75" customHeight="1">
      <c r="C909" s="1313" t="n"/>
      <c r="D909" s="1313" t="n"/>
      <c r="E909" s="1313" t="n"/>
    </row>
    <row r="910" ht="15.75" customHeight="1">
      <c r="C910" s="1313" t="n"/>
      <c r="D910" s="1313" t="n"/>
      <c r="E910" s="1313" t="n"/>
    </row>
    <row r="911" ht="15.75" customHeight="1">
      <c r="C911" s="1313" t="n"/>
      <c r="D911" s="1313" t="n"/>
      <c r="E911" s="1313" t="n"/>
    </row>
    <row r="912" ht="15.75" customHeight="1">
      <c r="C912" s="1313" t="n"/>
      <c r="D912" s="1313" t="n"/>
      <c r="E912" s="1313" t="n"/>
    </row>
    <row r="913" ht="15.75" customHeight="1">
      <c r="C913" s="1313" t="n"/>
      <c r="D913" s="1313" t="n"/>
      <c r="E913" s="1313" t="n"/>
    </row>
    <row r="914" ht="15.75" customHeight="1">
      <c r="C914" s="1313" t="n"/>
      <c r="D914" s="1313" t="n"/>
      <c r="E914" s="1313" t="n"/>
    </row>
    <row r="915" ht="15.75" customHeight="1">
      <c r="C915" s="1313" t="n"/>
      <c r="D915" s="1313" t="n"/>
      <c r="E915" s="1313" t="n"/>
    </row>
    <row r="916" ht="15.75" customHeight="1">
      <c r="C916" s="1313" t="n"/>
      <c r="D916" s="1313" t="n"/>
      <c r="E916" s="1313" t="n"/>
    </row>
    <row r="917" ht="15.75" customHeight="1">
      <c r="C917" s="1313" t="n"/>
      <c r="D917" s="1313" t="n"/>
      <c r="E917" s="1313" t="n"/>
    </row>
    <row r="918" ht="15.75" customHeight="1">
      <c r="C918" s="1313" t="n"/>
      <c r="D918" s="1313" t="n"/>
      <c r="E918" s="1313" t="n"/>
    </row>
    <row r="919" ht="15.75" customHeight="1">
      <c r="C919" s="1313" t="n"/>
      <c r="D919" s="1313" t="n"/>
      <c r="E919" s="1313" t="n"/>
    </row>
    <row r="920" ht="15.75" customHeight="1">
      <c r="C920" s="1313" t="n"/>
      <c r="D920" s="1313" t="n"/>
      <c r="E920" s="1313" t="n"/>
    </row>
    <row r="921" ht="15.75" customHeight="1">
      <c r="C921" s="1313" t="n"/>
      <c r="D921" s="1313" t="n"/>
      <c r="E921" s="1313" t="n"/>
    </row>
    <row r="922" ht="15.75" customHeight="1">
      <c r="C922" s="1313" t="n"/>
      <c r="D922" s="1313" t="n"/>
      <c r="E922" s="1313" t="n"/>
    </row>
    <row r="923" ht="15.75" customHeight="1">
      <c r="C923" s="1313" t="n"/>
      <c r="D923" s="1313" t="n"/>
      <c r="E923" s="1313" t="n"/>
    </row>
    <row r="924" ht="15.75" customHeight="1">
      <c r="C924" s="1313" t="n"/>
      <c r="D924" s="1313" t="n"/>
      <c r="E924" s="1313" t="n"/>
    </row>
    <row r="925" ht="15.75" customHeight="1">
      <c r="C925" s="1313" t="n"/>
      <c r="D925" s="1313" t="n"/>
      <c r="E925" s="1313" t="n"/>
    </row>
    <row r="926" ht="15.75" customHeight="1">
      <c r="C926" s="1313" t="n"/>
      <c r="D926" s="1313" t="n"/>
      <c r="E926" s="1313" t="n"/>
    </row>
    <row r="927" ht="15.75" customHeight="1">
      <c r="C927" s="1313" t="n"/>
      <c r="D927" s="1313" t="n"/>
      <c r="E927" s="1313" t="n"/>
    </row>
    <row r="928" ht="15.75" customHeight="1">
      <c r="C928" s="1313" t="n"/>
      <c r="D928" s="1313" t="n"/>
      <c r="E928" s="1313" t="n"/>
    </row>
    <row r="929" ht="15.75" customHeight="1">
      <c r="C929" s="1313" t="n"/>
      <c r="D929" s="1313" t="n"/>
      <c r="E929" s="1313" t="n"/>
    </row>
    <row r="930" ht="15.75" customHeight="1">
      <c r="C930" s="1313" t="n"/>
      <c r="D930" s="1313" t="n"/>
      <c r="E930" s="1313" t="n"/>
    </row>
    <row r="931" ht="15.75" customHeight="1">
      <c r="C931" s="1313" t="n"/>
      <c r="D931" s="1313" t="n"/>
      <c r="E931" s="1313" t="n"/>
    </row>
    <row r="932" ht="15.75" customHeight="1">
      <c r="C932" s="1313" t="n"/>
      <c r="D932" s="1313" t="n"/>
      <c r="E932" s="1313" t="n"/>
    </row>
    <row r="933" ht="15.75" customHeight="1">
      <c r="C933" s="1313" t="n"/>
      <c r="D933" s="1313" t="n"/>
      <c r="E933" s="1313" t="n"/>
    </row>
    <row r="934" ht="15.75" customHeight="1">
      <c r="C934" s="1313" t="n"/>
      <c r="D934" s="1313" t="n"/>
      <c r="E934" s="1313" t="n"/>
    </row>
    <row r="935" ht="15.75" customHeight="1">
      <c r="C935" s="1313" t="n"/>
      <c r="D935" s="1313" t="n"/>
      <c r="E935" s="1313" t="n"/>
    </row>
    <row r="936" ht="15.75" customHeight="1">
      <c r="C936" s="1313" t="n"/>
      <c r="D936" s="1313" t="n"/>
      <c r="E936" s="1313" t="n"/>
    </row>
    <row r="937" ht="15.75" customHeight="1">
      <c r="C937" s="1313" t="n"/>
      <c r="D937" s="1313" t="n"/>
      <c r="E937" s="1313" t="n"/>
    </row>
    <row r="938" ht="15.75" customHeight="1">
      <c r="C938" s="1313" t="n"/>
      <c r="D938" s="1313" t="n"/>
      <c r="E938" s="1313" t="n"/>
    </row>
    <row r="939" ht="15.75" customHeight="1">
      <c r="C939" s="1313" t="n"/>
      <c r="D939" s="1313" t="n"/>
      <c r="E939" s="1313" t="n"/>
    </row>
    <row r="940" ht="15.75" customHeight="1">
      <c r="C940" s="1313" t="n"/>
      <c r="D940" s="1313" t="n"/>
      <c r="E940" s="1313" t="n"/>
    </row>
    <row r="941" ht="15.75" customHeight="1">
      <c r="C941" s="1313" t="n"/>
      <c r="D941" s="1313" t="n"/>
      <c r="E941" s="1313" t="n"/>
    </row>
    <row r="942" ht="15.75" customHeight="1">
      <c r="C942" s="1313" t="n"/>
      <c r="D942" s="1313" t="n"/>
      <c r="E942" s="1313" t="n"/>
    </row>
    <row r="943" ht="15.75" customHeight="1">
      <c r="C943" s="1313" t="n"/>
      <c r="D943" s="1313" t="n"/>
      <c r="E943" s="1313" t="n"/>
    </row>
    <row r="944" ht="15.75" customHeight="1">
      <c r="C944" s="1313" t="n"/>
      <c r="D944" s="1313" t="n"/>
      <c r="E944" s="1313" t="n"/>
    </row>
    <row r="945" ht="15.75" customHeight="1">
      <c r="C945" s="1313" t="n"/>
      <c r="D945" s="1313" t="n"/>
      <c r="E945" s="1313" t="n"/>
    </row>
    <row r="946" ht="15.75" customHeight="1">
      <c r="C946" s="1313" t="n"/>
      <c r="D946" s="1313" t="n"/>
      <c r="E946" s="1313" t="n"/>
    </row>
    <row r="947" ht="15.75" customHeight="1">
      <c r="C947" s="1313" t="n"/>
      <c r="D947" s="1313" t="n"/>
      <c r="E947" s="1313" t="n"/>
    </row>
    <row r="948" ht="15.75" customHeight="1">
      <c r="C948" s="1313" t="n"/>
      <c r="D948" s="1313" t="n"/>
      <c r="E948" s="1313" t="n"/>
    </row>
    <row r="949" ht="15.75" customHeight="1">
      <c r="C949" s="1313" t="n"/>
      <c r="D949" s="1313" t="n"/>
      <c r="E949" s="1313" t="n"/>
    </row>
    <row r="950" ht="15.75" customHeight="1">
      <c r="C950" s="1313" t="n"/>
      <c r="D950" s="1313" t="n"/>
      <c r="E950" s="1313" t="n"/>
    </row>
    <row r="951" ht="15.75" customHeight="1">
      <c r="C951" s="1313" t="n"/>
      <c r="D951" s="1313" t="n"/>
      <c r="E951" s="1313" t="n"/>
    </row>
    <row r="952" ht="15.75" customHeight="1">
      <c r="C952" s="1313" t="n"/>
      <c r="D952" s="1313" t="n"/>
      <c r="E952" s="1313" t="n"/>
    </row>
    <row r="953" ht="15.75" customHeight="1">
      <c r="C953" s="1313" t="n"/>
      <c r="D953" s="1313" t="n"/>
      <c r="E953" s="1313" t="n"/>
    </row>
    <row r="954" ht="15.75" customHeight="1">
      <c r="C954" s="1313" t="n"/>
      <c r="D954" s="1313" t="n"/>
      <c r="E954" s="1313" t="n"/>
    </row>
    <row r="955" ht="15.75" customHeight="1">
      <c r="C955" s="1313" t="n"/>
      <c r="D955" s="1313" t="n"/>
      <c r="E955" s="1313" t="n"/>
    </row>
    <row r="956" ht="15.75" customHeight="1">
      <c r="C956" s="1313" t="n"/>
      <c r="D956" s="1313" t="n"/>
      <c r="E956" s="1313" t="n"/>
    </row>
    <row r="957" ht="15.75" customHeight="1">
      <c r="C957" s="1313" t="n"/>
      <c r="D957" s="1313" t="n"/>
      <c r="E957" s="1313" t="n"/>
    </row>
    <row r="958" ht="15.75" customHeight="1">
      <c r="C958" s="1313" t="n"/>
      <c r="D958" s="1313" t="n"/>
      <c r="E958" s="1313" t="n"/>
    </row>
    <row r="959" ht="15.75" customHeight="1">
      <c r="C959" s="1313" t="n"/>
      <c r="D959" s="1313" t="n"/>
      <c r="E959" s="1313" t="n"/>
    </row>
    <row r="960" ht="15.75" customHeight="1">
      <c r="C960" s="1313" t="n"/>
      <c r="D960" s="1313" t="n"/>
      <c r="E960" s="1313" t="n"/>
    </row>
    <row r="961" ht="15.75" customHeight="1">
      <c r="C961" s="1313" t="n"/>
      <c r="D961" s="1313" t="n"/>
      <c r="E961" s="1313" t="n"/>
    </row>
    <row r="962" ht="15.75" customHeight="1">
      <c r="C962" s="1313" t="n"/>
      <c r="D962" s="1313" t="n"/>
      <c r="E962" s="1313" t="n"/>
    </row>
    <row r="963" ht="15.75" customHeight="1">
      <c r="C963" s="1313" t="n"/>
      <c r="D963" s="1313" t="n"/>
      <c r="E963" s="1313" t="n"/>
    </row>
    <row r="964" ht="15.75" customHeight="1">
      <c r="C964" s="1313" t="n"/>
      <c r="D964" s="1313" t="n"/>
      <c r="E964" s="1313" t="n"/>
    </row>
  </sheetData>
  <mergeCells count="4">
    <mergeCell ref="A1:E2"/>
    <mergeCell ref="A5:A10"/>
    <mergeCell ref="A12:A17"/>
    <mergeCell ref="B4:E4"/>
  </mergeCells>
  <printOptions horizontalCentered="1"/>
  <pageMargins left="0.5905511811023623" right="0.5905511811023623" top="0.7086614173228347" bottom="0.5511811023622047" header="0" footer="0"/>
  <pageSetup orientation="portrait" scale="62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AT58"/>
  <sheetViews>
    <sheetView showGridLines="0" view="pageBreakPreview" zoomScaleNormal="75" zoomScaleSheetLayoutView="160" workbookViewId="0">
      <selection activeCell="BB56" sqref="BB56"/>
    </sheetView>
  </sheetViews>
  <sheetFormatPr baseColWidth="10" defaultColWidth="10.6640625" defaultRowHeight="12.75" customHeight="1"/>
  <cols>
    <col width="2" customWidth="1" style="30" min="1" max="1"/>
    <col width="2.6640625" customWidth="1" style="30" min="2" max="12"/>
    <col width="1.44140625" customWidth="1" style="30" min="13" max="13"/>
    <col width="2.6640625" customWidth="1" style="30" min="14" max="46"/>
    <col width="0.6640625" customWidth="1" style="30" min="47" max="47"/>
    <col width="2.6640625" customWidth="1" style="30" min="48" max="52"/>
    <col width="10.6640625" customWidth="1" style="30" min="53" max="53"/>
    <col width="10.6640625" customWidth="1" style="30" min="54" max="16384"/>
  </cols>
  <sheetData>
    <row r="1" ht="18" customHeight="1">
      <c r="B1" s="1062" t="inlineStr">
        <is>
          <t xml:space="preserve">FOTOGRAFÍAS </t>
        </is>
      </c>
      <c r="C1" s="1060" t="n"/>
      <c r="D1" s="1060" t="n"/>
      <c r="E1" s="1060" t="n"/>
      <c r="F1" s="1060" t="n"/>
      <c r="G1" s="1060" t="n"/>
      <c r="H1" s="1060" t="n"/>
      <c r="I1" s="1060" t="n"/>
      <c r="J1" s="1060" t="n"/>
      <c r="K1" s="1060" t="n"/>
      <c r="L1" s="1060" t="n"/>
      <c r="M1" s="1060" t="n"/>
      <c r="N1" s="1060" t="n"/>
      <c r="O1" s="1060" t="n"/>
      <c r="P1" s="1060" t="n"/>
      <c r="Q1" s="1060" t="n"/>
      <c r="R1" s="1060" t="n"/>
      <c r="S1" s="1060" t="n"/>
      <c r="T1" s="1060" t="n"/>
      <c r="U1" s="1060" t="n"/>
      <c r="V1" s="1060" t="n"/>
      <c r="W1" s="1060" t="n"/>
      <c r="X1" s="1060" t="n"/>
      <c r="Y1" s="1060" t="n"/>
      <c r="Z1" s="1060" t="n"/>
      <c r="AA1" s="1060" t="n"/>
      <c r="AB1" s="1060" t="n"/>
      <c r="AC1" s="1060" t="n"/>
      <c r="AD1" s="1060" t="n"/>
      <c r="AE1" s="1060" t="n"/>
      <c r="AF1" s="1060" t="n"/>
      <c r="AG1" s="1060" t="n"/>
      <c r="AH1" s="1060" t="n"/>
      <c r="AI1" s="1060" t="n"/>
      <c r="AJ1" s="1060" t="n"/>
      <c r="AK1" s="1060" t="n"/>
      <c r="AL1" s="1060" t="n"/>
      <c r="AM1" s="1060" t="n"/>
      <c r="AN1" s="1060" t="n"/>
      <c r="AO1" s="1060" t="n"/>
      <c r="AP1" s="1060" t="n"/>
      <c r="AQ1" s="1060" t="n"/>
      <c r="AR1" s="1060" t="n"/>
      <c r="AS1" s="1060" t="n"/>
      <c r="AT1" s="1061" t="n"/>
    </row>
    <row r="2" ht="13.95" customHeight="1"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  <c r="AK2" s="31" t="n"/>
      <c r="AL2" s="31" t="n"/>
      <c r="AM2" s="31" t="n"/>
      <c r="AN2" s="31" t="n"/>
      <c r="AO2" s="31" t="n"/>
      <c r="AP2" s="31" t="n"/>
      <c r="AQ2" s="31" t="n"/>
      <c r="AR2" s="31" t="n"/>
      <c r="AS2" s="31" t="n"/>
      <c r="AT2" s="31" t="n"/>
    </row>
    <row r="3" ht="13.95" customHeight="1"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/>
      <c r="AS3" s="31" t="n"/>
      <c r="AT3" s="31" t="n"/>
    </row>
    <row r="4" ht="13.95" customHeight="1">
      <c r="B4" s="1050" t="n"/>
      <c r="C4" s="1051" t="n"/>
      <c r="D4" s="1051" t="n"/>
      <c r="E4" s="1051" t="n"/>
      <c r="F4" s="1051" t="n"/>
      <c r="G4" s="1051" t="n"/>
      <c r="H4" s="1051" t="n"/>
      <c r="I4" s="1051" t="n"/>
      <c r="J4" s="1051" t="n"/>
      <c r="K4" s="1051" t="n"/>
      <c r="L4" s="1051" t="n"/>
      <c r="M4" s="1051" t="n"/>
      <c r="N4" s="1051" t="n"/>
      <c r="O4" s="1051" t="n"/>
      <c r="P4" s="1052" t="n"/>
      <c r="Q4" s="1050" t="n"/>
      <c r="R4" s="1051" t="n"/>
      <c r="S4" s="1051" t="n"/>
      <c r="T4" s="1051" t="n"/>
      <c r="U4" s="1051" t="n"/>
      <c r="V4" s="1051" t="n"/>
      <c r="W4" s="1051" t="n"/>
      <c r="X4" s="1051" t="n"/>
      <c r="Y4" s="1051" t="n"/>
      <c r="Z4" s="1051" t="n"/>
      <c r="AA4" s="1051" t="n"/>
      <c r="AB4" s="1051" t="n"/>
      <c r="AC4" s="1051" t="n"/>
      <c r="AD4" s="1051" t="n"/>
      <c r="AE4" s="1052" t="n"/>
      <c r="AF4" s="1050" t="n"/>
      <c r="AG4" s="1051" t="n"/>
      <c r="AH4" s="1051" t="n"/>
      <c r="AI4" s="1051" t="n"/>
      <c r="AJ4" s="1051" t="n"/>
      <c r="AK4" s="1051" t="n"/>
      <c r="AL4" s="1051" t="n"/>
      <c r="AM4" s="1051" t="n"/>
      <c r="AN4" s="1051" t="n"/>
      <c r="AO4" s="1051" t="n"/>
      <c r="AP4" s="1051" t="n"/>
      <c r="AQ4" s="1051" t="n"/>
      <c r="AR4" s="1051" t="n"/>
      <c r="AS4" s="1051" t="n"/>
      <c r="AT4" s="1052" t="n"/>
    </row>
    <row r="5" ht="13.95" customHeight="1">
      <c r="B5" s="1053" t="n"/>
      <c r="C5" s="1054" t="n"/>
      <c r="D5" s="1054" t="n"/>
      <c r="E5" s="1054" t="n"/>
      <c r="F5" s="1054" t="n"/>
      <c r="G5" s="1054" t="n"/>
      <c r="H5" s="1054" t="n"/>
      <c r="I5" s="1054" t="n"/>
      <c r="J5" s="1054" t="n"/>
      <c r="K5" s="1054" t="n"/>
      <c r="L5" s="1054" t="n"/>
      <c r="M5" s="1054" t="n"/>
      <c r="N5" s="1054" t="n"/>
      <c r="O5" s="1054" t="n"/>
      <c r="P5" s="1055" t="n"/>
      <c r="Q5" s="1053" t="n"/>
      <c r="R5" s="1054" t="n"/>
      <c r="S5" s="1054" t="n"/>
      <c r="T5" s="1054" t="n"/>
      <c r="U5" s="1054" t="n"/>
      <c r="V5" s="1054" t="n"/>
      <c r="W5" s="1054" t="n"/>
      <c r="X5" s="1054" t="n"/>
      <c r="Y5" s="1054" t="n"/>
      <c r="Z5" s="1054" t="n"/>
      <c r="AA5" s="1054" t="n"/>
      <c r="AB5" s="1054" t="n"/>
      <c r="AC5" s="1054" t="n"/>
      <c r="AD5" s="1054" t="n"/>
      <c r="AE5" s="1055" t="n"/>
      <c r="AF5" s="1053" t="n"/>
      <c r="AG5" s="1054" t="n"/>
      <c r="AH5" s="1054" t="n"/>
      <c r="AI5" s="1054" t="n"/>
      <c r="AJ5" s="1054" t="n"/>
      <c r="AK5" s="1054" t="n"/>
      <c r="AL5" s="1054" t="n"/>
      <c r="AM5" s="1054" t="n"/>
      <c r="AN5" s="1054" t="n"/>
      <c r="AO5" s="1054" t="n"/>
      <c r="AP5" s="1054" t="n"/>
      <c r="AQ5" s="1054" t="n"/>
      <c r="AR5" s="1054" t="n"/>
      <c r="AS5" s="1054" t="n"/>
      <c r="AT5" s="1055" t="n"/>
    </row>
    <row r="6" ht="13.95" customHeight="1">
      <c r="B6" s="1053" t="n"/>
      <c r="C6" s="1054" t="n"/>
      <c r="D6" s="1054" t="n"/>
      <c r="E6" s="1054" t="n"/>
      <c r="F6" s="1054" t="n"/>
      <c r="G6" s="1054" t="n"/>
      <c r="H6" s="1054" t="n"/>
      <c r="I6" s="1054" t="n"/>
      <c r="J6" s="1054" t="n"/>
      <c r="K6" s="1054" t="n"/>
      <c r="L6" s="1054" t="n"/>
      <c r="M6" s="1054" t="n"/>
      <c r="N6" s="1054" t="n"/>
      <c r="O6" s="1054" t="n"/>
      <c r="P6" s="1055" t="n"/>
      <c r="Q6" s="1053" t="n"/>
      <c r="R6" s="1054" t="n"/>
      <c r="S6" s="1054" t="n"/>
      <c r="T6" s="1054" t="n"/>
      <c r="U6" s="1054" t="n"/>
      <c r="V6" s="1054" t="n"/>
      <c r="W6" s="1054" t="n"/>
      <c r="X6" s="1054" t="n"/>
      <c r="Y6" s="1054" t="n"/>
      <c r="Z6" s="1054" t="n"/>
      <c r="AA6" s="1054" t="n"/>
      <c r="AB6" s="1054" t="n"/>
      <c r="AC6" s="1054" t="n"/>
      <c r="AD6" s="1054" t="n"/>
      <c r="AE6" s="1055" t="n"/>
      <c r="AF6" s="1053" t="n"/>
      <c r="AG6" s="1054" t="n"/>
      <c r="AH6" s="1054" t="n"/>
      <c r="AI6" s="1054" t="n"/>
      <c r="AJ6" s="1054" t="n"/>
      <c r="AK6" s="1054" t="n"/>
      <c r="AL6" s="1054" t="n"/>
      <c r="AM6" s="1054" t="n"/>
      <c r="AN6" s="1054" t="n"/>
      <c r="AO6" s="1054" t="n"/>
      <c r="AP6" s="1054" t="n"/>
      <c r="AQ6" s="1054" t="n"/>
      <c r="AR6" s="1054" t="n"/>
      <c r="AS6" s="1054" t="n"/>
      <c r="AT6" s="1055" t="n"/>
    </row>
    <row r="7" ht="13.95" customHeight="1">
      <c r="B7" s="1053" t="n"/>
      <c r="C7" s="1054" t="n"/>
      <c r="D7" s="1054" t="n"/>
      <c r="E7" s="1054" t="n"/>
      <c r="F7" s="1054" t="n"/>
      <c r="G7" s="1054" t="n"/>
      <c r="H7" s="1054" t="n"/>
      <c r="I7" s="1054" t="n"/>
      <c r="J7" s="1054" t="n"/>
      <c r="K7" s="1054" t="n"/>
      <c r="L7" s="1054" t="n"/>
      <c r="M7" s="1054" t="n"/>
      <c r="N7" s="1054" t="n"/>
      <c r="O7" s="1054" t="n"/>
      <c r="P7" s="1055" t="n"/>
      <c r="Q7" s="1053" t="n"/>
      <c r="R7" s="1054" t="n"/>
      <c r="S7" s="1054" t="n"/>
      <c r="T7" s="1054" t="n"/>
      <c r="U7" s="1054" t="n"/>
      <c r="V7" s="1054" t="n"/>
      <c r="W7" s="1054" t="n"/>
      <c r="X7" s="1054" t="n"/>
      <c r="Y7" s="1054" t="n"/>
      <c r="Z7" s="1054" t="n"/>
      <c r="AA7" s="1054" t="n"/>
      <c r="AB7" s="1054" t="n"/>
      <c r="AC7" s="1054" t="n"/>
      <c r="AD7" s="1054" t="n"/>
      <c r="AE7" s="1055" t="n"/>
      <c r="AF7" s="1053" t="n"/>
      <c r="AG7" s="1054" t="n"/>
      <c r="AH7" s="1054" t="n"/>
      <c r="AI7" s="1054" t="n"/>
      <c r="AJ7" s="1054" t="n"/>
      <c r="AK7" s="1054" t="n"/>
      <c r="AL7" s="1054" t="n"/>
      <c r="AM7" s="1054" t="n"/>
      <c r="AN7" s="1054" t="n"/>
      <c r="AO7" s="1054" t="n"/>
      <c r="AP7" s="1054" t="n"/>
      <c r="AQ7" s="1054" t="n"/>
      <c r="AR7" s="1054" t="n"/>
      <c r="AS7" s="1054" t="n"/>
      <c r="AT7" s="1055" t="n"/>
    </row>
    <row r="8" ht="13.95" customHeight="1">
      <c r="B8" s="1053" t="n"/>
      <c r="C8" s="1054" t="n"/>
      <c r="D8" s="1054" t="n"/>
      <c r="E8" s="1054" t="n"/>
      <c r="F8" s="1054" t="n"/>
      <c r="G8" s="1054" t="n"/>
      <c r="H8" s="1054" t="n"/>
      <c r="I8" s="1054" t="n"/>
      <c r="J8" s="1054" t="n"/>
      <c r="K8" s="1054" t="n"/>
      <c r="L8" s="1054" t="n"/>
      <c r="M8" s="1054" t="n"/>
      <c r="N8" s="1054" t="n"/>
      <c r="O8" s="1054" t="n"/>
      <c r="P8" s="1055" t="n"/>
      <c r="Q8" s="1053" t="n"/>
      <c r="R8" s="1054" t="n"/>
      <c r="S8" s="1054" t="n"/>
      <c r="T8" s="1054" t="n"/>
      <c r="U8" s="1054" t="n"/>
      <c r="V8" s="1054" t="n"/>
      <c r="W8" s="1054" t="n"/>
      <c r="X8" s="1054" t="n"/>
      <c r="Y8" s="1054" t="n"/>
      <c r="Z8" s="1054" t="n"/>
      <c r="AA8" s="1054" t="n"/>
      <c r="AB8" s="1054" t="n"/>
      <c r="AC8" s="1054" t="n"/>
      <c r="AD8" s="1054" t="n"/>
      <c r="AE8" s="1055" t="n"/>
      <c r="AF8" s="1053" t="n"/>
      <c r="AG8" s="1054" t="n"/>
      <c r="AH8" s="1054" t="n"/>
      <c r="AI8" s="1054" t="n"/>
      <c r="AJ8" s="1054" t="n"/>
      <c r="AK8" s="1054" t="n"/>
      <c r="AL8" s="1054" t="n"/>
      <c r="AM8" s="1054" t="n"/>
      <c r="AN8" s="1054" t="n"/>
      <c r="AO8" s="1054" t="n"/>
      <c r="AP8" s="1054" t="n"/>
      <c r="AQ8" s="1054" t="n"/>
      <c r="AR8" s="1054" t="n"/>
      <c r="AS8" s="1054" t="n"/>
      <c r="AT8" s="1055" t="n"/>
    </row>
    <row r="9" ht="13.95" customHeight="1">
      <c r="B9" s="1053" t="n"/>
      <c r="C9" s="1054" t="n"/>
      <c r="D9" s="1054" t="n"/>
      <c r="E9" s="1054" t="n"/>
      <c r="F9" s="1054" t="n"/>
      <c r="G9" s="1054" t="n"/>
      <c r="H9" s="1054" t="n"/>
      <c r="I9" s="1054" t="n"/>
      <c r="J9" s="1054" t="n"/>
      <c r="K9" s="1054" t="n"/>
      <c r="L9" s="1054" t="n"/>
      <c r="M9" s="1054" t="n"/>
      <c r="N9" s="1054" t="n"/>
      <c r="O9" s="1054" t="n"/>
      <c r="P9" s="1055" t="n"/>
      <c r="Q9" s="1053" t="n"/>
      <c r="R9" s="1054" t="n"/>
      <c r="S9" s="1054" t="n"/>
      <c r="T9" s="1054" t="n"/>
      <c r="U9" s="1054" t="n"/>
      <c r="V9" s="1054" t="n"/>
      <c r="W9" s="1054" t="n"/>
      <c r="X9" s="1054" t="n"/>
      <c r="Y9" s="1054" t="n"/>
      <c r="Z9" s="1054" t="n"/>
      <c r="AA9" s="1054" t="n"/>
      <c r="AB9" s="1054" t="n"/>
      <c r="AC9" s="1054" t="n"/>
      <c r="AD9" s="1054" t="n"/>
      <c r="AE9" s="1055" t="n"/>
      <c r="AF9" s="1053" t="n"/>
      <c r="AG9" s="1054" t="n"/>
      <c r="AH9" s="1054" t="n"/>
      <c r="AI9" s="1054" t="n"/>
      <c r="AJ9" s="1054" t="n"/>
      <c r="AK9" s="1054" t="n"/>
      <c r="AL9" s="1054" t="n"/>
      <c r="AM9" s="1054" t="n"/>
      <c r="AN9" s="1054" t="n"/>
      <c r="AO9" s="1054" t="n"/>
      <c r="AP9" s="1054" t="n"/>
      <c r="AQ9" s="1054" t="n"/>
      <c r="AR9" s="1054" t="n"/>
      <c r="AS9" s="1054" t="n"/>
      <c r="AT9" s="1055" t="n"/>
    </row>
    <row r="10" ht="13.95" customHeight="1">
      <c r="B10" s="1053" t="n"/>
      <c r="C10" s="1054" t="n"/>
      <c r="D10" s="1054" t="n"/>
      <c r="E10" s="1054" t="n"/>
      <c r="F10" s="1054" t="n"/>
      <c r="G10" s="1054" t="n"/>
      <c r="H10" s="1054" t="n"/>
      <c r="I10" s="1054" t="n"/>
      <c r="J10" s="1054" t="n"/>
      <c r="K10" s="1054" t="n"/>
      <c r="L10" s="1054" t="n"/>
      <c r="M10" s="1054" t="n"/>
      <c r="N10" s="1054" t="n"/>
      <c r="O10" s="1054" t="n"/>
      <c r="P10" s="1055" t="n"/>
      <c r="Q10" s="1053" t="n"/>
      <c r="R10" s="1054" t="n"/>
      <c r="S10" s="1054" t="n"/>
      <c r="T10" s="1054" t="n"/>
      <c r="U10" s="1054" t="n"/>
      <c r="V10" s="1054" t="n"/>
      <c r="W10" s="1054" t="n"/>
      <c r="X10" s="1054" t="n"/>
      <c r="Y10" s="1054" t="n"/>
      <c r="Z10" s="1054" t="n"/>
      <c r="AA10" s="1054" t="n"/>
      <c r="AB10" s="1054" t="n"/>
      <c r="AC10" s="1054" t="n"/>
      <c r="AD10" s="1054" t="n"/>
      <c r="AE10" s="1055" t="n"/>
      <c r="AF10" s="1053" t="n"/>
      <c r="AG10" s="1054" t="n"/>
      <c r="AH10" s="1054" t="n"/>
      <c r="AI10" s="1054" t="n"/>
      <c r="AJ10" s="1054" t="n"/>
      <c r="AK10" s="1054" t="n"/>
      <c r="AL10" s="1054" t="n"/>
      <c r="AM10" s="1054" t="n"/>
      <c r="AN10" s="1054" t="n"/>
      <c r="AO10" s="1054" t="n"/>
      <c r="AP10" s="1054" t="n"/>
      <c r="AQ10" s="1054" t="n"/>
      <c r="AR10" s="1054" t="n"/>
      <c r="AS10" s="1054" t="n"/>
      <c r="AT10" s="1055" t="n"/>
    </row>
    <row r="11" ht="13.95" customHeight="1">
      <c r="B11" s="1053" t="n"/>
      <c r="C11" s="1054" t="n"/>
      <c r="D11" s="1054" t="n"/>
      <c r="E11" s="1054" t="n"/>
      <c r="F11" s="1054" t="n"/>
      <c r="G11" s="1054" t="n"/>
      <c r="H11" s="1054" t="n"/>
      <c r="I11" s="1054" t="n"/>
      <c r="J11" s="1054" t="n"/>
      <c r="K11" s="1054" t="n"/>
      <c r="L11" s="1054" t="n"/>
      <c r="M11" s="1054" t="n"/>
      <c r="N11" s="1054" t="n"/>
      <c r="O11" s="1054" t="n"/>
      <c r="P11" s="1055" t="n"/>
      <c r="Q11" s="1053" t="n"/>
      <c r="R11" s="1054" t="n"/>
      <c r="S11" s="1054" t="n"/>
      <c r="T11" s="1054" t="n"/>
      <c r="U11" s="1054" t="n"/>
      <c r="V11" s="1054" t="n"/>
      <c r="W11" s="1054" t="n"/>
      <c r="X11" s="1054" t="n"/>
      <c r="Y11" s="1054" t="n"/>
      <c r="Z11" s="1054" t="n"/>
      <c r="AA11" s="1054" t="n"/>
      <c r="AB11" s="1054" t="n"/>
      <c r="AC11" s="1054" t="n"/>
      <c r="AD11" s="1054" t="n"/>
      <c r="AE11" s="1055" t="n"/>
      <c r="AF11" s="1053" t="n"/>
      <c r="AG11" s="1054" t="n"/>
      <c r="AH11" s="1054" t="n"/>
      <c r="AI11" s="1054" t="n"/>
      <c r="AJ11" s="1054" t="n"/>
      <c r="AK11" s="1054" t="n"/>
      <c r="AL11" s="1054" t="n"/>
      <c r="AM11" s="1054" t="n"/>
      <c r="AN11" s="1054" t="n"/>
      <c r="AO11" s="1054" t="n"/>
      <c r="AP11" s="1054" t="n"/>
      <c r="AQ11" s="1054" t="n"/>
      <c r="AR11" s="1054" t="n"/>
      <c r="AS11" s="1054" t="n"/>
      <c r="AT11" s="1055" t="n"/>
    </row>
    <row r="12" ht="13.95" customHeight="1">
      <c r="B12" s="1053" t="n"/>
      <c r="C12" s="1054" t="n"/>
      <c r="D12" s="1054" t="n"/>
      <c r="E12" s="1054" t="n"/>
      <c r="F12" s="1054" t="n"/>
      <c r="G12" s="1054" t="n"/>
      <c r="H12" s="1054" t="n"/>
      <c r="I12" s="1054" t="n"/>
      <c r="J12" s="1054" t="n"/>
      <c r="K12" s="1054" t="n"/>
      <c r="L12" s="1054" t="n"/>
      <c r="M12" s="1054" t="n"/>
      <c r="N12" s="1054" t="n"/>
      <c r="O12" s="1054" t="n"/>
      <c r="P12" s="1055" t="n"/>
      <c r="Q12" s="1053" t="n"/>
      <c r="R12" s="1054" t="n"/>
      <c r="S12" s="1054" t="n"/>
      <c r="T12" s="1054" t="n"/>
      <c r="U12" s="1054" t="n"/>
      <c r="V12" s="1054" t="n"/>
      <c r="W12" s="1054" t="n"/>
      <c r="X12" s="1054" t="n"/>
      <c r="Y12" s="1054" t="n"/>
      <c r="Z12" s="1054" t="n"/>
      <c r="AA12" s="1054" t="n"/>
      <c r="AB12" s="1054" t="n"/>
      <c r="AC12" s="1054" t="n"/>
      <c r="AD12" s="1054" t="n"/>
      <c r="AE12" s="1055" t="n"/>
      <c r="AF12" s="1053" t="n"/>
      <c r="AG12" s="1054" t="n"/>
      <c r="AH12" s="1054" t="n"/>
      <c r="AI12" s="1054" t="n"/>
      <c r="AJ12" s="1054" t="n"/>
      <c r="AK12" s="1054" t="n"/>
      <c r="AL12" s="1054" t="n"/>
      <c r="AM12" s="1054" t="n"/>
      <c r="AN12" s="1054" t="n"/>
      <c r="AO12" s="1054" t="n"/>
      <c r="AP12" s="1054" t="n"/>
      <c r="AQ12" s="1054" t="n"/>
      <c r="AR12" s="1054" t="n"/>
      <c r="AS12" s="1054" t="n"/>
      <c r="AT12" s="1055" t="n"/>
    </row>
    <row r="13" ht="13.95" customHeight="1">
      <c r="B13" s="1056" t="n"/>
      <c r="C13" s="1057" t="n"/>
      <c r="D13" s="1057" t="n"/>
      <c r="E13" s="1057" t="n"/>
      <c r="F13" s="1057" t="n"/>
      <c r="G13" s="1057" t="n"/>
      <c r="H13" s="1057" t="n"/>
      <c r="I13" s="1057" t="n"/>
      <c r="J13" s="1057" t="n"/>
      <c r="K13" s="1057" t="n"/>
      <c r="L13" s="1057" t="n"/>
      <c r="M13" s="1057" t="n"/>
      <c r="N13" s="1057" t="n"/>
      <c r="O13" s="1057" t="n"/>
      <c r="P13" s="1058" t="n"/>
      <c r="Q13" s="1056" t="n"/>
      <c r="R13" s="1057" t="n"/>
      <c r="S13" s="1057" t="n"/>
      <c r="T13" s="1057" t="n"/>
      <c r="U13" s="1057" t="n"/>
      <c r="V13" s="1057" t="n"/>
      <c r="W13" s="1057" t="n"/>
      <c r="X13" s="1057" t="n"/>
      <c r="Y13" s="1057" t="n"/>
      <c r="Z13" s="1057" t="n"/>
      <c r="AA13" s="1057" t="n"/>
      <c r="AB13" s="1057" t="n"/>
      <c r="AC13" s="1057" t="n"/>
      <c r="AD13" s="1057" t="n"/>
      <c r="AE13" s="1058" t="n"/>
      <c r="AF13" s="1056" t="n"/>
      <c r="AG13" s="1057" t="n"/>
      <c r="AH13" s="1057" t="n"/>
      <c r="AI13" s="1057" t="n"/>
      <c r="AJ13" s="1057" t="n"/>
      <c r="AK13" s="1057" t="n"/>
      <c r="AL13" s="1057" t="n"/>
      <c r="AM13" s="1057" t="n"/>
      <c r="AN13" s="1057" t="n"/>
      <c r="AO13" s="1057" t="n"/>
      <c r="AP13" s="1057" t="n"/>
      <c r="AQ13" s="1057" t="n"/>
      <c r="AR13" s="1057" t="n"/>
      <c r="AS13" s="1057" t="n"/>
      <c r="AT13" s="1058" t="n"/>
    </row>
    <row r="14" ht="13.95" customHeight="1">
      <c r="B14" s="1059" t="n"/>
      <c r="C14" s="1060" t="n"/>
      <c r="D14" s="1060" t="n"/>
      <c r="E14" s="1060" t="n"/>
      <c r="F14" s="1060" t="n"/>
      <c r="G14" s="1060" t="n"/>
      <c r="H14" s="1060" t="n"/>
      <c r="I14" s="1060" t="n"/>
      <c r="J14" s="1060" t="n"/>
      <c r="K14" s="1060" t="n"/>
      <c r="L14" s="1060" t="n"/>
      <c r="M14" s="1060" t="n"/>
      <c r="N14" s="1060" t="n"/>
      <c r="O14" s="1060" t="n"/>
      <c r="P14" s="1061" t="n"/>
      <c r="Q14" s="1059" t="n"/>
      <c r="R14" s="1060" t="n"/>
      <c r="S14" s="1060" t="n"/>
      <c r="T14" s="1060" t="n"/>
      <c r="U14" s="1060" t="n"/>
      <c r="V14" s="1060" t="n"/>
      <c r="W14" s="1060" t="n"/>
      <c r="X14" s="1060" t="n"/>
      <c r="Y14" s="1060" t="n"/>
      <c r="Z14" s="1060" t="n"/>
      <c r="AA14" s="1060" t="n"/>
      <c r="AB14" s="1060" t="n"/>
      <c r="AC14" s="1060" t="n"/>
      <c r="AD14" s="1060" t="n"/>
      <c r="AE14" s="1061" t="n"/>
      <c r="AF14" s="1059" t="n"/>
      <c r="AG14" s="1060" t="n"/>
      <c r="AH14" s="1060" t="n"/>
      <c r="AI14" s="1060" t="n"/>
      <c r="AJ14" s="1060" t="n"/>
      <c r="AK14" s="1060" t="n"/>
      <c r="AL14" s="1060" t="n"/>
      <c r="AM14" s="1060" t="n"/>
      <c r="AN14" s="1060" t="n"/>
      <c r="AO14" s="1060" t="n"/>
      <c r="AP14" s="1060" t="n"/>
      <c r="AQ14" s="1060" t="n"/>
      <c r="AR14" s="1060" t="n"/>
      <c r="AS14" s="1060" t="n"/>
      <c r="AT14" s="1061" t="n"/>
    </row>
    <row r="15" ht="13.95" customHeight="1">
      <c r="B15" s="1050" t="n"/>
      <c r="C15" s="1051" t="n"/>
      <c r="D15" s="1051" t="n"/>
      <c r="E15" s="1051" t="n"/>
      <c r="F15" s="1051" t="n"/>
      <c r="G15" s="1051" t="n"/>
      <c r="H15" s="1051" t="n"/>
      <c r="I15" s="1051" t="n"/>
      <c r="J15" s="1051" t="n"/>
      <c r="K15" s="1051" t="n"/>
      <c r="L15" s="1051" t="n"/>
      <c r="M15" s="1051" t="n"/>
      <c r="N15" s="1051" t="n"/>
      <c r="O15" s="1051" t="n"/>
      <c r="P15" s="1052" t="n"/>
      <c r="Q15" s="1050" t="n"/>
      <c r="R15" s="1051" t="n"/>
      <c r="S15" s="1051" t="n"/>
      <c r="T15" s="1051" t="n"/>
      <c r="U15" s="1051" t="n"/>
      <c r="V15" s="1051" t="n"/>
      <c r="W15" s="1051" t="n"/>
      <c r="X15" s="1051" t="n"/>
      <c r="Y15" s="1051" t="n"/>
      <c r="Z15" s="1051" t="n"/>
      <c r="AA15" s="1051" t="n"/>
      <c r="AB15" s="1051" t="n"/>
      <c r="AC15" s="1051" t="n"/>
      <c r="AD15" s="1051" t="n"/>
      <c r="AE15" s="1052" t="n"/>
      <c r="AF15" s="1050" t="n"/>
      <c r="AG15" s="1051" t="n"/>
      <c r="AH15" s="1051" t="n"/>
      <c r="AI15" s="1051" t="n"/>
      <c r="AJ15" s="1051" t="n"/>
      <c r="AK15" s="1051" t="n"/>
      <c r="AL15" s="1051" t="n"/>
      <c r="AM15" s="1051" t="n"/>
      <c r="AN15" s="1051" t="n"/>
      <c r="AO15" s="1051" t="n"/>
      <c r="AP15" s="1051" t="n"/>
      <c r="AQ15" s="1051" t="n"/>
      <c r="AR15" s="1051" t="n"/>
      <c r="AS15" s="1051" t="n"/>
      <c r="AT15" s="1052" t="n"/>
    </row>
    <row r="16" ht="13.95" customHeight="1">
      <c r="B16" s="1053" t="n"/>
      <c r="C16" s="1054" t="n"/>
      <c r="D16" s="1054" t="n"/>
      <c r="E16" s="1054" t="n"/>
      <c r="F16" s="1054" t="n"/>
      <c r="G16" s="1054" t="n"/>
      <c r="H16" s="1054" t="n"/>
      <c r="I16" s="1054" t="n"/>
      <c r="J16" s="1054" t="n"/>
      <c r="K16" s="1054" t="n"/>
      <c r="L16" s="1054" t="n"/>
      <c r="M16" s="1054" t="n"/>
      <c r="N16" s="1054" t="n"/>
      <c r="O16" s="1054" t="n"/>
      <c r="P16" s="1055" t="n"/>
      <c r="Q16" s="1053" t="n"/>
      <c r="R16" s="1054" t="n"/>
      <c r="S16" s="1054" t="n"/>
      <c r="T16" s="1054" t="n"/>
      <c r="U16" s="1054" t="n"/>
      <c r="V16" s="1054" t="n"/>
      <c r="W16" s="1054" t="n"/>
      <c r="X16" s="1054" t="n"/>
      <c r="Y16" s="1054" t="n"/>
      <c r="Z16" s="1054" t="n"/>
      <c r="AA16" s="1054" t="n"/>
      <c r="AB16" s="1054" t="n"/>
      <c r="AC16" s="1054" t="n"/>
      <c r="AD16" s="1054" t="n"/>
      <c r="AE16" s="1055" t="n"/>
      <c r="AF16" s="1053" t="n"/>
      <c r="AG16" s="1054" t="n"/>
      <c r="AH16" s="1054" t="n"/>
      <c r="AI16" s="1054" t="n"/>
      <c r="AJ16" s="1054" t="n"/>
      <c r="AK16" s="1054" t="n"/>
      <c r="AL16" s="1054" t="n"/>
      <c r="AM16" s="1054" t="n"/>
      <c r="AN16" s="1054" t="n"/>
      <c r="AO16" s="1054" t="n"/>
      <c r="AP16" s="1054" t="n"/>
      <c r="AQ16" s="1054" t="n"/>
      <c r="AR16" s="1054" t="n"/>
      <c r="AS16" s="1054" t="n"/>
      <c r="AT16" s="1055" t="n"/>
    </row>
    <row r="17" ht="13.95" customHeight="1">
      <c r="B17" s="1053" t="n"/>
      <c r="C17" s="1054" t="n"/>
      <c r="D17" s="1054" t="n"/>
      <c r="E17" s="1054" t="n"/>
      <c r="F17" s="1054" t="n"/>
      <c r="G17" s="1054" t="n"/>
      <c r="H17" s="1054" t="n"/>
      <c r="I17" s="1054" t="n"/>
      <c r="J17" s="1054" t="n"/>
      <c r="K17" s="1054" t="n"/>
      <c r="L17" s="1054" t="n"/>
      <c r="M17" s="1054" t="n"/>
      <c r="N17" s="1054" t="n"/>
      <c r="O17" s="1054" t="n"/>
      <c r="P17" s="1055" t="n"/>
      <c r="Q17" s="1053" t="n"/>
      <c r="R17" s="1054" t="n"/>
      <c r="S17" s="1054" t="n"/>
      <c r="T17" s="1054" t="n"/>
      <c r="U17" s="1054" t="n"/>
      <c r="V17" s="1054" t="n"/>
      <c r="W17" s="1054" t="n"/>
      <c r="X17" s="1054" t="n"/>
      <c r="Y17" s="1054" t="n"/>
      <c r="Z17" s="1054" t="n"/>
      <c r="AA17" s="1054" t="n"/>
      <c r="AB17" s="1054" t="n"/>
      <c r="AC17" s="1054" t="n"/>
      <c r="AD17" s="1054" t="n"/>
      <c r="AE17" s="1055" t="n"/>
      <c r="AF17" s="1053" t="n"/>
      <c r="AG17" s="1054" t="n"/>
      <c r="AH17" s="1054" t="n"/>
      <c r="AI17" s="1054" t="n"/>
      <c r="AJ17" s="1054" t="n"/>
      <c r="AK17" s="1054" t="n"/>
      <c r="AL17" s="1054" t="n"/>
      <c r="AM17" s="1054" t="n"/>
      <c r="AN17" s="1054" t="n"/>
      <c r="AO17" s="1054" t="n"/>
      <c r="AP17" s="1054" t="n"/>
      <c r="AQ17" s="1054" t="n"/>
      <c r="AR17" s="1054" t="n"/>
      <c r="AS17" s="1054" t="n"/>
      <c r="AT17" s="1055" t="n"/>
    </row>
    <row r="18" ht="13.95" customHeight="1">
      <c r="B18" s="1053" t="n"/>
      <c r="C18" s="1054" t="n"/>
      <c r="D18" s="1054" t="n"/>
      <c r="E18" s="1054" t="n"/>
      <c r="F18" s="1054" t="n"/>
      <c r="G18" s="1054" t="n"/>
      <c r="H18" s="1054" t="n"/>
      <c r="I18" s="1054" t="n"/>
      <c r="J18" s="1054" t="n"/>
      <c r="K18" s="1054" t="n"/>
      <c r="L18" s="1054" t="n"/>
      <c r="M18" s="1054" t="n"/>
      <c r="N18" s="1054" t="n"/>
      <c r="O18" s="1054" t="n"/>
      <c r="P18" s="1055" t="n"/>
      <c r="Q18" s="1053" t="n"/>
      <c r="R18" s="1054" t="n"/>
      <c r="S18" s="1054" t="n"/>
      <c r="T18" s="1054" t="n"/>
      <c r="U18" s="1054" t="n"/>
      <c r="V18" s="1054" t="n"/>
      <c r="W18" s="1054" t="n"/>
      <c r="X18" s="1054" t="n"/>
      <c r="Y18" s="1054" t="n"/>
      <c r="Z18" s="1054" t="n"/>
      <c r="AA18" s="1054" t="n"/>
      <c r="AB18" s="1054" t="n"/>
      <c r="AC18" s="1054" t="n"/>
      <c r="AD18" s="1054" t="n"/>
      <c r="AE18" s="1055" t="n"/>
      <c r="AF18" s="1053" t="n"/>
      <c r="AG18" s="1054" t="n"/>
      <c r="AH18" s="1054" t="n"/>
      <c r="AI18" s="1054" t="n"/>
      <c r="AJ18" s="1054" t="n"/>
      <c r="AK18" s="1054" t="n"/>
      <c r="AL18" s="1054" t="n"/>
      <c r="AM18" s="1054" t="n"/>
      <c r="AN18" s="1054" t="n"/>
      <c r="AO18" s="1054" t="n"/>
      <c r="AP18" s="1054" t="n"/>
      <c r="AQ18" s="1054" t="n"/>
      <c r="AR18" s="1054" t="n"/>
      <c r="AS18" s="1054" t="n"/>
      <c r="AT18" s="1055" t="n"/>
    </row>
    <row r="19" ht="13.95" customHeight="1">
      <c r="B19" s="1053" t="n"/>
      <c r="C19" s="1054" t="n"/>
      <c r="D19" s="1054" t="n"/>
      <c r="E19" s="1054" t="n"/>
      <c r="F19" s="1054" t="n"/>
      <c r="G19" s="1054" t="n"/>
      <c r="H19" s="1054" t="n"/>
      <c r="I19" s="1054" t="n"/>
      <c r="J19" s="1054" t="n"/>
      <c r="K19" s="1054" t="n"/>
      <c r="L19" s="1054" t="n"/>
      <c r="M19" s="1054" t="n"/>
      <c r="N19" s="1054" t="n"/>
      <c r="O19" s="1054" t="n"/>
      <c r="P19" s="1055" t="n"/>
      <c r="Q19" s="1053" t="n"/>
      <c r="R19" s="1054" t="n"/>
      <c r="S19" s="1054" t="n"/>
      <c r="T19" s="1054" t="n"/>
      <c r="U19" s="1054" t="n"/>
      <c r="V19" s="1054" t="n"/>
      <c r="W19" s="1054" t="n"/>
      <c r="X19" s="1054" t="n"/>
      <c r="Y19" s="1054" t="n"/>
      <c r="Z19" s="1054" t="n"/>
      <c r="AA19" s="1054" t="n"/>
      <c r="AB19" s="1054" t="n"/>
      <c r="AC19" s="1054" t="n"/>
      <c r="AD19" s="1054" t="n"/>
      <c r="AE19" s="1055" t="n"/>
      <c r="AF19" s="1053" t="n"/>
      <c r="AG19" s="1054" t="n"/>
      <c r="AH19" s="1054" t="n"/>
      <c r="AI19" s="1054" t="n"/>
      <c r="AJ19" s="1054" t="n"/>
      <c r="AK19" s="1054" t="n"/>
      <c r="AL19" s="1054" t="n"/>
      <c r="AM19" s="1054" t="n"/>
      <c r="AN19" s="1054" t="n"/>
      <c r="AO19" s="1054" t="n"/>
      <c r="AP19" s="1054" t="n"/>
      <c r="AQ19" s="1054" t="n"/>
      <c r="AR19" s="1054" t="n"/>
      <c r="AS19" s="1054" t="n"/>
      <c r="AT19" s="1055" t="n"/>
    </row>
    <row r="20" ht="13.95" customHeight="1">
      <c r="B20" s="1053" t="n"/>
      <c r="C20" s="1054" t="n"/>
      <c r="D20" s="1054" t="n"/>
      <c r="E20" s="1054" t="n"/>
      <c r="F20" s="1054" t="n"/>
      <c r="G20" s="1054" t="n"/>
      <c r="H20" s="1054" t="n"/>
      <c r="I20" s="1054" t="n"/>
      <c r="J20" s="1054" t="n"/>
      <c r="K20" s="1054" t="n"/>
      <c r="L20" s="1054" t="n"/>
      <c r="M20" s="1054" t="n"/>
      <c r="N20" s="1054" t="n"/>
      <c r="O20" s="1054" t="n"/>
      <c r="P20" s="1055" t="n"/>
      <c r="Q20" s="1053" t="n"/>
      <c r="R20" s="1054" t="n"/>
      <c r="S20" s="1054" t="n"/>
      <c r="T20" s="1054" t="n"/>
      <c r="U20" s="1054" t="n"/>
      <c r="V20" s="1054" t="n"/>
      <c r="W20" s="1054" t="n"/>
      <c r="X20" s="1054" t="n"/>
      <c r="Y20" s="1054" t="n"/>
      <c r="Z20" s="1054" t="n"/>
      <c r="AA20" s="1054" t="n"/>
      <c r="AB20" s="1054" t="n"/>
      <c r="AC20" s="1054" t="n"/>
      <c r="AD20" s="1054" t="n"/>
      <c r="AE20" s="1055" t="n"/>
      <c r="AF20" s="1053" t="n"/>
      <c r="AG20" s="1054" t="n"/>
      <c r="AH20" s="1054" t="n"/>
      <c r="AI20" s="1054" t="n"/>
      <c r="AJ20" s="1054" t="n"/>
      <c r="AK20" s="1054" t="n"/>
      <c r="AL20" s="1054" t="n"/>
      <c r="AM20" s="1054" t="n"/>
      <c r="AN20" s="1054" t="n"/>
      <c r="AO20" s="1054" t="n"/>
      <c r="AP20" s="1054" t="n"/>
      <c r="AQ20" s="1054" t="n"/>
      <c r="AR20" s="1054" t="n"/>
      <c r="AS20" s="1054" t="n"/>
      <c r="AT20" s="1055" t="n"/>
    </row>
    <row r="21" ht="13.95" customHeight="1">
      <c r="B21" s="1053" t="n"/>
      <c r="C21" s="1054" t="n"/>
      <c r="D21" s="1054" t="n"/>
      <c r="E21" s="1054" t="n"/>
      <c r="F21" s="1054" t="n"/>
      <c r="G21" s="1054" t="n"/>
      <c r="H21" s="1054" t="n"/>
      <c r="I21" s="1054" t="n"/>
      <c r="J21" s="1054" t="n"/>
      <c r="K21" s="1054" t="n"/>
      <c r="L21" s="1054" t="n"/>
      <c r="M21" s="1054" t="n"/>
      <c r="N21" s="1054" t="n"/>
      <c r="O21" s="1054" t="n"/>
      <c r="P21" s="1055" t="n"/>
      <c r="Q21" s="1053" t="n"/>
      <c r="R21" s="1054" t="n"/>
      <c r="S21" s="1054" t="n"/>
      <c r="T21" s="1054" t="n"/>
      <c r="U21" s="1054" t="n"/>
      <c r="V21" s="1054" t="n"/>
      <c r="W21" s="1054" t="n"/>
      <c r="X21" s="1054" t="n"/>
      <c r="Y21" s="1054" t="n"/>
      <c r="Z21" s="1054" t="n"/>
      <c r="AA21" s="1054" t="n"/>
      <c r="AB21" s="1054" t="n"/>
      <c r="AC21" s="1054" t="n"/>
      <c r="AD21" s="1054" t="n"/>
      <c r="AE21" s="1055" t="n"/>
      <c r="AF21" s="1053" t="n"/>
      <c r="AG21" s="1054" t="n"/>
      <c r="AH21" s="1054" t="n"/>
      <c r="AI21" s="1054" t="n"/>
      <c r="AJ21" s="1054" t="n"/>
      <c r="AK21" s="1054" t="n"/>
      <c r="AL21" s="1054" t="n"/>
      <c r="AM21" s="1054" t="n"/>
      <c r="AN21" s="1054" t="n"/>
      <c r="AO21" s="1054" t="n"/>
      <c r="AP21" s="1054" t="n"/>
      <c r="AQ21" s="1054" t="n"/>
      <c r="AR21" s="1054" t="n"/>
      <c r="AS21" s="1054" t="n"/>
      <c r="AT21" s="1055" t="n"/>
    </row>
    <row r="22" ht="13.95" customHeight="1">
      <c r="B22" s="1053" t="n"/>
      <c r="C22" s="1054" t="n"/>
      <c r="D22" s="1054" t="n"/>
      <c r="E22" s="1054" t="n"/>
      <c r="F22" s="1054" t="n"/>
      <c r="G22" s="1054" t="n"/>
      <c r="H22" s="1054" t="n"/>
      <c r="I22" s="1054" t="n"/>
      <c r="J22" s="1054" t="n"/>
      <c r="K22" s="1054" t="n"/>
      <c r="L22" s="1054" t="n"/>
      <c r="M22" s="1054" t="n"/>
      <c r="N22" s="1054" t="n"/>
      <c r="O22" s="1054" t="n"/>
      <c r="P22" s="1055" t="n"/>
      <c r="Q22" s="1053" t="n"/>
      <c r="R22" s="1054" t="n"/>
      <c r="S22" s="1054" t="n"/>
      <c r="T22" s="1054" t="n"/>
      <c r="U22" s="1054" t="n"/>
      <c r="V22" s="1054" t="n"/>
      <c r="W22" s="1054" t="n"/>
      <c r="X22" s="1054" t="n"/>
      <c r="Y22" s="1054" t="n"/>
      <c r="Z22" s="1054" t="n"/>
      <c r="AA22" s="1054" t="n"/>
      <c r="AB22" s="1054" t="n"/>
      <c r="AC22" s="1054" t="n"/>
      <c r="AD22" s="1054" t="n"/>
      <c r="AE22" s="1055" t="n"/>
      <c r="AF22" s="1053" t="n"/>
      <c r="AG22" s="1054" t="n"/>
      <c r="AH22" s="1054" t="n"/>
      <c r="AI22" s="1054" t="n"/>
      <c r="AJ22" s="1054" t="n"/>
      <c r="AK22" s="1054" t="n"/>
      <c r="AL22" s="1054" t="n"/>
      <c r="AM22" s="1054" t="n"/>
      <c r="AN22" s="1054" t="n"/>
      <c r="AO22" s="1054" t="n"/>
      <c r="AP22" s="1054" t="n"/>
      <c r="AQ22" s="1054" t="n"/>
      <c r="AR22" s="1054" t="n"/>
      <c r="AS22" s="1054" t="n"/>
      <c r="AT22" s="1055" t="n"/>
    </row>
    <row r="23" ht="13.95" customHeight="1">
      <c r="B23" s="1053" t="n"/>
      <c r="C23" s="1054" t="n"/>
      <c r="D23" s="1054" t="n"/>
      <c r="E23" s="1054" t="n"/>
      <c r="F23" s="1054" t="n"/>
      <c r="G23" s="1054" t="n"/>
      <c r="H23" s="1054" t="n"/>
      <c r="I23" s="1054" t="n"/>
      <c r="J23" s="1054" t="n"/>
      <c r="K23" s="1054" t="n"/>
      <c r="L23" s="1054" t="n"/>
      <c r="M23" s="1054" t="n"/>
      <c r="N23" s="1054" t="n"/>
      <c r="O23" s="1054" t="n"/>
      <c r="P23" s="1055" t="n"/>
      <c r="Q23" s="1053" t="n"/>
      <c r="R23" s="1054" t="n"/>
      <c r="S23" s="1054" t="n"/>
      <c r="T23" s="1054" t="n"/>
      <c r="U23" s="1054" t="n"/>
      <c r="V23" s="1054" t="n"/>
      <c r="W23" s="1054" t="n"/>
      <c r="X23" s="1054" t="n"/>
      <c r="Y23" s="1054" t="n"/>
      <c r="Z23" s="1054" t="n"/>
      <c r="AA23" s="1054" t="n"/>
      <c r="AB23" s="1054" t="n"/>
      <c r="AC23" s="1054" t="n"/>
      <c r="AD23" s="1054" t="n"/>
      <c r="AE23" s="1055" t="n"/>
      <c r="AF23" s="1053" t="n"/>
      <c r="AG23" s="1054" t="n"/>
      <c r="AH23" s="1054" t="n"/>
      <c r="AI23" s="1054" t="n"/>
      <c r="AJ23" s="1054" t="n"/>
      <c r="AK23" s="1054" t="n"/>
      <c r="AL23" s="1054" t="n"/>
      <c r="AM23" s="1054" t="n"/>
      <c r="AN23" s="1054" t="n"/>
      <c r="AO23" s="1054" t="n"/>
      <c r="AP23" s="1054" t="n"/>
      <c r="AQ23" s="1054" t="n"/>
      <c r="AR23" s="1054" t="n"/>
      <c r="AS23" s="1054" t="n"/>
      <c r="AT23" s="1055" t="n"/>
    </row>
    <row r="24" ht="13.95" customHeight="1">
      <c r="B24" s="1056" t="n"/>
      <c r="C24" s="1057" t="n"/>
      <c r="D24" s="1057" t="n"/>
      <c r="E24" s="1057" t="n"/>
      <c r="F24" s="1057" t="n"/>
      <c r="G24" s="1057" t="n"/>
      <c r="H24" s="1057" t="n"/>
      <c r="I24" s="1057" t="n"/>
      <c r="J24" s="1057" t="n"/>
      <c r="K24" s="1057" t="n"/>
      <c r="L24" s="1057" t="n"/>
      <c r="M24" s="1057" t="n"/>
      <c r="N24" s="1057" t="n"/>
      <c r="O24" s="1057" t="n"/>
      <c r="P24" s="1058" t="n"/>
      <c r="Q24" s="1056" t="n"/>
      <c r="R24" s="1057" t="n"/>
      <c r="S24" s="1057" t="n"/>
      <c r="T24" s="1057" t="n"/>
      <c r="U24" s="1057" t="n"/>
      <c r="V24" s="1057" t="n"/>
      <c r="W24" s="1057" t="n"/>
      <c r="X24" s="1057" t="n"/>
      <c r="Y24" s="1057" t="n"/>
      <c r="Z24" s="1057" t="n"/>
      <c r="AA24" s="1057" t="n"/>
      <c r="AB24" s="1057" t="n"/>
      <c r="AC24" s="1057" t="n"/>
      <c r="AD24" s="1057" t="n"/>
      <c r="AE24" s="1058" t="n"/>
      <c r="AF24" s="1056" t="n"/>
      <c r="AG24" s="1057" t="n"/>
      <c r="AH24" s="1057" t="n"/>
      <c r="AI24" s="1057" t="n"/>
      <c r="AJ24" s="1057" t="n"/>
      <c r="AK24" s="1057" t="n"/>
      <c r="AL24" s="1057" t="n"/>
      <c r="AM24" s="1057" t="n"/>
      <c r="AN24" s="1057" t="n"/>
      <c r="AO24" s="1057" t="n"/>
      <c r="AP24" s="1057" t="n"/>
      <c r="AQ24" s="1057" t="n"/>
      <c r="AR24" s="1057" t="n"/>
      <c r="AS24" s="1057" t="n"/>
      <c r="AT24" s="1058" t="n"/>
    </row>
    <row r="25" ht="13.95" customHeight="1">
      <c r="B25" s="1059" t="n"/>
      <c r="C25" s="1060" t="n"/>
      <c r="D25" s="1060" t="n"/>
      <c r="E25" s="1060" t="n"/>
      <c r="F25" s="1060" t="n"/>
      <c r="G25" s="1060" t="n"/>
      <c r="H25" s="1060" t="n"/>
      <c r="I25" s="1060" t="n"/>
      <c r="J25" s="1060" t="n"/>
      <c r="K25" s="1060" t="n"/>
      <c r="L25" s="1060" t="n"/>
      <c r="M25" s="1060" t="n"/>
      <c r="N25" s="1060" t="n"/>
      <c r="O25" s="1060" t="n"/>
      <c r="P25" s="1061" t="n"/>
      <c r="Q25" s="1059" t="n"/>
      <c r="R25" s="1060" t="n"/>
      <c r="S25" s="1060" t="n"/>
      <c r="T25" s="1060" t="n"/>
      <c r="U25" s="1060" t="n"/>
      <c r="V25" s="1060" t="n"/>
      <c r="W25" s="1060" t="n"/>
      <c r="X25" s="1060" t="n"/>
      <c r="Y25" s="1060" t="n"/>
      <c r="Z25" s="1060" t="n"/>
      <c r="AA25" s="1060" t="n"/>
      <c r="AB25" s="1060" t="n"/>
      <c r="AC25" s="1060" t="n"/>
      <c r="AD25" s="1060" t="n"/>
      <c r="AE25" s="1061" t="n"/>
      <c r="AF25" s="1059" t="n"/>
      <c r="AG25" s="1060" t="n"/>
      <c r="AH25" s="1060" t="n"/>
      <c r="AI25" s="1060" t="n"/>
      <c r="AJ25" s="1060" t="n"/>
      <c r="AK25" s="1060" t="n"/>
      <c r="AL25" s="1060" t="n"/>
      <c r="AM25" s="1060" t="n"/>
      <c r="AN25" s="1060" t="n"/>
      <c r="AO25" s="1060" t="n"/>
      <c r="AP25" s="1060" t="n"/>
      <c r="AQ25" s="1060" t="n"/>
      <c r="AR25" s="1060" t="n"/>
      <c r="AS25" s="1060" t="n"/>
      <c r="AT25" s="1061" t="n"/>
    </row>
    <row r="26" ht="13.95" customHeight="1">
      <c r="B26" s="1050" t="n"/>
      <c r="C26" s="1051" t="n"/>
      <c r="D26" s="1051" t="n"/>
      <c r="E26" s="1051" t="n"/>
      <c r="F26" s="1051" t="n"/>
      <c r="G26" s="1051" t="n"/>
      <c r="H26" s="1051" t="n"/>
      <c r="I26" s="1051" t="n"/>
      <c r="J26" s="1051" t="n"/>
      <c r="K26" s="1051" t="n"/>
      <c r="L26" s="1051" t="n"/>
      <c r="M26" s="1051" t="n"/>
      <c r="N26" s="1051" t="n"/>
      <c r="O26" s="1051" t="n"/>
      <c r="P26" s="1052" t="n"/>
      <c r="Q26" s="1050" t="n"/>
      <c r="R26" s="1051" t="n"/>
      <c r="S26" s="1051" t="n"/>
      <c r="T26" s="1051" t="n"/>
      <c r="U26" s="1051" t="n"/>
      <c r="V26" s="1051" t="n"/>
      <c r="W26" s="1051" t="n"/>
      <c r="X26" s="1051" t="n"/>
      <c r="Y26" s="1051" t="n"/>
      <c r="Z26" s="1051" t="n"/>
      <c r="AA26" s="1051" t="n"/>
      <c r="AB26" s="1051" t="n"/>
      <c r="AC26" s="1051" t="n"/>
      <c r="AD26" s="1051" t="n"/>
      <c r="AE26" s="1052" t="n"/>
      <c r="AF26" s="1050" t="n"/>
      <c r="AG26" s="1051" t="n"/>
      <c r="AH26" s="1051" t="n"/>
      <c r="AI26" s="1051" t="n"/>
      <c r="AJ26" s="1051" t="n"/>
      <c r="AK26" s="1051" t="n"/>
      <c r="AL26" s="1051" t="n"/>
      <c r="AM26" s="1051" t="n"/>
      <c r="AN26" s="1051" t="n"/>
      <c r="AO26" s="1051" t="n"/>
      <c r="AP26" s="1051" t="n"/>
      <c r="AQ26" s="1051" t="n"/>
      <c r="AR26" s="1051" t="n"/>
      <c r="AS26" s="1051" t="n"/>
      <c r="AT26" s="1052" t="n"/>
    </row>
    <row r="27" ht="13.95" customHeight="1">
      <c r="B27" s="1053" t="n"/>
      <c r="C27" s="1054" t="n"/>
      <c r="D27" s="1054" t="n"/>
      <c r="E27" s="1054" t="n"/>
      <c r="F27" s="1054" t="n"/>
      <c r="G27" s="1054" t="n"/>
      <c r="H27" s="1054" t="n"/>
      <c r="I27" s="1054" t="n"/>
      <c r="J27" s="1054" t="n"/>
      <c r="K27" s="1054" t="n"/>
      <c r="L27" s="1054" t="n"/>
      <c r="M27" s="1054" t="n"/>
      <c r="N27" s="1054" t="n"/>
      <c r="O27" s="1054" t="n"/>
      <c r="P27" s="1055" t="n"/>
      <c r="Q27" s="1053" t="n"/>
      <c r="R27" s="1054" t="n"/>
      <c r="S27" s="1054" t="n"/>
      <c r="T27" s="1054" t="n"/>
      <c r="U27" s="1054" t="n"/>
      <c r="V27" s="1054" t="n"/>
      <c r="W27" s="1054" t="n"/>
      <c r="X27" s="1054" t="n"/>
      <c r="Y27" s="1054" t="n"/>
      <c r="Z27" s="1054" t="n"/>
      <c r="AA27" s="1054" t="n"/>
      <c r="AB27" s="1054" t="n"/>
      <c r="AC27" s="1054" t="n"/>
      <c r="AD27" s="1054" t="n"/>
      <c r="AE27" s="1055" t="n"/>
      <c r="AF27" s="1053" t="n"/>
      <c r="AG27" s="1054" t="n"/>
      <c r="AH27" s="1054" t="n"/>
      <c r="AI27" s="1054" t="n"/>
      <c r="AJ27" s="1054" t="n"/>
      <c r="AK27" s="1054" t="n"/>
      <c r="AL27" s="1054" t="n"/>
      <c r="AM27" s="1054" t="n"/>
      <c r="AN27" s="1054" t="n"/>
      <c r="AO27" s="1054" t="n"/>
      <c r="AP27" s="1054" t="n"/>
      <c r="AQ27" s="1054" t="n"/>
      <c r="AR27" s="1054" t="n"/>
      <c r="AS27" s="1054" t="n"/>
      <c r="AT27" s="1055" t="n"/>
    </row>
    <row r="28" ht="13.95" customHeight="1">
      <c r="B28" s="1053" t="n"/>
      <c r="C28" s="1054" t="n"/>
      <c r="D28" s="1054" t="n"/>
      <c r="E28" s="1054" t="n"/>
      <c r="F28" s="1054" t="n"/>
      <c r="G28" s="1054" t="n"/>
      <c r="H28" s="1054" t="n"/>
      <c r="I28" s="1054" t="n"/>
      <c r="J28" s="1054" t="n"/>
      <c r="K28" s="1054" t="n"/>
      <c r="L28" s="1054" t="n"/>
      <c r="M28" s="1054" t="n"/>
      <c r="N28" s="1054" t="n"/>
      <c r="O28" s="1054" t="n"/>
      <c r="P28" s="1055" t="n"/>
      <c r="Q28" s="1053" t="n"/>
      <c r="R28" s="1054" t="n"/>
      <c r="S28" s="1054" t="n"/>
      <c r="T28" s="1054" t="n"/>
      <c r="U28" s="1054" t="n"/>
      <c r="V28" s="1054" t="n"/>
      <c r="W28" s="1054" t="n"/>
      <c r="X28" s="1054" t="n"/>
      <c r="Y28" s="1054" t="n"/>
      <c r="Z28" s="1054" t="n"/>
      <c r="AA28" s="1054" t="n"/>
      <c r="AB28" s="1054" t="n"/>
      <c r="AC28" s="1054" t="n"/>
      <c r="AD28" s="1054" t="n"/>
      <c r="AE28" s="1055" t="n"/>
      <c r="AF28" s="1053" t="n"/>
      <c r="AG28" s="1054" t="n"/>
      <c r="AH28" s="1054" t="n"/>
      <c r="AI28" s="1054" t="n"/>
      <c r="AJ28" s="1054" t="n"/>
      <c r="AK28" s="1054" t="n"/>
      <c r="AL28" s="1054" t="n"/>
      <c r="AM28" s="1054" t="n"/>
      <c r="AN28" s="1054" t="n"/>
      <c r="AO28" s="1054" t="n"/>
      <c r="AP28" s="1054" t="n"/>
      <c r="AQ28" s="1054" t="n"/>
      <c r="AR28" s="1054" t="n"/>
      <c r="AS28" s="1054" t="n"/>
      <c r="AT28" s="1055" t="n"/>
    </row>
    <row r="29" ht="13.95" customHeight="1">
      <c r="B29" s="1053" t="n"/>
      <c r="C29" s="1054" t="n"/>
      <c r="D29" s="1054" t="n"/>
      <c r="E29" s="1054" t="n"/>
      <c r="F29" s="1054" t="n"/>
      <c r="G29" s="1054" t="n"/>
      <c r="H29" s="1054" t="n"/>
      <c r="I29" s="1054" t="n"/>
      <c r="J29" s="1054" t="n"/>
      <c r="K29" s="1054" t="n"/>
      <c r="L29" s="1054" t="n"/>
      <c r="M29" s="1054" t="n"/>
      <c r="N29" s="1054" t="n"/>
      <c r="O29" s="1054" t="n"/>
      <c r="P29" s="1055" t="n"/>
      <c r="Q29" s="1053" t="n"/>
      <c r="R29" s="1054" t="n"/>
      <c r="S29" s="1054" t="n"/>
      <c r="T29" s="1054" t="n"/>
      <c r="U29" s="1054" t="n"/>
      <c r="V29" s="1054" t="n"/>
      <c r="W29" s="1054" t="n"/>
      <c r="X29" s="1054" t="n"/>
      <c r="Y29" s="1054" t="n"/>
      <c r="Z29" s="1054" t="n"/>
      <c r="AA29" s="1054" t="n"/>
      <c r="AB29" s="1054" t="n"/>
      <c r="AC29" s="1054" t="n"/>
      <c r="AD29" s="1054" t="n"/>
      <c r="AE29" s="1055" t="n"/>
      <c r="AF29" s="1053" t="n"/>
      <c r="AG29" s="1054" t="n"/>
      <c r="AH29" s="1054" t="n"/>
      <c r="AI29" s="1054" t="n"/>
      <c r="AJ29" s="1054" t="n"/>
      <c r="AK29" s="1054" t="n"/>
      <c r="AL29" s="1054" t="n"/>
      <c r="AM29" s="1054" t="n"/>
      <c r="AN29" s="1054" t="n"/>
      <c r="AO29" s="1054" t="n"/>
      <c r="AP29" s="1054" t="n"/>
      <c r="AQ29" s="1054" t="n"/>
      <c r="AR29" s="1054" t="n"/>
      <c r="AS29" s="1054" t="n"/>
      <c r="AT29" s="1055" t="n"/>
    </row>
    <row r="30" ht="13.95" customHeight="1">
      <c r="B30" s="1053" t="n"/>
      <c r="C30" s="1054" t="n"/>
      <c r="D30" s="1054" t="n"/>
      <c r="E30" s="1054" t="n"/>
      <c r="F30" s="1054" t="n"/>
      <c r="G30" s="1054" t="n"/>
      <c r="H30" s="1054" t="n"/>
      <c r="I30" s="1054" t="n"/>
      <c r="J30" s="1054" t="n"/>
      <c r="K30" s="1054" t="n"/>
      <c r="L30" s="1054" t="n"/>
      <c r="M30" s="1054" t="n"/>
      <c r="N30" s="1054" t="n"/>
      <c r="O30" s="1054" t="n"/>
      <c r="P30" s="1055" t="n"/>
      <c r="Q30" s="1053" t="n"/>
      <c r="R30" s="1054" t="n"/>
      <c r="S30" s="1054" t="n"/>
      <c r="T30" s="1054" t="n"/>
      <c r="U30" s="1054" t="n"/>
      <c r="V30" s="1054" t="n"/>
      <c r="W30" s="1054" t="n"/>
      <c r="X30" s="1054" t="n"/>
      <c r="Y30" s="1054" t="n"/>
      <c r="Z30" s="1054" t="n"/>
      <c r="AA30" s="1054" t="n"/>
      <c r="AB30" s="1054" t="n"/>
      <c r="AC30" s="1054" t="n"/>
      <c r="AD30" s="1054" t="n"/>
      <c r="AE30" s="1055" t="n"/>
      <c r="AF30" s="1053" t="n"/>
      <c r="AG30" s="1054" t="n"/>
      <c r="AH30" s="1054" t="n"/>
      <c r="AI30" s="1054" t="n"/>
      <c r="AJ30" s="1054" t="n"/>
      <c r="AK30" s="1054" t="n"/>
      <c r="AL30" s="1054" t="n"/>
      <c r="AM30" s="1054" t="n"/>
      <c r="AN30" s="1054" t="n"/>
      <c r="AO30" s="1054" t="n"/>
      <c r="AP30" s="1054" t="n"/>
      <c r="AQ30" s="1054" t="n"/>
      <c r="AR30" s="1054" t="n"/>
      <c r="AS30" s="1054" t="n"/>
      <c r="AT30" s="1055" t="n"/>
    </row>
    <row r="31" ht="13.95" customHeight="1">
      <c r="B31" s="1053" t="n"/>
      <c r="C31" s="1054" t="n"/>
      <c r="D31" s="1054" t="n"/>
      <c r="E31" s="1054" t="n"/>
      <c r="F31" s="1054" t="n"/>
      <c r="G31" s="1054" t="n"/>
      <c r="H31" s="1054" t="n"/>
      <c r="I31" s="1054" t="n"/>
      <c r="J31" s="1054" t="n"/>
      <c r="K31" s="1054" t="n"/>
      <c r="L31" s="1054" t="n"/>
      <c r="M31" s="1054" t="n"/>
      <c r="N31" s="1054" t="n"/>
      <c r="O31" s="1054" t="n"/>
      <c r="P31" s="1055" t="n"/>
      <c r="Q31" s="1053" t="n"/>
      <c r="R31" s="1054" t="n"/>
      <c r="S31" s="1054" t="n"/>
      <c r="T31" s="1054" t="n"/>
      <c r="U31" s="1054" t="n"/>
      <c r="V31" s="1054" t="n"/>
      <c r="W31" s="1054" t="n"/>
      <c r="X31" s="1054" t="n"/>
      <c r="Y31" s="1054" t="n"/>
      <c r="Z31" s="1054" t="n"/>
      <c r="AA31" s="1054" t="n"/>
      <c r="AB31" s="1054" t="n"/>
      <c r="AC31" s="1054" t="n"/>
      <c r="AD31" s="1054" t="n"/>
      <c r="AE31" s="1055" t="n"/>
      <c r="AF31" s="1053" t="n"/>
      <c r="AG31" s="1054" t="n"/>
      <c r="AH31" s="1054" t="n"/>
      <c r="AI31" s="1054" t="n"/>
      <c r="AJ31" s="1054" t="n"/>
      <c r="AK31" s="1054" t="n"/>
      <c r="AL31" s="1054" t="n"/>
      <c r="AM31" s="1054" t="n"/>
      <c r="AN31" s="1054" t="n"/>
      <c r="AO31" s="1054" t="n"/>
      <c r="AP31" s="1054" t="n"/>
      <c r="AQ31" s="1054" t="n"/>
      <c r="AR31" s="1054" t="n"/>
      <c r="AS31" s="1054" t="n"/>
      <c r="AT31" s="1055" t="n"/>
    </row>
    <row r="32" ht="13.95" customHeight="1">
      <c r="B32" s="1053" t="n"/>
      <c r="C32" s="1054" t="n"/>
      <c r="D32" s="1054" t="n"/>
      <c r="E32" s="1054" t="n"/>
      <c r="F32" s="1054" t="n"/>
      <c r="G32" s="1054" t="n"/>
      <c r="H32" s="1054" t="n"/>
      <c r="I32" s="1054" t="n"/>
      <c r="J32" s="1054" t="n"/>
      <c r="K32" s="1054" t="n"/>
      <c r="L32" s="1054" t="n"/>
      <c r="M32" s="1054" t="n"/>
      <c r="N32" s="1054" t="n"/>
      <c r="O32" s="1054" t="n"/>
      <c r="P32" s="1055" t="n"/>
      <c r="Q32" s="1053" t="n"/>
      <c r="R32" s="1054" t="n"/>
      <c r="S32" s="1054" t="n"/>
      <c r="T32" s="1054" t="n"/>
      <c r="U32" s="1054" t="n"/>
      <c r="V32" s="1054" t="n"/>
      <c r="W32" s="1054" t="n"/>
      <c r="X32" s="1054" t="n"/>
      <c r="Y32" s="1054" t="n"/>
      <c r="Z32" s="1054" t="n"/>
      <c r="AA32" s="1054" t="n"/>
      <c r="AB32" s="1054" t="n"/>
      <c r="AC32" s="1054" t="n"/>
      <c r="AD32" s="1054" t="n"/>
      <c r="AE32" s="1055" t="n"/>
      <c r="AF32" s="1053" t="n"/>
      <c r="AG32" s="1054" t="n"/>
      <c r="AH32" s="1054" t="n"/>
      <c r="AI32" s="1054" t="n"/>
      <c r="AJ32" s="1054" t="n"/>
      <c r="AK32" s="1054" t="n"/>
      <c r="AL32" s="1054" t="n"/>
      <c r="AM32" s="1054" t="n"/>
      <c r="AN32" s="1054" t="n"/>
      <c r="AO32" s="1054" t="n"/>
      <c r="AP32" s="1054" t="n"/>
      <c r="AQ32" s="1054" t="n"/>
      <c r="AR32" s="1054" t="n"/>
      <c r="AS32" s="1054" t="n"/>
      <c r="AT32" s="1055" t="n"/>
    </row>
    <row r="33" ht="13.95" customHeight="1">
      <c r="B33" s="1053" t="n"/>
      <c r="C33" s="1054" t="n"/>
      <c r="D33" s="1054" t="n"/>
      <c r="E33" s="1054" t="n"/>
      <c r="F33" s="1054" t="n"/>
      <c r="G33" s="1054" t="n"/>
      <c r="H33" s="1054" t="n"/>
      <c r="I33" s="1054" t="n"/>
      <c r="J33" s="1054" t="n"/>
      <c r="K33" s="1054" t="n"/>
      <c r="L33" s="1054" t="n"/>
      <c r="M33" s="1054" t="n"/>
      <c r="N33" s="1054" t="n"/>
      <c r="O33" s="1054" t="n"/>
      <c r="P33" s="1055" t="n"/>
      <c r="Q33" s="1053" t="n"/>
      <c r="R33" s="1054" t="n"/>
      <c r="S33" s="1054" t="n"/>
      <c r="T33" s="1054" t="n"/>
      <c r="U33" s="1054" t="n"/>
      <c r="V33" s="1054" t="n"/>
      <c r="W33" s="1054" t="n"/>
      <c r="X33" s="1054" t="n"/>
      <c r="Y33" s="1054" t="n"/>
      <c r="Z33" s="1054" t="n"/>
      <c r="AA33" s="1054" t="n"/>
      <c r="AB33" s="1054" t="n"/>
      <c r="AC33" s="1054" t="n"/>
      <c r="AD33" s="1054" t="n"/>
      <c r="AE33" s="1055" t="n"/>
      <c r="AF33" s="1053" t="n"/>
      <c r="AG33" s="1054" t="n"/>
      <c r="AH33" s="1054" t="n"/>
      <c r="AI33" s="1054" t="n"/>
      <c r="AJ33" s="1054" t="n"/>
      <c r="AK33" s="1054" t="n"/>
      <c r="AL33" s="1054" t="n"/>
      <c r="AM33" s="1054" t="n"/>
      <c r="AN33" s="1054" t="n"/>
      <c r="AO33" s="1054" t="n"/>
      <c r="AP33" s="1054" t="n"/>
      <c r="AQ33" s="1054" t="n"/>
      <c r="AR33" s="1054" t="n"/>
      <c r="AS33" s="1054" t="n"/>
      <c r="AT33" s="1055" t="n"/>
    </row>
    <row r="34" ht="13.95" customHeight="1">
      <c r="B34" s="1053" t="n"/>
      <c r="C34" s="1054" t="n"/>
      <c r="D34" s="1054" t="n"/>
      <c r="E34" s="1054" t="n"/>
      <c r="F34" s="1054" t="n"/>
      <c r="G34" s="1054" t="n"/>
      <c r="H34" s="1054" t="n"/>
      <c r="I34" s="1054" t="n"/>
      <c r="J34" s="1054" t="n"/>
      <c r="K34" s="1054" t="n"/>
      <c r="L34" s="1054" t="n"/>
      <c r="M34" s="1054" t="n"/>
      <c r="N34" s="1054" t="n"/>
      <c r="O34" s="1054" t="n"/>
      <c r="P34" s="1055" t="n"/>
      <c r="Q34" s="1053" t="n"/>
      <c r="R34" s="1054" t="n"/>
      <c r="S34" s="1054" t="n"/>
      <c r="T34" s="1054" t="n"/>
      <c r="U34" s="1054" t="n"/>
      <c r="V34" s="1054" t="n"/>
      <c r="W34" s="1054" t="n"/>
      <c r="X34" s="1054" t="n"/>
      <c r="Y34" s="1054" t="n"/>
      <c r="Z34" s="1054" t="n"/>
      <c r="AA34" s="1054" t="n"/>
      <c r="AB34" s="1054" t="n"/>
      <c r="AC34" s="1054" t="n"/>
      <c r="AD34" s="1054" t="n"/>
      <c r="AE34" s="1055" t="n"/>
      <c r="AF34" s="1053" t="n"/>
      <c r="AG34" s="1054" t="n"/>
      <c r="AH34" s="1054" t="n"/>
      <c r="AI34" s="1054" t="n"/>
      <c r="AJ34" s="1054" t="n"/>
      <c r="AK34" s="1054" t="n"/>
      <c r="AL34" s="1054" t="n"/>
      <c r="AM34" s="1054" t="n"/>
      <c r="AN34" s="1054" t="n"/>
      <c r="AO34" s="1054" t="n"/>
      <c r="AP34" s="1054" t="n"/>
      <c r="AQ34" s="1054" t="n"/>
      <c r="AR34" s="1054" t="n"/>
      <c r="AS34" s="1054" t="n"/>
      <c r="AT34" s="1055" t="n"/>
    </row>
    <row r="35" ht="13.95" customHeight="1">
      <c r="B35" s="1056" t="n"/>
      <c r="C35" s="1057" t="n"/>
      <c r="D35" s="1057" t="n"/>
      <c r="E35" s="1057" t="n"/>
      <c r="F35" s="1057" t="n"/>
      <c r="G35" s="1057" t="n"/>
      <c r="H35" s="1057" t="n"/>
      <c r="I35" s="1057" t="n"/>
      <c r="J35" s="1057" t="n"/>
      <c r="K35" s="1057" t="n"/>
      <c r="L35" s="1057" t="n"/>
      <c r="M35" s="1057" t="n"/>
      <c r="N35" s="1057" t="n"/>
      <c r="O35" s="1057" t="n"/>
      <c r="P35" s="1058" t="n"/>
      <c r="Q35" s="1056" t="n"/>
      <c r="R35" s="1057" t="n"/>
      <c r="S35" s="1057" t="n"/>
      <c r="T35" s="1057" t="n"/>
      <c r="U35" s="1057" t="n"/>
      <c r="V35" s="1057" t="n"/>
      <c r="W35" s="1057" t="n"/>
      <c r="X35" s="1057" t="n"/>
      <c r="Y35" s="1057" t="n"/>
      <c r="Z35" s="1057" t="n"/>
      <c r="AA35" s="1057" t="n"/>
      <c r="AB35" s="1057" t="n"/>
      <c r="AC35" s="1057" t="n"/>
      <c r="AD35" s="1057" t="n"/>
      <c r="AE35" s="1058" t="n"/>
      <c r="AF35" s="1056" t="n"/>
      <c r="AG35" s="1057" t="n"/>
      <c r="AH35" s="1057" t="n"/>
      <c r="AI35" s="1057" t="n"/>
      <c r="AJ35" s="1057" t="n"/>
      <c r="AK35" s="1057" t="n"/>
      <c r="AL35" s="1057" t="n"/>
      <c r="AM35" s="1057" t="n"/>
      <c r="AN35" s="1057" t="n"/>
      <c r="AO35" s="1057" t="n"/>
      <c r="AP35" s="1057" t="n"/>
      <c r="AQ35" s="1057" t="n"/>
      <c r="AR35" s="1057" t="n"/>
      <c r="AS35" s="1057" t="n"/>
      <c r="AT35" s="1058" t="n"/>
    </row>
    <row r="36" ht="13.95" customHeight="1">
      <c r="B36" s="1059" t="n"/>
      <c r="C36" s="1060" t="n"/>
      <c r="D36" s="1060" t="n"/>
      <c r="E36" s="1060" t="n"/>
      <c r="F36" s="1060" t="n"/>
      <c r="G36" s="1060" t="n"/>
      <c r="H36" s="1060" t="n"/>
      <c r="I36" s="1060" t="n"/>
      <c r="J36" s="1060" t="n"/>
      <c r="K36" s="1060" t="n"/>
      <c r="L36" s="1060" t="n"/>
      <c r="M36" s="1060" t="n"/>
      <c r="N36" s="1060" t="n"/>
      <c r="O36" s="1060" t="n"/>
      <c r="P36" s="1061" t="n"/>
      <c r="Q36" s="1059" t="n"/>
      <c r="R36" s="1060" t="n"/>
      <c r="S36" s="1060" t="n"/>
      <c r="T36" s="1060" t="n"/>
      <c r="U36" s="1060" t="n"/>
      <c r="V36" s="1060" t="n"/>
      <c r="W36" s="1060" t="n"/>
      <c r="X36" s="1060" t="n"/>
      <c r="Y36" s="1060" t="n"/>
      <c r="Z36" s="1060" t="n"/>
      <c r="AA36" s="1060" t="n"/>
      <c r="AB36" s="1060" t="n"/>
      <c r="AC36" s="1060" t="n"/>
      <c r="AD36" s="1060" t="n"/>
      <c r="AE36" s="1061" t="n"/>
      <c r="AF36" s="1059" t="n"/>
      <c r="AG36" s="1060" t="n"/>
      <c r="AH36" s="1060" t="n"/>
      <c r="AI36" s="1060" t="n"/>
      <c r="AJ36" s="1060" t="n"/>
      <c r="AK36" s="1060" t="n"/>
      <c r="AL36" s="1060" t="n"/>
      <c r="AM36" s="1060" t="n"/>
      <c r="AN36" s="1060" t="n"/>
      <c r="AO36" s="1060" t="n"/>
      <c r="AP36" s="1060" t="n"/>
      <c r="AQ36" s="1060" t="n"/>
      <c r="AR36" s="1060" t="n"/>
      <c r="AS36" s="1060" t="n"/>
      <c r="AT36" s="1061" t="n"/>
    </row>
    <row r="37" ht="13.95" customHeight="1">
      <c r="B37" s="1050" t="n"/>
      <c r="C37" s="1051" t="n"/>
      <c r="D37" s="1051" t="n"/>
      <c r="E37" s="1051" t="n"/>
      <c r="F37" s="1051" t="n"/>
      <c r="G37" s="1051" t="n"/>
      <c r="H37" s="1051" t="n"/>
      <c r="I37" s="1051" t="n"/>
      <c r="J37" s="1051" t="n"/>
      <c r="K37" s="1051" t="n"/>
      <c r="L37" s="1051" t="n"/>
      <c r="M37" s="1051" t="n"/>
      <c r="N37" s="1051" t="n"/>
      <c r="O37" s="1051" t="n"/>
      <c r="P37" s="1052" t="n"/>
      <c r="Q37" s="1050" t="n"/>
      <c r="R37" s="1051" t="n"/>
      <c r="S37" s="1051" t="n"/>
      <c r="T37" s="1051" t="n"/>
      <c r="U37" s="1051" t="n"/>
      <c r="V37" s="1051" t="n"/>
      <c r="W37" s="1051" t="n"/>
      <c r="X37" s="1051" t="n"/>
      <c r="Y37" s="1051" t="n"/>
      <c r="Z37" s="1051" t="n"/>
      <c r="AA37" s="1051" t="n"/>
      <c r="AB37" s="1051" t="n"/>
      <c r="AC37" s="1051" t="n"/>
      <c r="AD37" s="1051" t="n"/>
      <c r="AE37" s="1052" t="n"/>
      <c r="AF37" s="1050" t="n"/>
      <c r="AG37" s="1051" t="n"/>
      <c r="AH37" s="1051" t="n"/>
      <c r="AI37" s="1051" t="n"/>
      <c r="AJ37" s="1051" t="n"/>
      <c r="AK37" s="1051" t="n"/>
      <c r="AL37" s="1051" t="n"/>
      <c r="AM37" s="1051" t="n"/>
      <c r="AN37" s="1051" t="n"/>
      <c r="AO37" s="1051" t="n"/>
      <c r="AP37" s="1051" t="n"/>
      <c r="AQ37" s="1051" t="n"/>
      <c r="AR37" s="1051" t="n"/>
      <c r="AS37" s="1051" t="n"/>
      <c r="AT37" s="1052" t="n"/>
    </row>
    <row r="38" ht="13.95" customHeight="1">
      <c r="B38" s="1053" t="n"/>
      <c r="C38" s="1054" t="n"/>
      <c r="D38" s="1054" t="n"/>
      <c r="E38" s="1054" t="n"/>
      <c r="F38" s="1054" t="n"/>
      <c r="G38" s="1054" t="n"/>
      <c r="H38" s="1054" t="n"/>
      <c r="I38" s="1054" t="n"/>
      <c r="J38" s="1054" t="n"/>
      <c r="K38" s="1054" t="n"/>
      <c r="L38" s="1054" t="n"/>
      <c r="M38" s="1054" t="n"/>
      <c r="N38" s="1054" t="n"/>
      <c r="O38" s="1054" t="n"/>
      <c r="P38" s="1055" t="n"/>
      <c r="Q38" s="1053" t="n"/>
      <c r="R38" s="1054" t="n"/>
      <c r="S38" s="1054" t="n"/>
      <c r="T38" s="1054" t="n"/>
      <c r="U38" s="1054" t="n"/>
      <c r="V38" s="1054" t="n"/>
      <c r="W38" s="1054" t="n"/>
      <c r="X38" s="1054" t="n"/>
      <c r="Y38" s="1054" t="n"/>
      <c r="Z38" s="1054" t="n"/>
      <c r="AA38" s="1054" t="n"/>
      <c r="AB38" s="1054" t="n"/>
      <c r="AC38" s="1054" t="n"/>
      <c r="AD38" s="1054" t="n"/>
      <c r="AE38" s="1055" t="n"/>
      <c r="AF38" s="1053" t="n"/>
      <c r="AG38" s="1054" t="n"/>
      <c r="AH38" s="1054" t="n"/>
      <c r="AI38" s="1054" t="n"/>
      <c r="AJ38" s="1054" t="n"/>
      <c r="AK38" s="1054" t="n"/>
      <c r="AL38" s="1054" t="n"/>
      <c r="AM38" s="1054" t="n"/>
      <c r="AN38" s="1054" t="n"/>
      <c r="AO38" s="1054" t="n"/>
      <c r="AP38" s="1054" t="n"/>
      <c r="AQ38" s="1054" t="n"/>
      <c r="AR38" s="1054" t="n"/>
      <c r="AS38" s="1054" t="n"/>
      <c r="AT38" s="1055" t="n"/>
    </row>
    <row r="39" ht="13.95" customHeight="1">
      <c r="B39" s="1053" t="n"/>
      <c r="C39" s="1054" t="n"/>
      <c r="D39" s="1054" t="n"/>
      <c r="E39" s="1054" t="n"/>
      <c r="F39" s="1054" t="n"/>
      <c r="G39" s="1054" t="n"/>
      <c r="H39" s="1054" t="n"/>
      <c r="I39" s="1054" t="n"/>
      <c r="J39" s="1054" t="n"/>
      <c r="K39" s="1054" t="n"/>
      <c r="L39" s="1054" t="n"/>
      <c r="M39" s="1054" t="n"/>
      <c r="N39" s="1054" t="n"/>
      <c r="O39" s="1054" t="n"/>
      <c r="P39" s="1055" t="n"/>
      <c r="Q39" s="1053" t="n"/>
      <c r="R39" s="1054" t="n"/>
      <c r="S39" s="1054" t="n"/>
      <c r="T39" s="1054" t="n"/>
      <c r="U39" s="1054" t="n"/>
      <c r="V39" s="1054" t="n"/>
      <c r="W39" s="1054" t="n"/>
      <c r="X39" s="1054" t="n"/>
      <c r="Y39" s="1054" t="n"/>
      <c r="Z39" s="1054" t="n"/>
      <c r="AA39" s="1054" t="n"/>
      <c r="AB39" s="1054" t="n"/>
      <c r="AC39" s="1054" t="n"/>
      <c r="AD39" s="1054" t="n"/>
      <c r="AE39" s="1055" t="n"/>
      <c r="AF39" s="1053" t="n"/>
      <c r="AG39" s="1054" t="n"/>
      <c r="AH39" s="1054" t="n"/>
      <c r="AI39" s="1054" t="n"/>
      <c r="AJ39" s="1054" t="n"/>
      <c r="AK39" s="1054" t="n"/>
      <c r="AL39" s="1054" t="n"/>
      <c r="AM39" s="1054" t="n"/>
      <c r="AN39" s="1054" t="n"/>
      <c r="AO39" s="1054" t="n"/>
      <c r="AP39" s="1054" t="n"/>
      <c r="AQ39" s="1054" t="n"/>
      <c r="AR39" s="1054" t="n"/>
      <c r="AS39" s="1054" t="n"/>
      <c r="AT39" s="1055" t="n"/>
    </row>
    <row r="40" ht="13.95" customHeight="1">
      <c r="B40" s="1053" t="n"/>
      <c r="C40" s="1054" t="n"/>
      <c r="D40" s="1054" t="n"/>
      <c r="E40" s="1054" t="n"/>
      <c r="F40" s="1054" t="n"/>
      <c r="G40" s="1054" t="n"/>
      <c r="H40" s="1054" t="n"/>
      <c r="I40" s="1054" t="n"/>
      <c r="J40" s="1054" t="n"/>
      <c r="K40" s="1054" t="n"/>
      <c r="L40" s="1054" t="n"/>
      <c r="M40" s="1054" t="n"/>
      <c r="N40" s="1054" t="n"/>
      <c r="O40" s="1054" t="n"/>
      <c r="P40" s="1055" t="n"/>
      <c r="Q40" s="1053" t="n"/>
      <c r="R40" s="1054" t="n"/>
      <c r="S40" s="1054" t="n"/>
      <c r="T40" s="1054" t="n"/>
      <c r="U40" s="1054" t="n"/>
      <c r="V40" s="1054" t="n"/>
      <c r="W40" s="1054" t="n"/>
      <c r="X40" s="1054" t="n"/>
      <c r="Y40" s="1054" t="n"/>
      <c r="Z40" s="1054" t="n"/>
      <c r="AA40" s="1054" t="n"/>
      <c r="AB40" s="1054" t="n"/>
      <c r="AC40" s="1054" t="n"/>
      <c r="AD40" s="1054" t="n"/>
      <c r="AE40" s="1055" t="n"/>
      <c r="AF40" s="1053" t="n"/>
      <c r="AG40" s="1054" t="n"/>
      <c r="AH40" s="1054" t="n"/>
      <c r="AI40" s="1054" t="n"/>
      <c r="AJ40" s="1054" t="n"/>
      <c r="AK40" s="1054" t="n"/>
      <c r="AL40" s="1054" t="n"/>
      <c r="AM40" s="1054" t="n"/>
      <c r="AN40" s="1054" t="n"/>
      <c r="AO40" s="1054" t="n"/>
      <c r="AP40" s="1054" t="n"/>
      <c r="AQ40" s="1054" t="n"/>
      <c r="AR40" s="1054" t="n"/>
      <c r="AS40" s="1054" t="n"/>
      <c r="AT40" s="1055" t="n"/>
    </row>
    <row r="41" ht="13.95" customHeight="1">
      <c r="B41" s="1053" t="n"/>
      <c r="C41" s="1054" t="n"/>
      <c r="D41" s="1054" t="n"/>
      <c r="E41" s="1054" t="n"/>
      <c r="F41" s="1054" t="n"/>
      <c r="G41" s="1054" t="n"/>
      <c r="H41" s="1054" t="n"/>
      <c r="I41" s="1054" t="n"/>
      <c r="J41" s="1054" t="n"/>
      <c r="K41" s="1054" t="n"/>
      <c r="L41" s="1054" t="n"/>
      <c r="M41" s="1054" t="n"/>
      <c r="N41" s="1054" t="n"/>
      <c r="O41" s="1054" t="n"/>
      <c r="P41" s="1055" t="n"/>
      <c r="Q41" s="1053" t="n"/>
      <c r="R41" s="1054" t="n"/>
      <c r="S41" s="1054" t="n"/>
      <c r="T41" s="1054" t="n"/>
      <c r="U41" s="1054" t="n"/>
      <c r="V41" s="1054" t="n"/>
      <c r="W41" s="1054" t="n"/>
      <c r="X41" s="1054" t="n"/>
      <c r="Y41" s="1054" t="n"/>
      <c r="Z41" s="1054" t="n"/>
      <c r="AA41" s="1054" t="n"/>
      <c r="AB41" s="1054" t="n"/>
      <c r="AC41" s="1054" t="n"/>
      <c r="AD41" s="1054" t="n"/>
      <c r="AE41" s="1055" t="n"/>
      <c r="AF41" s="1053" t="n"/>
      <c r="AG41" s="1054" t="n"/>
      <c r="AH41" s="1054" t="n"/>
      <c r="AI41" s="1054" t="n"/>
      <c r="AJ41" s="1054" t="n"/>
      <c r="AK41" s="1054" t="n"/>
      <c r="AL41" s="1054" t="n"/>
      <c r="AM41" s="1054" t="n"/>
      <c r="AN41" s="1054" t="n"/>
      <c r="AO41" s="1054" t="n"/>
      <c r="AP41" s="1054" t="n"/>
      <c r="AQ41" s="1054" t="n"/>
      <c r="AR41" s="1054" t="n"/>
      <c r="AS41" s="1054" t="n"/>
      <c r="AT41" s="1055" t="n"/>
    </row>
    <row r="42" ht="13.95" customHeight="1">
      <c r="B42" s="1053" t="n"/>
      <c r="C42" s="1054" t="n"/>
      <c r="D42" s="1054" t="n"/>
      <c r="E42" s="1054" t="n"/>
      <c r="F42" s="1054" t="n"/>
      <c r="G42" s="1054" t="n"/>
      <c r="H42" s="1054" t="n"/>
      <c r="I42" s="1054" t="n"/>
      <c r="J42" s="1054" t="n"/>
      <c r="K42" s="1054" t="n"/>
      <c r="L42" s="1054" t="n"/>
      <c r="M42" s="1054" t="n"/>
      <c r="N42" s="1054" t="n"/>
      <c r="O42" s="1054" t="n"/>
      <c r="P42" s="1055" t="n"/>
      <c r="Q42" s="1053" t="n"/>
      <c r="R42" s="1054" t="n"/>
      <c r="S42" s="1054" t="n"/>
      <c r="T42" s="1054" t="n"/>
      <c r="U42" s="1054" t="n"/>
      <c r="V42" s="1054" t="n"/>
      <c r="W42" s="1054" t="n"/>
      <c r="X42" s="1054" t="n"/>
      <c r="Y42" s="1054" t="n"/>
      <c r="Z42" s="1054" t="n"/>
      <c r="AA42" s="1054" t="n"/>
      <c r="AB42" s="1054" t="n"/>
      <c r="AC42" s="1054" t="n"/>
      <c r="AD42" s="1054" t="n"/>
      <c r="AE42" s="1055" t="n"/>
      <c r="AF42" s="1053" t="n"/>
      <c r="AG42" s="1054" t="n"/>
      <c r="AH42" s="1054" t="n"/>
      <c r="AI42" s="1054" t="n"/>
      <c r="AJ42" s="1054" t="n"/>
      <c r="AK42" s="1054" t="n"/>
      <c r="AL42" s="1054" t="n"/>
      <c r="AM42" s="1054" t="n"/>
      <c r="AN42" s="1054" t="n"/>
      <c r="AO42" s="1054" t="n"/>
      <c r="AP42" s="1054" t="n"/>
      <c r="AQ42" s="1054" t="n"/>
      <c r="AR42" s="1054" t="n"/>
      <c r="AS42" s="1054" t="n"/>
      <c r="AT42" s="1055" t="n"/>
    </row>
    <row r="43" ht="13.95" customHeight="1">
      <c r="B43" s="1053" t="n"/>
      <c r="C43" s="1054" t="n"/>
      <c r="D43" s="1054" t="n"/>
      <c r="E43" s="1054" t="n"/>
      <c r="F43" s="1054" t="n"/>
      <c r="G43" s="1054" t="n"/>
      <c r="H43" s="1054" t="n"/>
      <c r="I43" s="1054" t="n"/>
      <c r="J43" s="1054" t="n"/>
      <c r="K43" s="1054" t="n"/>
      <c r="L43" s="1054" t="n"/>
      <c r="M43" s="1054" t="n"/>
      <c r="N43" s="1054" t="n"/>
      <c r="O43" s="1054" t="n"/>
      <c r="P43" s="1055" t="n"/>
      <c r="Q43" s="1053" t="n"/>
      <c r="R43" s="1054" t="n"/>
      <c r="S43" s="1054" t="n"/>
      <c r="T43" s="1054" t="n"/>
      <c r="U43" s="1054" t="n"/>
      <c r="V43" s="1054" t="n"/>
      <c r="W43" s="1054" t="n"/>
      <c r="X43" s="1054" t="n"/>
      <c r="Y43" s="1054" t="n"/>
      <c r="Z43" s="1054" t="n"/>
      <c r="AA43" s="1054" t="n"/>
      <c r="AB43" s="1054" t="n"/>
      <c r="AC43" s="1054" t="n"/>
      <c r="AD43" s="1054" t="n"/>
      <c r="AE43" s="1055" t="n"/>
      <c r="AF43" s="1053" t="n"/>
      <c r="AG43" s="1054" t="n"/>
      <c r="AH43" s="1054" t="n"/>
      <c r="AI43" s="1054" t="n"/>
      <c r="AJ43" s="1054" t="n"/>
      <c r="AK43" s="1054" t="n"/>
      <c r="AL43" s="1054" t="n"/>
      <c r="AM43" s="1054" t="n"/>
      <c r="AN43" s="1054" t="n"/>
      <c r="AO43" s="1054" t="n"/>
      <c r="AP43" s="1054" t="n"/>
      <c r="AQ43" s="1054" t="n"/>
      <c r="AR43" s="1054" t="n"/>
      <c r="AS43" s="1054" t="n"/>
      <c r="AT43" s="1055" t="n"/>
    </row>
    <row r="44" ht="13.95" customHeight="1">
      <c r="B44" s="1053" t="n"/>
      <c r="C44" s="1054" t="n"/>
      <c r="D44" s="1054" t="n"/>
      <c r="E44" s="1054" t="n"/>
      <c r="F44" s="1054" t="n"/>
      <c r="G44" s="1054" t="n"/>
      <c r="H44" s="1054" t="n"/>
      <c r="I44" s="1054" t="n"/>
      <c r="J44" s="1054" t="n"/>
      <c r="K44" s="1054" t="n"/>
      <c r="L44" s="1054" t="n"/>
      <c r="M44" s="1054" t="n"/>
      <c r="N44" s="1054" t="n"/>
      <c r="O44" s="1054" t="n"/>
      <c r="P44" s="1055" t="n"/>
      <c r="Q44" s="1053" t="n"/>
      <c r="R44" s="1054" t="n"/>
      <c r="S44" s="1054" t="n"/>
      <c r="T44" s="1054" t="n"/>
      <c r="U44" s="1054" t="n"/>
      <c r="V44" s="1054" t="n"/>
      <c r="W44" s="1054" t="n"/>
      <c r="X44" s="1054" t="n"/>
      <c r="Y44" s="1054" t="n"/>
      <c r="Z44" s="1054" t="n"/>
      <c r="AA44" s="1054" t="n"/>
      <c r="AB44" s="1054" t="n"/>
      <c r="AC44" s="1054" t="n"/>
      <c r="AD44" s="1054" t="n"/>
      <c r="AE44" s="1055" t="n"/>
      <c r="AF44" s="1053" t="n"/>
      <c r="AG44" s="1054" t="n"/>
      <c r="AH44" s="1054" t="n"/>
      <c r="AI44" s="1054" t="n"/>
      <c r="AJ44" s="1054" t="n"/>
      <c r="AK44" s="1054" t="n"/>
      <c r="AL44" s="1054" t="n"/>
      <c r="AM44" s="1054" t="n"/>
      <c r="AN44" s="1054" t="n"/>
      <c r="AO44" s="1054" t="n"/>
      <c r="AP44" s="1054" t="n"/>
      <c r="AQ44" s="1054" t="n"/>
      <c r="AR44" s="1054" t="n"/>
      <c r="AS44" s="1054" t="n"/>
      <c r="AT44" s="1055" t="n"/>
    </row>
    <row r="45" ht="13.95" customHeight="1">
      <c r="B45" s="1053" t="n"/>
      <c r="C45" s="1054" t="n"/>
      <c r="D45" s="1054" t="n"/>
      <c r="E45" s="1054" t="n"/>
      <c r="F45" s="1054" t="n"/>
      <c r="G45" s="1054" t="n"/>
      <c r="H45" s="1054" t="n"/>
      <c r="I45" s="1054" t="n"/>
      <c r="J45" s="1054" t="n"/>
      <c r="K45" s="1054" t="n"/>
      <c r="L45" s="1054" t="n"/>
      <c r="M45" s="1054" t="n"/>
      <c r="N45" s="1054" t="n"/>
      <c r="O45" s="1054" t="n"/>
      <c r="P45" s="1055" t="n"/>
      <c r="Q45" s="1053" t="n"/>
      <c r="R45" s="1054" t="n"/>
      <c r="S45" s="1054" t="n"/>
      <c r="T45" s="1054" t="n"/>
      <c r="U45" s="1054" t="n"/>
      <c r="V45" s="1054" t="n"/>
      <c r="W45" s="1054" t="n"/>
      <c r="X45" s="1054" t="n"/>
      <c r="Y45" s="1054" t="n"/>
      <c r="Z45" s="1054" t="n"/>
      <c r="AA45" s="1054" t="n"/>
      <c r="AB45" s="1054" t="n"/>
      <c r="AC45" s="1054" t="n"/>
      <c r="AD45" s="1054" t="n"/>
      <c r="AE45" s="1055" t="n"/>
      <c r="AF45" s="1053" t="n"/>
      <c r="AG45" s="1054" t="n"/>
      <c r="AH45" s="1054" t="n"/>
      <c r="AI45" s="1054" t="n"/>
      <c r="AJ45" s="1054" t="n"/>
      <c r="AK45" s="1054" t="n"/>
      <c r="AL45" s="1054" t="n"/>
      <c r="AM45" s="1054" t="n"/>
      <c r="AN45" s="1054" t="n"/>
      <c r="AO45" s="1054" t="n"/>
      <c r="AP45" s="1054" t="n"/>
      <c r="AQ45" s="1054" t="n"/>
      <c r="AR45" s="1054" t="n"/>
      <c r="AS45" s="1054" t="n"/>
      <c r="AT45" s="1055" t="n"/>
    </row>
    <row r="46" ht="13.95" customHeight="1">
      <c r="B46" s="1056" t="n"/>
      <c r="C46" s="1057" t="n"/>
      <c r="D46" s="1057" t="n"/>
      <c r="E46" s="1057" t="n"/>
      <c r="F46" s="1057" t="n"/>
      <c r="G46" s="1057" t="n"/>
      <c r="H46" s="1057" t="n"/>
      <c r="I46" s="1057" t="n"/>
      <c r="J46" s="1057" t="n"/>
      <c r="K46" s="1057" t="n"/>
      <c r="L46" s="1057" t="n"/>
      <c r="M46" s="1057" t="n"/>
      <c r="N46" s="1057" t="n"/>
      <c r="O46" s="1057" t="n"/>
      <c r="P46" s="1058" t="n"/>
      <c r="Q46" s="1056" t="n"/>
      <c r="R46" s="1057" t="n"/>
      <c r="S46" s="1057" t="n"/>
      <c r="T46" s="1057" t="n"/>
      <c r="U46" s="1057" t="n"/>
      <c r="V46" s="1057" t="n"/>
      <c r="W46" s="1057" t="n"/>
      <c r="X46" s="1057" t="n"/>
      <c r="Y46" s="1057" t="n"/>
      <c r="Z46" s="1057" t="n"/>
      <c r="AA46" s="1057" t="n"/>
      <c r="AB46" s="1057" t="n"/>
      <c r="AC46" s="1057" t="n"/>
      <c r="AD46" s="1057" t="n"/>
      <c r="AE46" s="1058" t="n"/>
      <c r="AF46" s="1056" t="n"/>
      <c r="AG46" s="1057" t="n"/>
      <c r="AH46" s="1057" t="n"/>
      <c r="AI46" s="1057" t="n"/>
      <c r="AJ46" s="1057" t="n"/>
      <c r="AK46" s="1057" t="n"/>
      <c r="AL46" s="1057" t="n"/>
      <c r="AM46" s="1057" t="n"/>
      <c r="AN46" s="1057" t="n"/>
      <c r="AO46" s="1057" t="n"/>
      <c r="AP46" s="1057" t="n"/>
      <c r="AQ46" s="1057" t="n"/>
      <c r="AR46" s="1057" t="n"/>
      <c r="AS46" s="1057" t="n"/>
      <c r="AT46" s="1058" t="n"/>
    </row>
    <row r="47" ht="13.95" customHeight="1">
      <c r="B47" s="1059" t="n"/>
      <c r="C47" s="1060" t="n"/>
      <c r="D47" s="1060" t="n"/>
      <c r="E47" s="1060" t="n"/>
      <c r="F47" s="1060" t="n"/>
      <c r="G47" s="1060" t="n"/>
      <c r="H47" s="1060" t="n"/>
      <c r="I47" s="1060" t="n"/>
      <c r="J47" s="1060" t="n"/>
      <c r="K47" s="1060" t="n"/>
      <c r="L47" s="1060" t="n"/>
      <c r="M47" s="1060" t="n"/>
      <c r="N47" s="1060" t="n"/>
      <c r="O47" s="1060" t="n"/>
      <c r="P47" s="1061" t="n"/>
      <c r="Q47" s="1059" t="n"/>
      <c r="R47" s="1060" t="n"/>
      <c r="S47" s="1060" t="n"/>
      <c r="T47" s="1060" t="n"/>
      <c r="U47" s="1060" t="n"/>
      <c r="V47" s="1060" t="n"/>
      <c r="W47" s="1060" t="n"/>
      <c r="X47" s="1060" t="n"/>
      <c r="Y47" s="1060" t="n"/>
      <c r="Z47" s="1060" t="n"/>
      <c r="AA47" s="1060" t="n"/>
      <c r="AB47" s="1060" t="n"/>
      <c r="AC47" s="1060" t="n"/>
      <c r="AD47" s="1060" t="n"/>
      <c r="AE47" s="1061" t="n"/>
      <c r="AF47" s="1059" t="n"/>
      <c r="AG47" s="1060" t="n"/>
      <c r="AH47" s="1060" t="n"/>
      <c r="AI47" s="1060" t="n"/>
      <c r="AJ47" s="1060" t="n"/>
      <c r="AK47" s="1060" t="n"/>
      <c r="AL47" s="1060" t="n"/>
      <c r="AM47" s="1060" t="n"/>
      <c r="AN47" s="1060" t="n"/>
      <c r="AO47" s="1060" t="n"/>
      <c r="AP47" s="1060" t="n"/>
      <c r="AQ47" s="1060" t="n"/>
      <c r="AR47" s="1060" t="n"/>
      <c r="AS47" s="1060" t="n"/>
      <c r="AT47" s="1061" t="n"/>
    </row>
    <row r="48" ht="13.95" customHeight="1">
      <c r="B48" s="1050" t="n"/>
      <c r="C48" s="1051" t="n"/>
      <c r="D48" s="1051" t="n"/>
      <c r="E48" s="1051" t="n"/>
      <c r="F48" s="1051" t="n"/>
      <c r="G48" s="1051" t="n"/>
      <c r="H48" s="1051" t="n"/>
      <c r="I48" s="1051" t="n"/>
      <c r="J48" s="1051" t="n"/>
      <c r="K48" s="1051" t="n"/>
      <c r="L48" s="1051" t="n"/>
      <c r="M48" s="1051" t="n"/>
      <c r="N48" s="1051" t="n"/>
      <c r="O48" s="1051" t="n"/>
      <c r="P48" s="1052" t="n"/>
      <c r="Q48" s="1050" t="n"/>
      <c r="R48" s="1051" t="n"/>
      <c r="S48" s="1051" t="n"/>
      <c r="T48" s="1051" t="n"/>
      <c r="U48" s="1051" t="n"/>
      <c r="V48" s="1051" t="n"/>
      <c r="W48" s="1051" t="n"/>
      <c r="X48" s="1051" t="n"/>
      <c r="Y48" s="1051" t="n"/>
      <c r="Z48" s="1051" t="n"/>
      <c r="AA48" s="1051" t="n"/>
      <c r="AB48" s="1051" t="n"/>
      <c r="AC48" s="1051" t="n"/>
      <c r="AD48" s="1051" t="n"/>
      <c r="AE48" s="1052" t="n"/>
      <c r="AF48" s="1050" t="n"/>
      <c r="AG48" s="1051" t="n"/>
      <c r="AH48" s="1051" t="n"/>
      <c r="AI48" s="1051" t="n"/>
      <c r="AJ48" s="1051" t="n"/>
      <c r="AK48" s="1051" t="n"/>
      <c r="AL48" s="1051" t="n"/>
      <c r="AM48" s="1051" t="n"/>
      <c r="AN48" s="1051" t="n"/>
      <c r="AO48" s="1051" t="n"/>
      <c r="AP48" s="1051" t="n"/>
      <c r="AQ48" s="1051" t="n"/>
      <c r="AR48" s="1051" t="n"/>
      <c r="AS48" s="1051" t="n"/>
      <c r="AT48" s="1052" t="n"/>
    </row>
    <row r="49" ht="13.95" customHeight="1">
      <c r="B49" s="1053" t="n"/>
      <c r="C49" s="1054" t="n"/>
      <c r="D49" s="1054" t="n"/>
      <c r="E49" s="1054" t="n"/>
      <c r="F49" s="1054" t="n"/>
      <c r="G49" s="1054" t="n"/>
      <c r="H49" s="1054" t="n"/>
      <c r="I49" s="1054" t="n"/>
      <c r="J49" s="1054" t="n"/>
      <c r="K49" s="1054" t="n"/>
      <c r="L49" s="1054" t="n"/>
      <c r="M49" s="1054" t="n"/>
      <c r="N49" s="1054" t="n"/>
      <c r="O49" s="1054" t="n"/>
      <c r="P49" s="1055" t="n"/>
      <c r="Q49" s="1053" t="n"/>
      <c r="R49" s="1054" t="n"/>
      <c r="S49" s="1054" t="n"/>
      <c r="T49" s="1054" t="n"/>
      <c r="U49" s="1054" t="n"/>
      <c r="V49" s="1054" t="n"/>
      <c r="W49" s="1054" t="n"/>
      <c r="X49" s="1054" t="n"/>
      <c r="Y49" s="1054" t="n"/>
      <c r="Z49" s="1054" t="n"/>
      <c r="AA49" s="1054" t="n"/>
      <c r="AB49" s="1054" t="n"/>
      <c r="AC49" s="1054" t="n"/>
      <c r="AD49" s="1054" t="n"/>
      <c r="AE49" s="1055" t="n"/>
      <c r="AF49" s="1053" t="n"/>
      <c r="AG49" s="1054" t="n"/>
      <c r="AH49" s="1054" t="n"/>
      <c r="AI49" s="1054" t="n"/>
      <c r="AJ49" s="1054" t="n"/>
      <c r="AK49" s="1054" t="n"/>
      <c r="AL49" s="1054" t="n"/>
      <c r="AM49" s="1054" t="n"/>
      <c r="AN49" s="1054" t="n"/>
      <c r="AO49" s="1054" t="n"/>
      <c r="AP49" s="1054" t="n"/>
      <c r="AQ49" s="1054" t="n"/>
      <c r="AR49" s="1054" t="n"/>
      <c r="AS49" s="1054" t="n"/>
      <c r="AT49" s="1055" t="n"/>
    </row>
    <row r="50" ht="13.95" customHeight="1">
      <c r="B50" s="1053" t="n"/>
      <c r="C50" s="1054" t="n"/>
      <c r="D50" s="1054" t="n"/>
      <c r="E50" s="1054" t="n"/>
      <c r="F50" s="1054" t="n"/>
      <c r="G50" s="1054" t="n"/>
      <c r="H50" s="1054" t="n"/>
      <c r="I50" s="1054" t="n"/>
      <c r="J50" s="1054" t="n"/>
      <c r="K50" s="1054" t="n"/>
      <c r="L50" s="1054" t="n"/>
      <c r="M50" s="1054" t="n"/>
      <c r="N50" s="1054" t="n"/>
      <c r="O50" s="1054" t="n"/>
      <c r="P50" s="1055" t="n"/>
      <c r="Q50" s="1053" t="n"/>
      <c r="R50" s="1054" t="n"/>
      <c r="S50" s="1054" t="n"/>
      <c r="T50" s="1054" t="n"/>
      <c r="U50" s="1054" t="n"/>
      <c r="V50" s="1054" t="n"/>
      <c r="W50" s="1054" t="n"/>
      <c r="X50" s="1054" t="n"/>
      <c r="Y50" s="1054" t="n"/>
      <c r="Z50" s="1054" t="n"/>
      <c r="AA50" s="1054" t="n"/>
      <c r="AB50" s="1054" t="n"/>
      <c r="AC50" s="1054" t="n"/>
      <c r="AD50" s="1054" t="n"/>
      <c r="AE50" s="1055" t="n"/>
      <c r="AF50" s="1053" t="n"/>
      <c r="AG50" s="1054" t="n"/>
      <c r="AH50" s="1054" t="n"/>
      <c r="AI50" s="1054" t="n"/>
      <c r="AJ50" s="1054" t="n"/>
      <c r="AK50" s="1054" t="n"/>
      <c r="AL50" s="1054" t="n"/>
      <c r="AM50" s="1054" t="n"/>
      <c r="AN50" s="1054" t="n"/>
      <c r="AO50" s="1054" t="n"/>
      <c r="AP50" s="1054" t="n"/>
      <c r="AQ50" s="1054" t="n"/>
      <c r="AR50" s="1054" t="n"/>
      <c r="AS50" s="1054" t="n"/>
      <c r="AT50" s="1055" t="n"/>
    </row>
    <row r="51" ht="13.95" customHeight="1">
      <c r="B51" s="1053" t="n"/>
      <c r="C51" s="1054" t="n"/>
      <c r="D51" s="1054" t="n"/>
      <c r="E51" s="1054" t="n"/>
      <c r="F51" s="1054" t="n"/>
      <c r="G51" s="1054" t="n"/>
      <c r="H51" s="1054" t="n"/>
      <c r="I51" s="1054" t="n"/>
      <c r="J51" s="1054" t="n"/>
      <c r="K51" s="1054" t="n"/>
      <c r="L51" s="1054" t="n"/>
      <c r="M51" s="1054" t="n"/>
      <c r="N51" s="1054" t="n"/>
      <c r="O51" s="1054" t="n"/>
      <c r="P51" s="1055" t="n"/>
      <c r="Q51" s="1053" t="n"/>
      <c r="R51" s="1054" t="n"/>
      <c r="S51" s="1054" t="n"/>
      <c r="T51" s="1054" t="n"/>
      <c r="U51" s="1054" t="n"/>
      <c r="V51" s="1054" t="n"/>
      <c r="W51" s="1054" t="n"/>
      <c r="X51" s="1054" t="n"/>
      <c r="Y51" s="1054" t="n"/>
      <c r="Z51" s="1054" t="n"/>
      <c r="AA51" s="1054" t="n"/>
      <c r="AB51" s="1054" t="n"/>
      <c r="AC51" s="1054" t="n"/>
      <c r="AD51" s="1054" t="n"/>
      <c r="AE51" s="1055" t="n"/>
      <c r="AF51" s="1053" t="n"/>
      <c r="AG51" s="1054" t="n"/>
      <c r="AH51" s="1054" t="n"/>
      <c r="AI51" s="1054" t="n"/>
      <c r="AJ51" s="1054" t="n"/>
      <c r="AK51" s="1054" t="n"/>
      <c r="AL51" s="1054" t="n"/>
      <c r="AM51" s="1054" t="n"/>
      <c r="AN51" s="1054" t="n"/>
      <c r="AO51" s="1054" t="n"/>
      <c r="AP51" s="1054" t="n"/>
      <c r="AQ51" s="1054" t="n"/>
      <c r="AR51" s="1054" t="n"/>
      <c r="AS51" s="1054" t="n"/>
      <c r="AT51" s="1055" t="n"/>
    </row>
    <row r="52" ht="13.95" customHeight="1">
      <c r="B52" s="1053" t="n"/>
      <c r="C52" s="1054" t="n"/>
      <c r="D52" s="1054" t="n"/>
      <c r="E52" s="1054" t="n"/>
      <c r="F52" s="1054" t="n"/>
      <c r="G52" s="1054" t="n"/>
      <c r="H52" s="1054" t="n"/>
      <c r="I52" s="1054" t="n"/>
      <c r="J52" s="1054" t="n"/>
      <c r="K52" s="1054" t="n"/>
      <c r="L52" s="1054" t="n"/>
      <c r="M52" s="1054" t="n"/>
      <c r="N52" s="1054" t="n"/>
      <c r="O52" s="1054" t="n"/>
      <c r="P52" s="1055" t="n"/>
      <c r="Q52" s="1053" t="n"/>
      <c r="R52" s="1054" t="n"/>
      <c r="S52" s="1054" t="n"/>
      <c r="T52" s="1054" t="n"/>
      <c r="U52" s="1054" t="n"/>
      <c r="V52" s="1054" t="n"/>
      <c r="W52" s="1054" t="n"/>
      <c r="X52" s="1054" t="n"/>
      <c r="Y52" s="1054" t="n"/>
      <c r="Z52" s="1054" t="n"/>
      <c r="AA52" s="1054" t="n"/>
      <c r="AB52" s="1054" t="n"/>
      <c r="AC52" s="1054" t="n"/>
      <c r="AD52" s="1054" t="n"/>
      <c r="AE52" s="1055" t="n"/>
      <c r="AF52" s="1053" t="n"/>
      <c r="AG52" s="1054" t="n"/>
      <c r="AH52" s="1054" t="n"/>
      <c r="AI52" s="1054" t="n"/>
      <c r="AJ52" s="1054" t="n"/>
      <c r="AK52" s="1054" t="n"/>
      <c r="AL52" s="1054" t="n"/>
      <c r="AM52" s="1054" t="n"/>
      <c r="AN52" s="1054" t="n"/>
      <c r="AO52" s="1054" t="n"/>
      <c r="AP52" s="1054" t="n"/>
      <c r="AQ52" s="1054" t="n"/>
      <c r="AR52" s="1054" t="n"/>
      <c r="AS52" s="1054" t="n"/>
      <c r="AT52" s="1055" t="n"/>
    </row>
    <row r="53" ht="13.95" customHeight="1">
      <c r="B53" s="1053" t="n"/>
      <c r="C53" s="1054" t="n"/>
      <c r="D53" s="1054" t="n"/>
      <c r="E53" s="1054" t="n"/>
      <c r="F53" s="1054" t="n"/>
      <c r="G53" s="1054" t="n"/>
      <c r="H53" s="1054" t="n"/>
      <c r="I53" s="1054" t="n"/>
      <c r="J53" s="1054" t="n"/>
      <c r="K53" s="1054" t="n"/>
      <c r="L53" s="1054" t="n"/>
      <c r="M53" s="1054" t="n"/>
      <c r="N53" s="1054" t="n"/>
      <c r="O53" s="1054" t="n"/>
      <c r="P53" s="1055" t="n"/>
      <c r="Q53" s="1053" t="n"/>
      <c r="R53" s="1054" t="n"/>
      <c r="S53" s="1054" t="n"/>
      <c r="T53" s="1054" t="n"/>
      <c r="U53" s="1054" t="n"/>
      <c r="V53" s="1054" t="n"/>
      <c r="W53" s="1054" t="n"/>
      <c r="X53" s="1054" t="n"/>
      <c r="Y53" s="1054" t="n"/>
      <c r="Z53" s="1054" t="n"/>
      <c r="AA53" s="1054" t="n"/>
      <c r="AB53" s="1054" t="n"/>
      <c r="AC53" s="1054" t="n"/>
      <c r="AD53" s="1054" t="n"/>
      <c r="AE53" s="1055" t="n"/>
      <c r="AF53" s="1053" t="n"/>
      <c r="AG53" s="1054" t="n"/>
      <c r="AH53" s="1054" t="n"/>
      <c r="AI53" s="1054" t="n"/>
      <c r="AJ53" s="1054" t="n"/>
      <c r="AK53" s="1054" t="n"/>
      <c r="AL53" s="1054" t="n"/>
      <c r="AM53" s="1054" t="n"/>
      <c r="AN53" s="1054" t="n"/>
      <c r="AO53" s="1054" t="n"/>
      <c r="AP53" s="1054" t="n"/>
      <c r="AQ53" s="1054" t="n"/>
      <c r="AR53" s="1054" t="n"/>
      <c r="AS53" s="1054" t="n"/>
      <c r="AT53" s="1055" t="n"/>
    </row>
    <row r="54" ht="13.95" customHeight="1">
      <c r="B54" s="1053" t="n"/>
      <c r="C54" s="1054" t="n"/>
      <c r="D54" s="1054" t="n"/>
      <c r="E54" s="1054" t="n"/>
      <c r="F54" s="1054" t="n"/>
      <c r="G54" s="1054" t="n"/>
      <c r="H54" s="1054" t="n"/>
      <c r="I54" s="1054" t="n"/>
      <c r="J54" s="1054" t="n"/>
      <c r="K54" s="1054" t="n"/>
      <c r="L54" s="1054" t="n"/>
      <c r="M54" s="1054" t="n"/>
      <c r="N54" s="1054" t="n"/>
      <c r="O54" s="1054" t="n"/>
      <c r="P54" s="1055" t="n"/>
      <c r="Q54" s="1053" t="n"/>
      <c r="R54" s="1054" t="n"/>
      <c r="S54" s="1054" t="n"/>
      <c r="T54" s="1054" t="n"/>
      <c r="U54" s="1054" t="n"/>
      <c r="V54" s="1054" t="n"/>
      <c r="W54" s="1054" t="n"/>
      <c r="X54" s="1054" t="n"/>
      <c r="Y54" s="1054" t="n"/>
      <c r="Z54" s="1054" t="n"/>
      <c r="AA54" s="1054" t="n"/>
      <c r="AB54" s="1054" t="n"/>
      <c r="AC54" s="1054" t="n"/>
      <c r="AD54" s="1054" t="n"/>
      <c r="AE54" s="1055" t="n"/>
      <c r="AF54" s="1053" t="n"/>
      <c r="AG54" s="1054" t="n"/>
      <c r="AH54" s="1054" t="n"/>
      <c r="AI54" s="1054" t="n"/>
      <c r="AJ54" s="1054" t="n"/>
      <c r="AK54" s="1054" t="n"/>
      <c r="AL54" s="1054" t="n"/>
      <c r="AM54" s="1054" t="n"/>
      <c r="AN54" s="1054" t="n"/>
      <c r="AO54" s="1054" t="n"/>
      <c r="AP54" s="1054" t="n"/>
      <c r="AQ54" s="1054" t="n"/>
      <c r="AR54" s="1054" t="n"/>
      <c r="AS54" s="1054" t="n"/>
      <c r="AT54" s="1055" t="n"/>
    </row>
    <row r="55" ht="13.95" customHeight="1">
      <c r="B55" s="1053" t="n"/>
      <c r="C55" s="1054" t="n"/>
      <c r="D55" s="1054" t="n"/>
      <c r="E55" s="1054" t="n"/>
      <c r="F55" s="1054" t="n"/>
      <c r="G55" s="1054" t="n"/>
      <c r="H55" s="1054" t="n"/>
      <c r="I55" s="1054" t="n"/>
      <c r="J55" s="1054" t="n"/>
      <c r="K55" s="1054" t="n"/>
      <c r="L55" s="1054" t="n"/>
      <c r="M55" s="1054" t="n"/>
      <c r="N55" s="1054" t="n"/>
      <c r="O55" s="1054" t="n"/>
      <c r="P55" s="1055" t="n"/>
      <c r="Q55" s="1053" t="n"/>
      <c r="R55" s="1054" t="n"/>
      <c r="S55" s="1054" t="n"/>
      <c r="T55" s="1054" t="n"/>
      <c r="U55" s="1054" t="n"/>
      <c r="V55" s="1054" t="n"/>
      <c r="W55" s="1054" t="n"/>
      <c r="X55" s="1054" t="n"/>
      <c r="Y55" s="1054" t="n"/>
      <c r="Z55" s="1054" t="n"/>
      <c r="AA55" s="1054" t="n"/>
      <c r="AB55" s="1054" t="n"/>
      <c r="AC55" s="1054" t="n"/>
      <c r="AD55" s="1054" t="n"/>
      <c r="AE55" s="1055" t="n"/>
      <c r="AF55" s="1053" t="n"/>
      <c r="AG55" s="1054" t="n"/>
      <c r="AH55" s="1054" t="n"/>
      <c r="AI55" s="1054" t="n"/>
      <c r="AJ55" s="1054" t="n"/>
      <c r="AK55" s="1054" t="n"/>
      <c r="AL55" s="1054" t="n"/>
      <c r="AM55" s="1054" t="n"/>
      <c r="AN55" s="1054" t="n"/>
      <c r="AO55" s="1054" t="n"/>
      <c r="AP55" s="1054" t="n"/>
      <c r="AQ55" s="1054" t="n"/>
      <c r="AR55" s="1054" t="n"/>
      <c r="AS55" s="1054" t="n"/>
      <c r="AT55" s="1055" t="n"/>
    </row>
    <row r="56" ht="13.95" customHeight="1">
      <c r="B56" s="1053" t="n"/>
      <c r="C56" s="1054" t="n"/>
      <c r="D56" s="1054" t="n"/>
      <c r="E56" s="1054" t="n"/>
      <c r="F56" s="1054" t="n"/>
      <c r="G56" s="1054" t="n"/>
      <c r="H56" s="1054" t="n"/>
      <c r="I56" s="1054" t="n"/>
      <c r="J56" s="1054" t="n"/>
      <c r="K56" s="1054" t="n"/>
      <c r="L56" s="1054" t="n"/>
      <c r="M56" s="1054" t="n"/>
      <c r="N56" s="1054" t="n"/>
      <c r="O56" s="1054" t="n"/>
      <c r="P56" s="1055" t="n"/>
      <c r="Q56" s="1053" t="n"/>
      <c r="R56" s="1054" t="n"/>
      <c r="S56" s="1054" t="n"/>
      <c r="T56" s="1054" t="n"/>
      <c r="U56" s="1054" t="n"/>
      <c r="V56" s="1054" t="n"/>
      <c r="W56" s="1054" t="n"/>
      <c r="X56" s="1054" t="n"/>
      <c r="Y56" s="1054" t="n"/>
      <c r="Z56" s="1054" t="n"/>
      <c r="AA56" s="1054" t="n"/>
      <c r="AB56" s="1054" t="n"/>
      <c r="AC56" s="1054" t="n"/>
      <c r="AD56" s="1054" t="n"/>
      <c r="AE56" s="1055" t="n"/>
      <c r="AF56" s="1053" t="n"/>
      <c r="AG56" s="1054" t="n"/>
      <c r="AH56" s="1054" t="n"/>
      <c r="AI56" s="1054" t="n"/>
      <c r="AJ56" s="1054" t="n"/>
      <c r="AK56" s="1054" t="n"/>
      <c r="AL56" s="1054" t="n"/>
      <c r="AM56" s="1054" t="n"/>
      <c r="AN56" s="1054" t="n"/>
      <c r="AO56" s="1054" t="n"/>
      <c r="AP56" s="1054" t="n"/>
      <c r="AQ56" s="1054" t="n"/>
      <c r="AR56" s="1054" t="n"/>
      <c r="AS56" s="1054" t="n"/>
      <c r="AT56" s="1055" t="n"/>
    </row>
    <row r="57" ht="13.95" customHeight="1">
      <c r="B57" s="1056" t="n"/>
      <c r="C57" s="1057" t="n"/>
      <c r="D57" s="1057" t="n"/>
      <c r="E57" s="1057" t="n"/>
      <c r="F57" s="1057" t="n"/>
      <c r="G57" s="1057" t="n"/>
      <c r="H57" s="1057" t="n"/>
      <c r="I57" s="1057" t="n"/>
      <c r="J57" s="1057" t="n"/>
      <c r="K57" s="1057" t="n"/>
      <c r="L57" s="1057" t="n"/>
      <c r="M57" s="1057" t="n"/>
      <c r="N57" s="1057" t="n"/>
      <c r="O57" s="1057" t="n"/>
      <c r="P57" s="1058" t="n"/>
      <c r="Q57" s="1056" t="n"/>
      <c r="R57" s="1057" t="n"/>
      <c r="S57" s="1057" t="n"/>
      <c r="T57" s="1057" t="n"/>
      <c r="U57" s="1057" t="n"/>
      <c r="V57" s="1057" t="n"/>
      <c r="W57" s="1057" t="n"/>
      <c r="X57" s="1057" t="n"/>
      <c r="Y57" s="1057" t="n"/>
      <c r="Z57" s="1057" t="n"/>
      <c r="AA57" s="1057" t="n"/>
      <c r="AB57" s="1057" t="n"/>
      <c r="AC57" s="1057" t="n"/>
      <c r="AD57" s="1057" t="n"/>
      <c r="AE57" s="1058" t="n"/>
      <c r="AF57" s="1056" t="n"/>
      <c r="AG57" s="1057" t="n"/>
      <c r="AH57" s="1057" t="n"/>
      <c r="AI57" s="1057" t="n"/>
      <c r="AJ57" s="1057" t="n"/>
      <c r="AK57" s="1057" t="n"/>
      <c r="AL57" s="1057" t="n"/>
      <c r="AM57" s="1057" t="n"/>
      <c r="AN57" s="1057" t="n"/>
      <c r="AO57" s="1057" t="n"/>
      <c r="AP57" s="1057" t="n"/>
      <c r="AQ57" s="1057" t="n"/>
      <c r="AR57" s="1057" t="n"/>
      <c r="AS57" s="1057" t="n"/>
      <c r="AT57" s="1058" t="n"/>
    </row>
    <row r="58" ht="13.95" customHeight="1">
      <c r="B58" s="1059" t="n"/>
      <c r="C58" s="1060" t="n"/>
      <c r="D58" s="1060" t="n"/>
      <c r="E58" s="1060" t="n"/>
      <c r="F58" s="1060" t="n"/>
      <c r="G58" s="1060" t="n"/>
      <c r="H58" s="1060" t="n"/>
      <c r="I58" s="1060" t="n"/>
      <c r="J58" s="1060" t="n"/>
      <c r="K58" s="1060" t="n"/>
      <c r="L58" s="1060" t="n"/>
      <c r="M58" s="1060" t="n"/>
      <c r="N58" s="1060" t="n"/>
      <c r="O58" s="1060" t="n"/>
      <c r="P58" s="1061" t="n"/>
      <c r="Q58" s="1059" t="n"/>
      <c r="R58" s="1060" t="n"/>
      <c r="S58" s="1060" t="n"/>
      <c r="T58" s="1060" t="n"/>
      <c r="U58" s="1060" t="n"/>
      <c r="V58" s="1060" t="n"/>
      <c r="W58" s="1060" t="n"/>
      <c r="X58" s="1060" t="n"/>
      <c r="Y58" s="1060" t="n"/>
      <c r="Z58" s="1060" t="n"/>
      <c r="AA58" s="1060" t="n"/>
      <c r="AB58" s="1060" t="n"/>
      <c r="AC58" s="1060" t="n"/>
      <c r="AD58" s="1060" t="n"/>
      <c r="AE58" s="1061" t="n"/>
      <c r="AF58" s="1059" t="n"/>
      <c r="AG58" s="1060" t="n"/>
      <c r="AH58" s="1060" t="n"/>
      <c r="AI58" s="1060" t="n"/>
      <c r="AJ58" s="1060" t="n"/>
      <c r="AK58" s="1060" t="n"/>
      <c r="AL58" s="1060" t="n"/>
      <c r="AM58" s="1060" t="n"/>
      <c r="AN58" s="1060" t="n"/>
      <c r="AO58" s="1060" t="n"/>
      <c r="AP58" s="1060" t="n"/>
      <c r="AQ58" s="1060" t="n"/>
      <c r="AR58" s="1060" t="n"/>
      <c r="AS58" s="1060" t="n"/>
      <c r="AT58" s="1061" t="n"/>
    </row>
    <row r="59" ht="13.2" customHeight="1"/>
    <row r="60" ht="13.2" customHeight="1"/>
    <row r="61" ht="13.2" customHeight="1"/>
    <row r="62" ht="13.2" customHeight="1"/>
    <row r="63" ht="13.2" customHeight="1"/>
    <row r="64" ht="13.2" customHeight="1"/>
    <row r="65" ht="13.2" customHeight="1"/>
    <row r="66" ht="13.2" customHeight="1"/>
    <row r="67" ht="13.2" customHeight="1"/>
    <row r="68" ht="13.2" customHeight="1"/>
    <row r="69" ht="13.2" customHeight="1"/>
    <row r="70" ht="13.2" customHeight="1"/>
    <row r="71" ht="13.2" customHeight="1"/>
    <row r="72" ht="13.2" customHeight="1"/>
    <row r="73" ht="13.2" customHeight="1"/>
    <row r="74" ht="13.2" customHeight="1"/>
    <row r="75" ht="13.2" customHeight="1"/>
    <row r="76" ht="13.2" customHeight="1"/>
    <row r="77" ht="13.2" customHeight="1"/>
    <row r="78" ht="13.2" customHeight="1"/>
  </sheetData>
  <mergeCells count="31">
    <mergeCell ref="B48:P57"/>
    <mergeCell ref="Q58:AE58"/>
    <mergeCell ref="Q14:AE14"/>
    <mergeCell ref="B14:P14"/>
    <mergeCell ref="AF25:AT25"/>
    <mergeCell ref="AF15:AT24"/>
    <mergeCell ref="Q4:AE13"/>
    <mergeCell ref="Q26:AE35"/>
    <mergeCell ref="Q15:AE24"/>
    <mergeCell ref="B37:P46"/>
    <mergeCell ref="B15:P24"/>
    <mergeCell ref="B1:AT1"/>
    <mergeCell ref="AF58:AT58"/>
    <mergeCell ref="AF14:AT14"/>
    <mergeCell ref="AF26:AT35"/>
    <mergeCell ref="Q36:AE36"/>
    <mergeCell ref="Q48:AE57"/>
    <mergeCell ref="AF47:AT47"/>
    <mergeCell ref="B36:P36"/>
    <mergeCell ref="AF37:AT46"/>
    <mergeCell ref="B4:P13"/>
    <mergeCell ref="B26:P35"/>
    <mergeCell ref="Q37:AE46"/>
    <mergeCell ref="AF36:AT36"/>
    <mergeCell ref="Q25:AE25"/>
    <mergeCell ref="Q47:AE47"/>
    <mergeCell ref="B25:P25"/>
    <mergeCell ref="AF48:AT57"/>
    <mergeCell ref="B47:P47"/>
    <mergeCell ref="B58:P58"/>
    <mergeCell ref="AF4:AT13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7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1">
    <tabColor theme="9" tint="0.5999938962981048"/>
    <outlinePr summaryBelow="1" summaryRight="1"/>
    <pageSetUpPr fitToPage="1"/>
  </sheetPr>
  <dimension ref="A2:P251"/>
  <sheetViews>
    <sheetView showGridLines="0" view="pageBreakPreview" zoomScale="80" zoomScaleNormal="100" zoomScaleSheetLayoutView="80" workbookViewId="0">
      <selection activeCell="I260" sqref="I260"/>
    </sheetView>
  </sheetViews>
  <sheetFormatPr baseColWidth="10" defaultColWidth="11.44140625" defaultRowHeight="15.6"/>
  <cols>
    <col width="23.33203125" customWidth="1" style="82" min="1" max="1"/>
    <col width="8.109375" customWidth="1" style="82" min="2" max="2"/>
    <col width="13.109375" customWidth="1" style="82" min="3" max="3"/>
    <col width="10.33203125" customWidth="1" style="82" min="4" max="4"/>
    <col width="11" customWidth="1" style="82" min="5" max="5"/>
    <col width="10.88671875" customWidth="1" style="82" min="6" max="6"/>
    <col width="11.6640625" customWidth="1" style="82" min="7" max="7"/>
    <col width="13.88671875" customWidth="1" style="82" min="8" max="8"/>
    <col width="12" customWidth="1" style="82" min="9" max="13"/>
    <col width="32.6640625" customWidth="1" style="82" min="14" max="14"/>
    <col width="33.6640625" customWidth="1" style="82" min="15" max="15"/>
    <col hidden="1" width="18" customWidth="1" style="82" min="16" max="16"/>
    <col width="11.44140625" customWidth="1" style="82" min="17" max="260"/>
    <col width="5" customWidth="1" style="82" min="261" max="261"/>
    <col width="28" customWidth="1" style="82" min="262" max="262"/>
    <col width="13.109375" customWidth="1" style="82" min="263" max="263"/>
    <col width="11.44140625" customWidth="1" style="82" min="264" max="264"/>
    <col width="15.6640625" customWidth="1" style="82" min="265" max="265"/>
    <col width="11.44140625" customWidth="1" style="82" min="266" max="266"/>
    <col width="14.33203125" customWidth="1" style="82" min="267" max="267"/>
    <col width="11.44140625" customWidth="1" style="82" min="268" max="268"/>
    <col width="17.44140625" customWidth="1" style="82" min="269" max="269"/>
    <col width="11.44140625" customWidth="1" style="82" min="270" max="271"/>
    <col width="14.88671875" bestFit="1" customWidth="1" style="82" min="272" max="272"/>
    <col width="11.44140625" customWidth="1" style="82" min="273" max="516"/>
    <col width="5" customWidth="1" style="82" min="517" max="517"/>
    <col width="28" customWidth="1" style="82" min="518" max="518"/>
    <col width="13.109375" customWidth="1" style="82" min="519" max="519"/>
    <col width="11.44140625" customWidth="1" style="82" min="520" max="520"/>
    <col width="15.6640625" customWidth="1" style="82" min="521" max="521"/>
    <col width="11.44140625" customWidth="1" style="82" min="522" max="522"/>
    <col width="14.33203125" customWidth="1" style="82" min="523" max="523"/>
    <col width="11.44140625" customWidth="1" style="82" min="524" max="524"/>
    <col width="17.44140625" customWidth="1" style="82" min="525" max="525"/>
    <col width="11.44140625" customWidth="1" style="82" min="526" max="527"/>
    <col width="14.88671875" bestFit="1" customWidth="1" style="82" min="528" max="528"/>
    <col width="11.44140625" customWidth="1" style="82" min="529" max="772"/>
    <col width="5" customWidth="1" style="82" min="773" max="773"/>
    <col width="28" customWidth="1" style="82" min="774" max="774"/>
    <col width="13.109375" customWidth="1" style="82" min="775" max="775"/>
    <col width="11.44140625" customWidth="1" style="82" min="776" max="776"/>
    <col width="15.6640625" customWidth="1" style="82" min="777" max="777"/>
    <col width="11.44140625" customWidth="1" style="82" min="778" max="778"/>
    <col width="14.33203125" customWidth="1" style="82" min="779" max="779"/>
    <col width="11.44140625" customWidth="1" style="82" min="780" max="780"/>
    <col width="17.44140625" customWidth="1" style="82" min="781" max="781"/>
    <col width="11.44140625" customWidth="1" style="82" min="782" max="783"/>
    <col width="14.88671875" bestFit="1" customWidth="1" style="82" min="784" max="784"/>
    <col width="11.44140625" customWidth="1" style="82" min="785" max="1028"/>
    <col width="5" customWidth="1" style="82" min="1029" max="1029"/>
    <col width="28" customWidth="1" style="82" min="1030" max="1030"/>
    <col width="13.109375" customWidth="1" style="82" min="1031" max="1031"/>
    <col width="11.44140625" customWidth="1" style="82" min="1032" max="1032"/>
    <col width="15.6640625" customWidth="1" style="82" min="1033" max="1033"/>
    <col width="11.44140625" customWidth="1" style="82" min="1034" max="1034"/>
    <col width="14.33203125" customWidth="1" style="82" min="1035" max="1035"/>
    <col width="11.44140625" customWidth="1" style="82" min="1036" max="1036"/>
    <col width="17.44140625" customWidth="1" style="82" min="1037" max="1037"/>
    <col width="11.44140625" customWidth="1" style="82" min="1038" max="1039"/>
    <col width="14.88671875" bestFit="1" customWidth="1" style="82" min="1040" max="1040"/>
    <col width="11.44140625" customWidth="1" style="82" min="1041" max="1284"/>
    <col width="5" customWidth="1" style="82" min="1285" max="1285"/>
    <col width="28" customWidth="1" style="82" min="1286" max="1286"/>
    <col width="13.109375" customWidth="1" style="82" min="1287" max="1287"/>
    <col width="11.44140625" customWidth="1" style="82" min="1288" max="1288"/>
    <col width="15.6640625" customWidth="1" style="82" min="1289" max="1289"/>
    <col width="11.44140625" customWidth="1" style="82" min="1290" max="1290"/>
    <col width="14.33203125" customWidth="1" style="82" min="1291" max="1291"/>
    <col width="11.44140625" customWidth="1" style="82" min="1292" max="1292"/>
    <col width="17.44140625" customWidth="1" style="82" min="1293" max="1293"/>
    <col width="11.44140625" customWidth="1" style="82" min="1294" max="1295"/>
    <col width="14.88671875" bestFit="1" customWidth="1" style="82" min="1296" max="1296"/>
    <col width="11.44140625" customWidth="1" style="82" min="1297" max="1540"/>
    <col width="5" customWidth="1" style="82" min="1541" max="1541"/>
    <col width="28" customWidth="1" style="82" min="1542" max="1542"/>
    <col width="13.109375" customWidth="1" style="82" min="1543" max="1543"/>
    <col width="11.44140625" customWidth="1" style="82" min="1544" max="1544"/>
    <col width="15.6640625" customWidth="1" style="82" min="1545" max="1545"/>
    <col width="11.44140625" customWidth="1" style="82" min="1546" max="1546"/>
    <col width="14.33203125" customWidth="1" style="82" min="1547" max="1547"/>
    <col width="11.44140625" customWidth="1" style="82" min="1548" max="1548"/>
    <col width="17.44140625" customWidth="1" style="82" min="1549" max="1549"/>
    <col width="11.44140625" customWidth="1" style="82" min="1550" max="1551"/>
    <col width="14.88671875" bestFit="1" customWidth="1" style="82" min="1552" max="1552"/>
    <col width="11.44140625" customWidth="1" style="82" min="1553" max="1796"/>
    <col width="5" customWidth="1" style="82" min="1797" max="1797"/>
    <col width="28" customWidth="1" style="82" min="1798" max="1798"/>
    <col width="13.109375" customWidth="1" style="82" min="1799" max="1799"/>
    <col width="11.44140625" customWidth="1" style="82" min="1800" max="1800"/>
    <col width="15.6640625" customWidth="1" style="82" min="1801" max="1801"/>
    <col width="11.44140625" customWidth="1" style="82" min="1802" max="1802"/>
    <col width="14.33203125" customWidth="1" style="82" min="1803" max="1803"/>
    <col width="11.44140625" customWidth="1" style="82" min="1804" max="1804"/>
    <col width="17.44140625" customWidth="1" style="82" min="1805" max="1805"/>
    <col width="11.44140625" customWidth="1" style="82" min="1806" max="1807"/>
    <col width="14.88671875" bestFit="1" customWidth="1" style="82" min="1808" max="1808"/>
    <col width="11.44140625" customWidth="1" style="82" min="1809" max="2052"/>
    <col width="5" customWidth="1" style="82" min="2053" max="2053"/>
    <col width="28" customWidth="1" style="82" min="2054" max="2054"/>
    <col width="13.109375" customWidth="1" style="82" min="2055" max="2055"/>
    <col width="11.44140625" customWidth="1" style="82" min="2056" max="2056"/>
    <col width="15.6640625" customWidth="1" style="82" min="2057" max="2057"/>
    <col width="11.44140625" customWidth="1" style="82" min="2058" max="2058"/>
    <col width="14.33203125" customWidth="1" style="82" min="2059" max="2059"/>
    <col width="11.44140625" customWidth="1" style="82" min="2060" max="2060"/>
    <col width="17.44140625" customWidth="1" style="82" min="2061" max="2061"/>
    <col width="11.44140625" customWidth="1" style="82" min="2062" max="2063"/>
    <col width="14.88671875" bestFit="1" customWidth="1" style="82" min="2064" max="2064"/>
    <col width="11.44140625" customWidth="1" style="82" min="2065" max="2308"/>
    <col width="5" customWidth="1" style="82" min="2309" max="2309"/>
    <col width="28" customWidth="1" style="82" min="2310" max="2310"/>
    <col width="13.109375" customWidth="1" style="82" min="2311" max="2311"/>
    <col width="11.44140625" customWidth="1" style="82" min="2312" max="2312"/>
    <col width="15.6640625" customWidth="1" style="82" min="2313" max="2313"/>
    <col width="11.44140625" customWidth="1" style="82" min="2314" max="2314"/>
    <col width="14.33203125" customWidth="1" style="82" min="2315" max="2315"/>
    <col width="11.44140625" customWidth="1" style="82" min="2316" max="2316"/>
    <col width="17.44140625" customWidth="1" style="82" min="2317" max="2317"/>
    <col width="11.44140625" customWidth="1" style="82" min="2318" max="2319"/>
    <col width="14.88671875" bestFit="1" customWidth="1" style="82" min="2320" max="2320"/>
    <col width="11.44140625" customWidth="1" style="82" min="2321" max="2564"/>
    <col width="5" customWidth="1" style="82" min="2565" max="2565"/>
    <col width="28" customWidth="1" style="82" min="2566" max="2566"/>
    <col width="13.109375" customWidth="1" style="82" min="2567" max="2567"/>
    <col width="11.44140625" customWidth="1" style="82" min="2568" max="2568"/>
    <col width="15.6640625" customWidth="1" style="82" min="2569" max="2569"/>
    <col width="11.44140625" customWidth="1" style="82" min="2570" max="2570"/>
    <col width="14.33203125" customWidth="1" style="82" min="2571" max="2571"/>
    <col width="11.44140625" customWidth="1" style="82" min="2572" max="2572"/>
    <col width="17.44140625" customWidth="1" style="82" min="2573" max="2573"/>
    <col width="11.44140625" customWidth="1" style="82" min="2574" max="2575"/>
    <col width="14.88671875" bestFit="1" customWidth="1" style="82" min="2576" max="2576"/>
    <col width="11.44140625" customWidth="1" style="82" min="2577" max="2820"/>
    <col width="5" customWidth="1" style="82" min="2821" max="2821"/>
    <col width="28" customWidth="1" style="82" min="2822" max="2822"/>
    <col width="13.109375" customWidth="1" style="82" min="2823" max="2823"/>
    <col width="11.44140625" customWidth="1" style="82" min="2824" max="2824"/>
    <col width="15.6640625" customWidth="1" style="82" min="2825" max="2825"/>
    <col width="11.44140625" customWidth="1" style="82" min="2826" max="2826"/>
    <col width="14.33203125" customWidth="1" style="82" min="2827" max="2827"/>
    <col width="11.44140625" customWidth="1" style="82" min="2828" max="2828"/>
    <col width="17.44140625" customWidth="1" style="82" min="2829" max="2829"/>
    <col width="11.44140625" customWidth="1" style="82" min="2830" max="2831"/>
    <col width="14.88671875" bestFit="1" customWidth="1" style="82" min="2832" max="2832"/>
    <col width="11.44140625" customWidth="1" style="82" min="2833" max="3076"/>
    <col width="5" customWidth="1" style="82" min="3077" max="3077"/>
    <col width="28" customWidth="1" style="82" min="3078" max="3078"/>
    <col width="13.109375" customWidth="1" style="82" min="3079" max="3079"/>
    <col width="11.44140625" customWidth="1" style="82" min="3080" max="3080"/>
    <col width="15.6640625" customWidth="1" style="82" min="3081" max="3081"/>
    <col width="11.44140625" customWidth="1" style="82" min="3082" max="3082"/>
    <col width="14.33203125" customWidth="1" style="82" min="3083" max="3083"/>
    <col width="11.44140625" customWidth="1" style="82" min="3084" max="3084"/>
    <col width="17.44140625" customWidth="1" style="82" min="3085" max="3085"/>
    <col width="11.44140625" customWidth="1" style="82" min="3086" max="3087"/>
    <col width="14.88671875" bestFit="1" customWidth="1" style="82" min="3088" max="3088"/>
    <col width="11.44140625" customWidth="1" style="82" min="3089" max="3332"/>
    <col width="5" customWidth="1" style="82" min="3333" max="3333"/>
    <col width="28" customWidth="1" style="82" min="3334" max="3334"/>
    <col width="13.109375" customWidth="1" style="82" min="3335" max="3335"/>
    <col width="11.44140625" customWidth="1" style="82" min="3336" max="3336"/>
    <col width="15.6640625" customWidth="1" style="82" min="3337" max="3337"/>
    <col width="11.44140625" customWidth="1" style="82" min="3338" max="3338"/>
    <col width="14.33203125" customWidth="1" style="82" min="3339" max="3339"/>
    <col width="11.44140625" customWidth="1" style="82" min="3340" max="3340"/>
    <col width="17.44140625" customWidth="1" style="82" min="3341" max="3341"/>
    <col width="11.44140625" customWidth="1" style="82" min="3342" max="3343"/>
    <col width="14.88671875" bestFit="1" customWidth="1" style="82" min="3344" max="3344"/>
    <col width="11.44140625" customWidth="1" style="82" min="3345" max="3588"/>
    <col width="5" customWidth="1" style="82" min="3589" max="3589"/>
    <col width="28" customWidth="1" style="82" min="3590" max="3590"/>
    <col width="13.109375" customWidth="1" style="82" min="3591" max="3591"/>
    <col width="11.44140625" customWidth="1" style="82" min="3592" max="3592"/>
    <col width="15.6640625" customWidth="1" style="82" min="3593" max="3593"/>
    <col width="11.44140625" customWidth="1" style="82" min="3594" max="3594"/>
    <col width="14.33203125" customWidth="1" style="82" min="3595" max="3595"/>
    <col width="11.44140625" customWidth="1" style="82" min="3596" max="3596"/>
    <col width="17.44140625" customWidth="1" style="82" min="3597" max="3597"/>
    <col width="11.44140625" customWidth="1" style="82" min="3598" max="3599"/>
    <col width="14.88671875" bestFit="1" customWidth="1" style="82" min="3600" max="3600"/>
    <col width="11.44140625" customWidth="1" style="82" min="3601" max="3844"/>
    <col width="5" customWidth="1" style="82" min="3845" max="3845"/>
    <col width="28" customWidth="1" style="82" min="3846" max="3846"/>
    <col width="13.109375" customWidth="1" style="82" min="3847" max="3847"/>
    <col width="11.44140625" customWidth="1" style="82" min="3848" max="3848"/>
    <col width="15.6640625" customWidth="1" style="82" min="3849" max="3849"/>
    <col width="11.44140625" customWidth="1" style="82" min="3850" max="3850"/>
    <col width="14.33203125" customWidth="1" style="82" min="3851" max="3851"/>
    <col width="11.44140625" customWidth="1" style="82" min="3852" max="3852"/>
    <col width="17.44140625" customWidth="1" style="82" min="3853" max="3853"/>
    <col width="11.44140625" customWidth="1" style="82" min="3854" max="3855"/>
    <col width="14.88671875" bestFit="1" customWidth="1" style="82" min="3856" max="3856"/>
    <col width="11.44140625" customWidth="1" style="82" min="3857" max="4100"/>
    <col width="5" customWidth="1" style="82" min="4101" max="4101"/>
    <col width="28" customWidth="1" style="82" min="4102" max="4102"/>
    <col width="13.109375" customWidth="1" style="82" min="4103" max="4103"/>
    <col width="11.44140625" customWidth="1" style="82" min="4104" max="4104"/>
    <col width="15.6640625" customWidth="1" style="82" min="4105" max="4105"/>
    <col width="11.44140625" customWidth="1" style="82" min="4106" max="4106"/>
    <col width="14.33203125" customWidth="1" style="82" min="4107" max="4107"/>
    <col width="11.44140625" customWidth="1" style="82" min="4108" max="4108"/>
    <col width="17.44140625" customWidth="1" style="82" min="4109" max="4109"/>
    <col width="11.44140625" customWidth="1" style="82" min="4110" max="4111"/>
    <col width="14.88671875" bestFit="1" customWidth="1" style="82" min="4112" max="4112"/>
    <col width="11.44140625" customWidth="1" style="82" min="4113" max="4356"/>
    <col width="5" customWidth="1" style="82" min="4357" max="4357"/>
    <col width="28" customWidth="1" style="82" min="4358" max="4358"/>
    <col width="13.109375" customWidth="1" style="82" min="4359" max="4359"/>
    <col width="11.44140625" customWidth="1" style="82" min="4360" max="4360"/>
    <col width="15.6640625" customWidth="1" style="82" min="4361" max="4361"/>
    <col width="11.44140625" customWidth="1" style="82" min="4362" max="4362"/>
    <col width="14.33203125" customWidth="1" style="82" min="4363" max="4363"/>
    <col width="11.44140625" customWidth="1" style="82" min="4364" max="4364"/>
    <col width="17.44140625" customWidth="1" style="82" min="4365" max="4365"/>
    <col width="11.44140625" customWidth="1" style="82" min="4366" max="4367"/>
    <col width="14.88671875" bestFit="1" customWidth="1" style="82" min="4368" max="4368"/>
    <col width="11.44140625" customWidth="1" style="82" min="4369" max="4612"/>
    <col width="5" customWidth="1" style="82" min="4613" max="4613"/>
    <col width="28" customWidth="1" style="82" min="4614" max="4614"/>
    <col width="13.109375" customWidth="1" style="82" min="4615" max="4615"/>
    <col width="11.44140625" customWidth="1" style="82" min="4616" max="4616"/>
    <col width="15.6640625" customWidth="1" style="82" min="4617" max="4617"/>
    <col width="11.44140625" customWidth="1" style="82" min="4618" max="4618"/>
    <col width="14.33203125" customWidth="1" style="82" min="4619" max="4619"/>
    <col width="11.44140625" customWidth="1" style="82" min="4620" max="4620"/>
    <col width="17.44140625" customWidth="1" style="82" min="4621" max="4621"/>
    <col width="11.44140625" customWidth="1" style="82" min="4622" max="4623"/>
    <col width="14.88671875" bestFit="1" customWidth="1" style="82" min="4624" max="4624"/>
    <col width="11.44140625" customWidth="1" style="82" min="4625" max="4868"/>
    <col width="5" customWidth="1" style="82" min="4869" max="4869"/>
    <col width="28" customWidth="1" style="82" min="4870" max="4870"/>
    <col width="13.109375" customWidth="1" style="82" min="4871" max="4871"/>
    <col width="11.44140625" customWidth="1" style="82" min="4872" max="4872"/>
    <col width="15.6640625" customWidth="1" style="82" min="4873" max="4873"/>
    <col width="11.44140625" customWidth="1" style="82" min="4874" max="4874"/>
    <col width="14.33203125" customWidth="1" style="82" min="4875" max="4875"/>
    <col width="11.44140625" customWidth="1" style="82" min="4876" max="4876"/>
    <col width="17.44140625" customWidth="1" style="82" min="4877" max="4877"/>
    <col width="11.44140625" customWidth="1" style="82" min="4878" max="4879"/>
    <col width="14.88671875" bestFit="1" customWidth="1" style="82" min="4880" max="4880"/>
    <col width="11.44140625" customWidth="1" style="82" min="4881" max="5124"/>
    <col width="5" customWidth="1" style="82" min="5125" max="5125"/>
    <col width="28" customWidth="1" style="82" min="5126" max="5126"/>
    <col width="13.109375" customWidth="1" style="82" min="5127" max="5127"/>
    <col width="11.44140625" customWidth="1" style="82" min="5128" max="5128"/>
    <col width="15.6640625" customWidth="1" style="82" min="5129" max="5129"/>
    <col width="11.44140625" customWidth="1" style="82" min="5130" max="5130"/>
    <col width="14.33203125" customWidth="1" style="82" min="5131" max="5131"/>
    <col width="11.44140625" customWidth="1" style="82" min="5132" max="5132"/>
    <col width="17.44140625" customWidth="1" style="82" min="5133" max="5133"/>
    <col width="11.44140625" customWidth="1" style="82" min="5134" max="5135"/>
    <col width="14.88671875" bestFit="1" customWidth="1" style="82" min="5136" max="5136"/>
    <col width="11.44140625" customWidth="1" style="82" min="5137" max="5380"/>
    <col width="5" customWidth="1" style="82" min="5381" max="5381"/>
    <col width="28" customWidth="1" style="82" min="5382" max="5382"/>
    <col width="13.109375" customWidth="1" style="82" min="5383" max="5383"/>
    <col width="11.44140625" customWidth="1" style="82" min="5384" max="5384"/>
    <col width="15.6640625" customWidth="1" style="82" min="5385" max="5385"/>
    <col width="11.44140625" customWidth="1" style="82" min="5386" max="5386"/>
    <col width="14.33203125" customWidth="1" style="82" min="5387" max="5387"/>
    <col width="11.44140625" customWidth="1" style="82" min="5388" max="5388"/>
    <col width="17.44140625" customWidth="1" style="82" min="5389" max="5389"/>
    <col width="11.44140625" customWidth="1" style="82" min="5390" max="5391"/>
    <col width="14.88671875" bestFit="1" customWidth="1" style="82" min="5392" max="5392"/>
    <col width="11.44140625" customWidth="1" style="82" min="5393" max="5636"/>
    <col width="5" customWidth="1" style="82" min="5637" max="5637"/>
    <col width="28" customWidth="1" style="82" min="5638" max="5638"/>
    <col width="13.109375" customWidth="1" style="82" min="5639" max="5639"/>
    <col width="11.44140625" customWidth="1" style="82" min="5640" max="5640"/>
    <col width="15.6640625" customWidth="1" style="82" min="5641" max="5641"/>
    <col width="11.44140625" customWidth="1" style="82" min="5642" max="5642"/>
    <col width="14.33203125" customWidth="1" style="82" min="5643" max="5643"/>
    <col width="11.44140625" customWidth="1" style="82" min="5644" max="5644"/>
    <col width="17.44140625" customWidth="1" style="82" min="5645" max="5645"/>
    <col width="11.44140625" customWidth="1" style="82" min="5646" max="5647"/>
    <col width="14.88671875" bestFit="1" customWidth="1" style="82" min="5648" max="5648"/>
    <col width="11.44140625" customWidth="1" style="82" min="5649" max="5892"/>
    <col width="5" customWidth="1" style="82" min="5893" max="5893"/>
    <col width="28" customWidth="1" style="82" min="5894" max="5894"/>
    <col width="13.109375" customWidth="1" style="82" min="5895" max="5895"/>
    <col width="11.44140625" customWidth="1" style="82" min="5896" max="5896"/>
    <col width="15.6640625" customWidth="1" style="82" min="5897" max="5897"/>
    <col width="11.44140625" customWidth="1" style="82" min="5898" max="5898"/>
    <col width="14.33203125" customWidth="1" style="82" min="5899" max="5899"/>
    <col width="11.44140625" customWidth="1" style="82" min="5900" max="5900"/>
    <col width="17.44140625" customWidth="1" style="82" min="5901" max="5901"/>
    <col width="11.44140625" customWidth="1" style="82" min="5902" max="5903"/>
    <col width="14.88671875" bestFit="1" customWidth="1" style="82" min="5904" max="5904"/>
    <col width="11.44140625" customWidth="1" style="82" min="5905" max="6148"/>
    <col width="5" customWidth="1" style="82" min="6149" max="6149"/>
    <col width="28" customWidth="1" style="82" min="6150" max="6150"/>
    <col width="13.109375" customWidth="1" style="82" min="6151" max="6151"/>
    <col width="11.44140625" customWidth="1" style="82" min="6152" max="6152"/>
    <col width="15.6640625" customWidth="1" style="82" min="6153" max="6153"/>
    <col width="11.44140625" customWidth="1" style="82" min="6154" max="6154"/>
    <col width="14.33203125" customWidth="1" style="82" min="6155" max="6155"/>
    <col width="11.44140625" customWidth="1" style="82" min="6156" max="6156"/>
    <col width="17.44140625" customWidth="1" style="82" min="6157" max="6157"/>
    <col width="11.44140625" customWidth="1" style="82" min="6158" max="6159"/>
    <col width="14.88671875" bestFit="1" customWidth="1" style="82" min="6160" max="6160"/>
    <col width="11.44140625" customWidth="1" style="82" min="6161" max="6404"/>
    <col width="5" customWidth="1" style="82" min="6405" max="6405"/>
    <col width="28" customWidth="1" style="82" min="6406" max="6406"/>
    <col width="13.109375" customWidth="1" style="82" min="6407" max="6407"/>
    <col width="11.44140625" customWidth="1" style="82" min="6408" max="6408"/>
    <col width="15.6640625" customWidth="1" style="82" min="6409" max="6409"/>
    <col width="11.44140625" customWidth="1" style="82" min="6410" max="6410"/>
    <col width="14.33203125" customWidth="1" style="82" min="6411" max="6411"/>
    <col width="11.44140625" customWidth="1" style="82" min="6412" max="6412"/>
    <col width="17.44140625" customWidth="1" style="82" min="6413" max="6413"/>
    <col width="11.44140625" customWidth="1" style="82" min="6414" max="6415"/>
    <col width="14.88671875" bestFit="1" customWidth="1" style="82" min="6416" max="6416"/>
    <col width="11.44140625" customWidth="1" style="82" min="6417" max="6660"/>
    <col width="5" customWidth="1" style="82" min="6661" max="6661"/>
    <col width="28" customWidth="1" style="82" min="6662" max="6662"/>
    <col width="13.109375" customWidth="1" style="82" min="6663" max="6663"/>
    <col width="11.44140625" customWidth="1" style="82" min="6664" max="6664"/>
    <col width="15.6640625" customWidth="1" style="82" min="6665" max="6665"/>
    <col width="11.44140625" customWidth="1" style="82" min="6666" max="6666"/>
    <col width="14.33203125" customWidth="1" style="82" min="6667" max="6667"/>
    <col width="11.44140625" customWidth="1" style="82" min="6668" max="6668"/>
    <col width="17.44140625" customWidth="1" style="82" min="6669" max="6669"/>
    <col width="11.44140625" customWidth="1" style="82" min="6670" max="6671"/>
    <col width="14.88671875" bestFit="1" customWidth="1" style="82" min="6672" max="6672"/>
    <col width="11.44140625" customWidth="1" style="82" min="6673" max="6916"/>
    <col width="5" customWidth="1" style="82" min="6917" max="6917"/>
    <col width="28" customWidth="1" style="82" min="6918" max="6918"/>
    <col width="13.109375" customWidth="1" style="82" min="6919" max="6919"/>
    <col width="11.44140625" customWidth="1" style="82" min="6920" max="6920"/>
    <col width="15.6640625" customWidth="1" style="82" min="6921" max="6921"/>
    <col width="11.44140625" customWidth="1" style="82" min="6922" max="6922"/>
    <col width="14.33203125" customWidth="1" style="82" min="6923" max="6923"/>
    <col width="11.44140625" customWidth="1" style="82" min="6924" max="6924"/>
    <col width="17.44140625" customWidth="1" style="82" min="6925" max="6925"/>
    <col width="11.44140625" customWidth="1" style="82" min="6926" max="6927"/>
    <col width="14.88671875" bestFit="1" customWidth="1" style="82" min="6928" max="6928"/>
    <col width="11.44140625" customWidth="1" style="82" min="6929" max="7172"/>
    <col width="5" customWidth="1" style="82" min="7173" max="7173"/>
    <col width="28" customWidth="1" style="82" min="7174" max="7174"/>
    <col width="13.109375" customWidth="1" style="82" min="7175" max="7175"/>
    <col width="11.44140625" customWidth="1" style="82" min="7176" max="7176"/>
    <col width="15.6640625" customWidth="1" style="82" min="7177" max="7177"/>
    <col width="11.44140625" customWidth="1" style="82" min="7178" max="7178"/>
    <col width="14.33203125" customWidth="1" style="82" min="7179" max="7179"/>
    <col width="11.44140625" customWidth="1" style="82" min="7180" max="7180"/>
    <col width="17.44140625" customWidth="1" style="82" min="7181" max="7181"/>
    <col width="11.44140625" customWidth="1" style="82" min="7182" max="7183"/>
    <col width="14.88671875" bestFit="1" customWidth="1" style="82" min="7184" max="7184"/>
    <col width="11.44140625" customWidth="1" style="82" min="7185" max="7428"/>
    <col width="5" customWidth="1" style="82" min="7429" max="7429"/>
    <col width="28" customWidth="1" style="82" min="7430" max="7430"/>
    <col width="13.109375" customWidth="1" style="82" min="7431" max="7431"/>
    <col width="11.44140625" customWidth="1" style="82" min="7432" max="7432"/>
    <col width="15.6640625" customWidth="1" style="82" min="7433" max="7433"/>
    <col width="11.44140625" customWidth="1" style="82" min="7434" max="7434"/>
    <col width="14.33203125" customWidth="1" style="82" min="7435" max="7435"/>
    <col width="11.44140625" customWidth="1" style="82" min="7436" max="7436"/>
    <col width="17.44140625" customWidth="1" style="82" min="7437" max="7437"/>
    <col width="11.44140625" customWidth="1" style="82" min="7438" max="7439"/>
    <col width="14.88671875" bestFit="1" customWidth="1" style="82" min="7440" max="7440"/>
    <col width="11.44140625" customWidth="1" style="82" min="7441" max="7684"/>
    <col width="5" customWidth="1" style="82" min="7685" max="7685"/>
    <col width="28" customWidth="1" style="82" min="7686" max="7686"/>
    <col width="13.109375" customWidth="1" style="82" min="7687" max="7687"/>
    <col width="11.44140625" customWidth="1" style="82" min="7688" max="7688"/>
    <col width="15.6640625" customWidth="1" style="82" min="7689" max="7689"/>
    <col width="11.44140625" customWidth="1" style="82" min="7690" max="7690"/>
    <col width="14.33203125" customWidth="1" style="82" min="7691" max="7691"/>
    <col width="11.44140625" customWidth="1" style="82" min="7692" max="7692"/>
    <col width="17.44140625" customWidth="1" style="82" min="7693" max="7693"/>
    <col width="11.44140625" customWidth="1" style="82" min="7694" max="7695"/>
    <col width="14.88671875" bestFit="1" customWidth="1" style="82" min="7696" max="7696"/>
    <col width="11.44140625" customWidth="1" style="82" min="7697" max="7940"/>
    <col width="5" customWidth="1" style="82" min="7941" max="7941"/>
    <col width="28" customWidth="1" style="82" min="7942" max="7942"/>
    <col width="13.109375" customWidth="1" style="82" min="7943" max="7943"/>
    <col width="11.44140625" customWidth="1" style="82" min="7944" max="7944"/>
    <col width="15.6640625" customWidth="1" style="82" min="7945" max="7945"/>
    <col width="11.44140625" customWidth="1" style="82" min="7946" max="7946"/>
    <col width="14.33203125" customWidth="1" style="82" min="7947" max="7947"/>
    <col width="11.44140625" customWidth="1" style="82" min="7948" max="7948"/>
    <col width="17.44140625" customWidth="1" style="82" min="7949" max="7949"/>
    <col width="11.44140625" customWidth="1" style="82" min="7950" max="7951"/>
    <col width="14.88671875" bestFit="1" customWidth="1" style="82" min="7952" max="7952"/>
    <col width="11.44140625" customWidth="1" style="82" min="7953" max="8196"/>
    <col width="5" customWidth="1" style="82" min="8197" max="8197"/>
    <col width="28" customWidth="1" style="82" min="8198" max="8198"/>
    <col width="13.109375" customWidth="1" style="82" min="8199" max="8199"/>
    <col width="11.44140625" customWidth="1" style="82" min="8200" max="8200"/>
    <col width="15.6640625" customWidth="1" style="82" min="8201" max="8201"/>
    <col width="11.44140625" customWidth="1" style="82" min="8202" max="8202"/>
    <col width="14.33203125" customWidth="1" style="82" min="8203" max="8203"/>
    <col width="11.44140625" customWidth="1" style="82" min="8204" max="8204"/>
    <col width="17.44140625" customWidth="1" style="82" min="8205" max="8205"/>
    <col width="11.44140625" customWidth="1" style="82" min="8206" max="8207"/>
    <col width="14.88671875" bestFit="1" customWidth="1" style="82" min="8208" max="8208"/>
    <col width="11.44140625" customWidth="1" style="82" min="8209" max="8452"/>
    <col width="5" customWidth="1" style="82" min="8453" max="8453"/>
    <col width="28" customWidth="1" style="82" min="8454" max="8454"/>
    <col width="13.109375" customWidth="1" style="82" min="8455" max="8455"/>
    <col width="11.44140625" customWidth="1" style="82" min="8456" max="8456"/>
    <col width="15.6640625" customWidth="1" style="82" min="8457" max="8457"/>
    <col width="11.44140625" customWidth="1" style="82" min="8458" max="8458"/>
    <col width="14.33203125" customWidth="1" style="82" min="8459" max="8459"/>
    <col width="11.44140625" customWidth="1" style="82" min="8460" max="8460"/>
    <col width="17.44140625" customWidth="1" style="82" min="8461" max="8461"/>
    <col width="11.44140625" customWidth="1" style="82" min="8462" max="8463"/>
    <col width="14.88671875" bestFit="1" customWidth="1" style="82" min="8464" max="8464"/>
    <col width="11.44140625" customWidth="1" style="82" min="8465" max="8708"/>
    <col width="5" customWidth="1" style="82" min="8709" max="8709"/>
    <col width="28" customWidth="1" style="82" min="8710" max="8710"/>
    <col width="13.109375" customWidth="1" style="82" min="8711" max="8711"/>
    <col width="11.44140625" customWidth="1" style="82" min="8712" max="8712"/>
    <col width="15.6640625" customWidth="1" style="82" min="8713" max="8713"/>
    <col width="11.44140625" customWidth="1" style="82" min="8714" max="8714"/>
    <col width="14.33203125" customWidth="1" style="82" min="8715" max="8715"/>
    <col width="11.44140625" customWidth="1" style="82" min="8716" max="8716"/>
    <col width="17.44140625" customWidth="1" style="82" min="8717" max="8717"/>
    <col width="11.44140625" customWidth="1" style="82" min="8718" max="8719"/>
    <col width="14.88671875" bestFit="1" customWidth="1" style="82" min="8720" max="8720"/>
    <col width="11.44140625" customWidth="1" style="82" min="8721" max="8964"/>
    <col width="5" customWidth="1" style="82" min="8965" max="8965"/>
    <col width="28" customWidth="1" style="82" min="8966" max="8966"/>
    <col width="13.109375" customWidth="1" style="82" min="8967" max="8967"/>
    <col width="11.44140625" customWidth="1" style="82" min="8968" max="8968"/>
    <col width="15.6640625" customWidth="1" style="82" min="8969" max="8969"/>
    <col width="11.44140625" customWidth="1" style="82" min="8970" max="8970"/>
    <col width="14.33203125" customWidth="1" style="82" min="8971" max="8971"/>
    <col width="11.44140625" customWidth="1" style="82" min="8972" max="8972"/>
    <col width="17.44140625" customWidth="1" style="82" min="8973" max="8973"/>
    <col width="11.44140625" customWidth="1" style="82" min="8974" max="8975"/>
    <col width="14.88671875" bestFit="1" customWidth="1" style="82" min="8976" max="8976"/>
    <col width="11.44140625" customWidth="1" style="82" min="8977" max="9220"/>
    <col width="5" customWidth="1" style="82" min="9221" max="9221"/>
    <col width="28" customWidth="1" style="82" min="9222" max="9222"/>
    <col width="13.109375" customWidth="1" style="82" min="9223" max="9223"/>
    <col width="11.44140625" customWidth="1" style="82" min="9224" max="9224"/>
    <col width="15.6640625" customWidth="1" style="82" min="9225" max="9225"/>
    <col width="11.44140625" customWidth="1" style="82" min="9226" max="9226"/>
    <col width="14.33203125" customWidth="1" style="82" min="9227" max="9227"/>
    <col width="11.44140625" customWidth="1" style="82" min="9228" max="9228"/>
    <col width="17.44140625" customWidth="1" style="82" min="9229" max="9229"/>
    <col width="11.44140625" customWidth="1" style="82" min="9230" max="9231"/>
    <col width="14.88671875" bestFit="1" customWidth="1" style="82" min="9232" max="9232"/>
    <col width="11.44140625" customWidth="1" style="82" min="9233" max="9476"/>
    <col width="5" customWidth="1" style="82" min="9477" max="9477"/>
    <col width="28" customWidth="1" style="82" min="9478" max="9478"/>
    <col width="13.109375" customWidth="1" style="82" min="9479" max="9479"/>
    <col width="11.44140625" customWidth="1" style="82" min="9480" max="9480"/>
    <col width="15.6640625" customWidth="1" style="82" min="9481" max="9481"/>
    <col width="11.44140625" customWidth="1" style="82" min="9482" max="9482"/>
    <col width="14.33203125" customWidth="1" style="82" min="9483" max="9483"/>
    <col width="11.44140625" customWidth="1" style="82" min="9484" max="9484"/>
    <col width="17.44140625" customWidth="1" style="82" min="9485" max="9485"/>
    <col width="11.44140625" customWidth="1" style="82" min="9486" max="9487"/>
    <col width="14.88671875" bestFit="1" customWidth="1" style="82" min="9488" max="9488"/>
    <col width="11.44140625" customWidth="1" style="82" min="9489" max="9732"/>
    <col width="5" customWidth="1" style="82" min="9733" max="9733"/>
    <col width="28" customWidth="1" style="82" min="9734" max="9734"/>
    <col width="13.109375" customWidth="1" style="82" min="9735" max="9735"/>
    <col width="11.44140625" customWidth="1" style="82" min="9736" max="9736"/>
    <col width="15.6640625" customWidth="1" style="82" min="9737" max="9737"/>
    <col width="11.44140625" customWidth="1" style="82" min="9738" max="9738"/>
    <col width="14.33203125" customWidth="1" style="82" min="9739" max="9739"/>
    <col width="11.44140625" customWidth="1" style="82" min="9740" max="9740"/>
    <col width="17.44140625" customWidth="1" style="82" min="9741" max="9741"/>
    <col width="11.44140625" customWidth="1" style="82" min="9742" max="9743"/>
    <col width="14.88671875" bestFit="1" customWidth="1" style="82" min="9744" max="9744"/>
    <col width="11.44140625" customWidth="1" style="82" min="9745" max="9988"/>
    <col width="5" customWidth="1" style="82" min="9989" max="9989"/>
    <col width="28" customWidth="1" style="82" min="9990" max="9990"/>
    <col width="13.109375" customWidth="1" style="82" min="9991" max="9991"/>
    <col width="11.44140625" customWidth="1" style="82" min="9992" max="9992"/>
    <col width="15.6640625" customWidth="1" style="82" min="9993" max="9993"/>
    <col width="11.44140625" customWidth="1" style="82" min="9994" max="9994"/>
    <col width="14.33203125" customWidth="1" style="82" min="9995" max="9995"/>
    <col width="11.44140625" customWidth="1" style="82" min="9996" max="9996"/>
    <col width="17.44140625" customWidth="1" style="82" min="9997" max="9997"/>
    <col width="11.44140625" customWidth="1" style="82" min="9998" max="9999"/>
    <col width="14.88671875" bestFit="1" customWidth="1" style="82" min="10000" max="10000"/>
    <col width="11.44140625" customWidth="1" style="82" min="10001" max="10244"/>
    <col width="5" customWidth="1" style="82" min="10245" max="10245"/>
    <col width="28" customWidth="1" style="82" min="10246" max="10246"/>
    <col width="13.109375" customWidth="1" style="82" min="10247" max="10247"/>
    <col width="11.44140625" customWidth="1" style="82" min="10248" max="10248"/>
    <col width="15.6640625" customWidth="1" style="82" min="10249" max="10249"/>
    <col width="11.44140625" customWidth="1" style="82" min="10250" max="10250"/>
    <col width="14.33203125" customWidth="1" style="82" min="10251" max="10251"/>
    <col width="11.44140625" customWidth="1" style="82" min="10252" max="10252"/>
    <col width="17.44140625" customWidth="1" style="82" min="10253" max="10253"/>
    <col width="11.44140625" customWidth="1" style="82" min="10254" max="10255"/>
    <col width="14.88671875" bestFit="1" customWidth="1" style="82" min="10256" max="10256"/>
    <col width="11.44140625" customWidth="1" style="82" min="10257" max="10500"/>
    <col width="5" customWidth="1" style="82" min="10501" max="10501"/>
    <col width="28" customWidth="1" style="82" min="10502" max="10502"/>
    <col width="13.109375" customWidth="1" style="82" min="10503" max="10503"/>
    <col width="11.44140625" customWidth="1" style="82" min="10504" max="10504"/>
    <col width="15.6640625" customWidth="1" style="82" min="10505" max="10505"/>
    <col width="11.44140625" customWidth="1" style="82" min="10506" max="10506"/>
    <col width="14.33203125" customWidth="1" style="82" min="10507" max="10507"/>
    <col width="11.44140625" customWidth="1" style="82" min="10508" max="10508"/>
    <col width="17.44140625" customWidth="1" style="82" min="10509" max="10509"/>
    <col width="11.44140625" customWidth="1" style="82" min="10510" max="10511"/>
    <col width="14.88671875" bestFit="1" customWidth="1" style="82" min="10512" max="10512"/>
    <col width="11.44140625" customWidth="1" style="82" min="10513" max="10756"/>
    <col width="5" customWidth="1" style="82" min="10757" max="10757"/>
    <col width="28" customWidth="1" style="82" min="10758" max="10758"/>
    <col width="13.109375" customWidth="1" style="82" min="10759" max="10759"/>
    <col width="11.44140625" customWidth="1" style="82" min="10760" max="10760"/>
    <col width="15.6640625" customWidth="1" style="82" min="10761" max="10761"/>
    <col width="11.44140625" customWidth="1" style="82" min="10762" max="10762"/>
    <col width="14.33203125" customWidth="1" style="82" min="10763" max="10763"/>
    <col width="11.44140625" customWidth="1" style="82" min="10764" max="10764"/>
    <col width="17.44140625" customWidth="1" style="82" min="10765" max="10765"/>
    <col width="11.44140625" customWidth="1" style="82" min="10766" max="10767"/>
    <col width="14.88671875" bestFit="1" customWidth="1" style="82" min="10768" max="10768"/>
    <col width="11.44140625" customWidth="1" style="82" min="10769" max="11012"/>
    <col width="5" customWidth="1" style="82" min="11013" max="11013"/>
    <col width="28" customWidth="1" style="82" min="11014" max="11014"/>
    <col width="13.109375" customWidth="1" style="82" min="11015" max="11015"/>
    <col width="11.44140625" customWidth="1" style="82" min="11016" max="11016"/>
    <col width="15.6640625" customWidth="1" style="82" min="11017" max="11017"/>
    <col width="11.44140625" customWidth="1" style="82" min="11018" max="11018"/>
    <col width="14.33203125" customWidth="1" style="82" min="11019" max="11019"/>
    <col width="11.44140625" customWidth="1" style="82" min="11020" max="11020"/>
    <col width="17.44140625" customWidth="1" style="82" min="11021" max="11021"/>
    <col width="11.44140625" customWidth="1" style="82" min="11022" max="11023"/>
    <col width="14.88671875" bestFit="1" customWidth="1" style="82" min="11024" max="11024"/>
    <col width="11.44140625" customWidth="1" style="82" min="11025" max="11268"/>
    <col width="5" customWidth="1" style="82" min="11269" max="11269"/>
    <col width="28" customWidth="1" style="82" min="11270" max="11270"/>
    <col width="13.109375" customWidth="1" style="82" min="11271" max="11271"/>
    <col width="11.44140625" customWidth="1" style="82" min="11272" max="11272"/>
    <col width="15.6640625" customWidth="1" style="82" min="11273" max="11273"/>
    <col width="11.44140625" customWidth="1" style="82" min="11274" max="11274"/>
    <col width="14.33203125" customWidth="1" style="82" min="11275" max="11275"/>
    <col width="11.44140625" customWidth="1" style="82" min="11276" max="11276"/>
    <col width="17.44140625" customWidth="1" style="82" min="11277" max="11277"/>
    <col width="11.44140625" customWidth="1" style="82" min="11278" max="11279"/>
    <col width="14.88671875" bestFit="1" customWidth="1" style="82" min="11280" max="11280"/>
    <col width="11.44140625" customWidth="1" style="82" min="11281" max="11524"/>
    <col width="5" customWidth="1" style="82" min="11525" max="11525"/>
    <col width="28" customWidth="1" style="82" min="11526" max="11526"/>
    <col width="13.109375" customWidth="1" style="82" min="11527" max="11527"/>
    <col width="11.44140625" customWidth="1" style="82" min="11528" max="11528"/>
    <col width="15.6640625" customWidth="1" style="82" min="11529" max="11529"/>
    <col width="11.44140625" customWidth="1" style="82" min="11530" max="11530"/>
    <col width="14.33203125" customWidth="1" style="82" min="11531" max="11531"/>
    <col width="11.44140625" customWidth="1" style="82" min="11532" max="11532"/>
    <col width="17.44140625" customWidth="1" style="82" min="11533" max="11533"/>
    <col width="11.44140625" customWidth="1" style="82" min="11534" max="11535"/>
    <col width="14.88671875" bestFit="1" customWidth="1" style="82" min="11536" max="11536"/>
    <col width="11.44140625" customWidth="1" style="82" min="11537" max="11780"/>
    <col width="5" customWidth="1" style="82" min="11781" max="11781"/>
    <col width="28" customWidth="1" style="82" min="11782" max="11782"/>
    <col width="13.109375" customWidth="1" style="82" min="11783" max="11783"/>
    <col width="11.44140625" customWidth="1" style="82" min="11784" max="11784"/>
    <col width="15.6640625" customWidth="1" style="82" min="11785" max="11785"/>
    <col width="11.44140625" customWidth="1" style="82" min="11786" max="11786"/>
    <col width="14.33203125" customWidth="1" style="82" min="11787" max="11787"/>
    <col width="11.44140625" customWidth="1" style="82" min="11788" max="11788"/>
    <col width="17.44140625" customWidth="1" style="82" min="11789" max="11789"/>
    <col width="11.44140625" customWidth="1" style="82" min="11790" max="11791"/>
    <col width="14.88671875" bestFit="1" customWidth="1" style="82" min="11792" max="11792"/>
    <col width="11.44140625" customWidth="1" style="82" min="11793" max="12036"/>
    <col width="5" customWidth="1" style="82" min="12037" max="12037"/>
    <col width="28" customWidth="1" style="82" min="12038" max="12038"/>
    <col width="13.109375" customWidth="1" style="82" min="12039" max="12039"/>
    <col width="11.44140625" customWidth="1" style="82" min="12040" max="12040"/>
    <col width="15.6640625" customWidth="1" style="82" min="12041" max="12041"/>
    <col width="11.44140625" customWidth="1" style="82" min="12042" max="12042"/>
    <col width="14.33203125" customWidth="1" style="82" min="12043" max="12043"/>
    <col width="11.44140625" customWidth="1" style="82" min="12044" max="12044"/>
    <col width="17.44140625" customWidth="1" style="82" min="12045" max="12045"/>
    <col width="11.44140625" customWidth="1" style="82" min="12046" max="12047"/>
    <col width="14.88671875" bestFit="1" customWidth="1" style="82" min="12048" max="12048"/>
    <col width="11.44140625" customWidth="1" style="82" min="12049" max="12292"/>
    <col width="5" customWidth="1" style="82" min="12293" max="12293"/>
    <col width="28" customWidth="1" style="82" min="12294" max="12294"/>
    <col width="13.109375" customWidth="1" style="82" min="12295" max="12295"/>
    <col width="11.44140625" customWidth="1" style="82" min="12296" max="12296"/>
    <col width="15.6640625" customWidth="1" style="82" min="12297" max="12297"/>
    <col width="11.44140625" customWidth="1" style="82" min="12298" max="12298"/>
    <col width="14.33203125" customWidth="1" style="82" min="12299" max="12299"/>
    <col width="11.44140625" customWidth="1" style="82" min="12300" max="12300"/>
    <col width="17.44140625" customWidth="1" style="82" min="12301" max="12301"/>
    <col width="11.44140625" customWidth="1" style="82" min="12302" max="12303"/>
    <col width="14.88671875" bestFit="1" customWidth="1" style="82" min="12304" max="12304"/>
    <col width="11.44140625" customWidth="1" style="82" min="12305" max="12548"/>
    <col width="5" customWidth="1" style="82" min="12549" max="12549"/>
    <col width="28" customWidth="1" style="82" min="12550" max="12550"/>
    <col width="13.109375" customWidth="1" style="82" min="12551" max="12551"/>
    <col width="11.44140625" customWidth="1" style="82" min="12552" max="12552"/>
    <col width="15.6640625" customWidth="1" style="82" min="12553" max="12553"/>
    <col width="11.44140625" customWidth="1" style="82" min="12554" max="12554"/>
    <col width="14.33203125" customWidth="1" style="82" min="12555" max="12555"/>
    <col width="11.44140625" customWidth="1" style="82" min="12556" max="12556"/>
    <col width="17.44140625" customWidth="1" style="82" min="12557" max="12557"/>
    <col width="11.44140625" customWidth="1" style="82" min="12558" max="12559"/>
    <col width="14.88671875" bestFit="1" customWidth="1" style="82" min="12560" max="12560"/>
    <col width="11.44140625" customWidth="1" style="82" min="12561" max="12804"/>
    <col width="5" customWidth="1" style="82" min="12805" max="12805"/>
    <col width="28" customWidth="1" style="82" min="12806" max="12806"/>
    <col width="13.109375" customWidth="1" style="82" min="12807" max="12807"/>
    <col width="11.44140625" customWidth="1" style="82" min="12808" max="12808"/>
    <col width="15.6640625" customWidth="1" style="82" min="12809" max="12809"/>
    <col width="11.44140625" customWidth="1" style="82" min="12810" max="12810"/>
    <col width="14.33203125" customWidth="1" style="82" min="12811" max="12811"/>
    <col width="11.44140625" customWidth="1" style="82" min="12812" max="12812"/>
    <col width="17.44140625" customWidth="1" style="82" min="12813" max="12813"/>
    <col width="11.44140625" customWidth="1" style="82" min="12814" max="12815"/>
    <col width="14.88671875" bestFit="1" customWidth="1" style="82" min="12816" max="12816"/>
    <col width="11.44140625" customWidth="1" style="82" min="12817" max="13060"/>
    <col width="5" customWidth="1" style="82" min="13061" max="13061"/>
    <col width="28" customWidth="1" style="82" min="13062" max="13062"/>
    <col width="13.109375" customWidth="1" style="82" min="13063" max="13063"/>
    <col width="11.44140625" customWidth="1" style="82" min="13064" max="13064"/>
    <col width="15.6640625" customWidth="1" style="82" min="13065" max="13065"/>
    <col width="11.44140625" customWidth="1" style="82" min="13066" max="13066"/>
    <col width="14.33203125" customWidth="1" style="82" min="13067" max="13067"/>
    <col width="11.44140625" customWidth="1" style="82" min="13068" max="13068"/>
    <col width="17.44140625" customWidth="1" style="82" min="13069" max="13069"/>
    <col width="11.44140625" customWidth="1" style="82" min="13070" max="13071"/>
    <col width="14.88671875" bestFit="1" customWidth="1" style="82" min="13072" max="13072"/>
    <col width="11.44140625" customWidth="1" style="82" min="13073" max="13316"/>
    <col width="5" customWidth="1" style="82" min="13317" max="13317"/>
    <col width="28" customWidth="1" style="82" min="13318" max="13318"/>
    <col width="13.109375" customWidth="1" style="82" min="13319" max="13319"/>
    <col width="11.44140625" customWidth="1" style="82" min="13320" max="13320"/>
    <col width="15.6640625" customWidth="1" style="82" min="13321" max="13321"/>
    <col width="11.44140625" customWidth="1" style="82" min="13322" max="13322"/>
    <col width="14.33203125" customWidth="1" style="82" min="13323" max="13323"/>
    <col width="11.44140625" customWidth="1" style="82" min="13324" max="13324"/>
    <col width="17.44140625" customWidth="1" style="82" min="13325" max="13325"/>
    <col width="11.44140625" customWidth="1" style="82" min="13326" max="13327"/>
    <col width="14.88671875" bestFit="1" customWidth="1" style="82" min="13328" max="13328"/>
    <col width="11.44140625" customWidth="1" style="82" min="13329" max="13572"/>
    <col width="5" customWidth="1" style="82" min="13573" max="13573"/>
    <col width="28" customWidth="1" style="82" min="13574" max="13574"/>
    <col width="13.109375" customWidth="1" style="82" min="13575" max="13575"/>
    <col width="11.44140625" customWidth="1" style="82" min="13576" max="13576"/>
    <col width="15.6640625" customWidth="1" style="82" min="13577" max="13577"/>
    <col width="11.44140625" customWidth="1" style="82" min="13578" max="13578"/>
    <col width="14.33203125" customWidth="1" style="82" min="13579" max="13579"/>
    <col width="11.44140625" customWidth="1" style="82" min="13580" max="13580"/>
    <col width="17.44140625" customWidth="1" style="82" min="13581" max="13581"/>
    <col width="11.44140625" customWidth="1" style="82" min="13582" max="13583"/>
    <col width="14.88671875" bestFit="1" customWidth="1" style="82" min="13584" max="13584"/>
    <col width="11.44140625" customWidth="1" style="82" min="13585" max="13828"/>
    <col width="5" customWidth="1" style="82" min="13829" max="13829"/>
    <col width="28" customWidth="1" style="82" min="13830" max="13830"/>
    <col width="13.109375" customWidth="1" style="82" min="13831" max="13831"/>
    <col width="11.44140625" customWidth="1" style="82" min="13832" max="13832"/>
    <col width="15.6640625" customWidth="1" style="82" min="13833" max="13833"/>
    <col width="11.44140625" customWidth="1" style="82" min="13834" max="13834"/>
    <col width="14.33203125" customWidth="1" style="82" min="13835" max="13835"/>
    <col width="11.44140625" customWidth="1" style="82" min="13836" max="13836"/>
    <col width="17.44140625" customWidth="1" style="82" min="13837" max="13837"/>
    <col width="11.44140625" customWidth="1" style="82" min="13838" max="13839"/>
    <col width="14.88671875" bestFit="1" customWidth="1" style="82" min="13840" max="13840"/>
    <col width="11.44140625" customWidth="1" style="82" min="13841" max="14084"/>
    <col width="5" customWidth="1" style="82" min="14085" max="14085"/>
    <col width="28" customWidth="1" style="82" min="14086" max="14086"/>
    <col width="13.109375" customWidth="1" style="82" min="14087" max="14087"/>
    <col width="11.44140625" customWidth="1" style="82" min="14088" max="14088"/>
    <col width="15.6640625" customWidth="1" style="82" min="14089" max="14089"/>
    <col width="11.44140625" customWidth="1" style="82" min="14090" max="14090"/>
    <col width="14.33203125" customWidth="1" style="82" min="14091" max="14091"/>
    <col width="11.44140625" customWidth="1" style="82" min="14092" max="14092"/>
    <col width="17.44140625" customWidth="1" style="82" min="14093" max="14093"/>
    <col width="11.44140625" customWidth="1" style="82" min="14094" max="14095"/>
    <col width="14.88671875" bestFit="1" customWidth="1" style="82" min="14096" max="14096"/>
    <col width="11.44140625" customWidth="1" style="82" min="14097" max="14340"/>
    <col width="5" customWidth="1" style="82" min="14341" max="14341"/>
    <col width="28" customWidth="1" style="82" min="14342" max="14342"/>
    <col width="13.109375" customWidth="1" style="82" min="14343" max="14343"/>
    <col width="11.44140625" customWidth="1" style="82" min="14344" max="14344"/>
    <col width="15.6640625" customWidth="1" style="82" min="14345" max="14345"/>
    <col width="11.44140625" customWidth="1" style="82" min="14346" max="14346"/>
    <col width="14.33203125" customWidth="1" style="82" min="14347" max="14347"/>
    <col width="11.44140625" customWidth="1" style="82" min="14348" max="14348"/>
    <col width="17.44140625" customWidth="1" style="82" min="14349" max="14349"/>
    <col width="11.44140625" customWidth="1" style="82" min="14350" max="14351"/>
    <col width="14.88671875" bestFit="1" customWidth="1" style="82" min="14352" max="14352"/>
    <col width="11.44140625" customWidth="1" style="82" min="14353" max="14596"/>
    <col width="5" customWidth="1" style="82" min="14597" max="14597"/>
    <col width="28" customWidth="1" style="82" min="14598" max="14598"/>
    <col width="13.109375" customWidth="1" style="82" min="14599" max="14599"/>
    <col width="11.44140625" customWidth="1" style="82" min="14600" max="14600"/>
    <col width="15.6640625" customWidth="1" style="82" min="14601" max="14601"/>
    <col width="11.44140625" customWidth="1" style="82" min="14602" max="14602"/>
    <col width="14.33203125" customWidth="1" style="82" min="14603" max="14603"/>
    <col width="11.44140625" customWidth="1" style="82" min="14604" max="14604"/>
    <col width="17.44140625" customWidth="1" style="82" min="14605" max="14605"/>
    <col width="11.44140625" customWidth="1" style="82" min="14606" max="14607"/>
    <col width="14.88671875" bestFit="1" customWidth="1" style="82" min="14608" max="14608"/>
    <col width="11.44140625" customWidth="1" style="82" min="14609" max="14852"/>
    <col width="5" customWidth="1" style="82" min="14853" max="14853"/>
    <col width="28" customWidth="1" style="82" min="14854" max="14854"/>
    <col width="13.109375" customWidth="1" style="82" min="14855" max="14855"/>
    <col width="11.44140625" customWidth="1" style="82" min="14856" max="14856"/>
    <col width="15.6640625" customWidth="1" style="82" min="14857" max="14857"/>
    <col width="11.44140625" customWidth="1" style="82" min="14858" max="14858"/>
    <col width="14.33203125" customWidth="1" style="82" min="14859" max="14859"/>
    <col width="11.44140625" customWidth="1" style="82" min="14860" max="14860"/>
    <col width="17.44140625" customWidth="1" style="82" min="14861" max="14861"/>
    <col width="11.44140625" customWidth="1" style="82" min="14862" max="14863"/>
    <col width="14.88671875" bestFit="1" customWidth="1" style="82" min="14864" max="14864"/>
    <col width="11.44140625" customWidth="1" style="82" min="14865" max="15108"/>
    <col width="5" customWidth="1" style="82" min="15109" max="15109"/>
    <col width="28" customWidth="1" style="82" min="15110" max="15110"/>
    <col width="13.109375" customWidth="1" style="82" min="15111" max="15111"/>
    <col width="11.44140625" customWidth="1" style="82" min="15112" max="15112"/>
    <col width="15.6640625" customWidth="1" style="82" min="15113" max="15113"/>
    <col width="11.44140625" customWidth="1" style="82" min="15114" max="15114"/>
    <col width="14.33203125" customWidth="1" style="82" min="15115" max="15115"/>
    <col width="11.44140625" customWidth="1" style="82" min="15116" max="15116"/>
    <col width="17.44140625" customWidth="1" style="82" min="15117" max="15117"/>
    <col width="11.44140625" customWidth="1" style="82" min="15118" max="15119"/>
    <col width="14.88671875" bestFit="1" customWidth="1" style="82" min="15120" max="15120"/>
    <col width="11.44140625" customWidth="1" style="82" min="15121" max="15364"/>
    <col width="5" customWidth="1" style="82" min="15365" max="15365"/>
    <col width="28" customWidth="1" style="82" min="15366" max="15366"/>
    <col width="13.109375" customWidth="1" style="82" min="15367" max="15367"/>
    <col width="11.44140625" customWidth="1" style="82" min="15368" max="15368"/>
    <col width="15.6640625" customWidth="1" style="82" min="15369" max="15369"/>
    <col width="11.44140625" customWidth="1" style="82" min="15370" max="15370"/>
    <col width="14.33203125" customWidth="1" style="82" min="15371" max="15371"/>
    <col width="11.44140625" customWidth="1" style="82" min="15372" max="15372"/>
    <col width="17.44140625" customWidth="1" style="82" min="15373" max="15373"/>
    <col width="11.44140625" customWidth="1" style="82" min="15374" max="15375"/>
    <col width="14.88671875" bestFit="1" customWidth="1" style="82" min="15376" max="15376"/>
    <col width="11.44140625" customWidth="1" style="82" min="15377" max="15620"/>
    <col width="5" customWidth="1" style="82" min="15621" max="15621"/>
    <col width="28" customWidth="1" style="82" min="15622" max="15622"/>
    <col width="13.109375" customWidth="1" style="82" min="15623" max="15623"/>
    <col width="11.44140625" customWidth="1" style="82" min="15624" max="15624"/>
    <col width="15.6640625" customWidth="1" style="82" min="15625" max="15625"/>
    <col width="11.44140625" customWidth="1" style="82" min="15626" max="15626"/>
    <col width="14.33203125" customWidth="1" style="82" min="15627" max="15627"/>
    <col width="11.44140625" customWidth="1" style="82" min="15628" max="15628"/>
    <col width="17.44140625" customWidth="1" style="82" min="15629" max="15629"/>
    <col width="11.44140625" customWidth="1" style="82" min="15630" max="15631"/>
    <col width="14.88671875" bestFit="1" customWidth="1" style="82" min="15632" max="15632"/>
    <col width="11.44140625" customWidth="1" style="82" min="15633" max="15876"/>
    <col width="5" customWidth="1" style="82" min="15877" max="15877"/>
    <col width="28" customWidth="1" style="82" min="15878" max="15878"/>
    <col width="13.109375" customWidth="1" style="82" min="15879" max="15879"/>
    <col width="11.44140625" customWidth="1" style="82" min="15880" max="15880"/>
    <col width="15.6640625" customWidth="1" style="82" min="15881" max="15881"/>
    <col width="11.44140625" customWidth="1" style="82" min="15882" max="15882"/>
    <col width="14.33203125" customWidth="1" style="82" min="15883" max="15883"/>
    <col width="11.44140625" customWidth="1" style="82" min="15884" max="15884"/>
    <col width="17.44140625" customWidth="1" style="82" min="15885" max="15885"/>
    <col width="11.44140625" customWidth="1" style="82" min="15886" max="15887"/>
    <col width="14.88671875" bestFit="1" customWidth="1" style="82" min="15888" max="15888"/>
    <col width="11.44140625" customWidth="1" style="82" min="15889" max="16132"/>
    <col width="5" customWidth="1" style="82" min="16133" max="16133"/>
    <col width="28" customWidth="1" style="82" min="16134" max="16134"/>
    <col width="13.109375" customWidth="1" style="82" min="16135" max="16135"/>
    <col width="11.44140625" customWidth="1" style="82" min="16136" max="16136"/>
    <col width="15.6640625" customWidth="1" style="82" min="16137" max="16137"/>
    <col width="11.44140625" customWidth="1" style="82" min="16138" max="16138"/>
    <col width="14.33203125" customWidth="1" style="82" min="16139" max="16139"/>
    <col width="11.44140625" customWidth="1" style="82" min="16140" max="16140"/>
    <col width="17.44140625" customWidth="1" style="82" min="16141" max="16141"/>
    <col width="11.44140625" customWidth="1" style="82" min="16142" max="16143"/>
    <col width="14.88671875" bestFit="1" customWidth="1" style="82" min="16144" max="16144"/>
    <col width="11.44140625" customWidth="1" style="82" min="16145" max="16384"/>
  </cols>
  <sheetData>
    <row r="1" ht="16.2" thickBot="1"/>
    <row r="2" ht="26.1" customHeight="1" thickBot="1">
      <c r="A2" s="580" t="inlineStr">
        <is>
          <t xml:space="preserve"> REFERENCIAS DE MERCADO </t>
        </is>
      </c>
      <c r="B2" s="581" t="n"/>
      <c r="C2" s="581" t="n"/>
      <c r="D2" s="582" t="n"/>
      <c r="E2" s="582" t="n"/>
      <c r="F2" s="581" t="n"/>
      <c r="G2" s="583" t="inlineStr">
        <is>
          <t>UF:</t>
        </is>
      </c>
      <c r="H2" s="1314">
        <f>PORTADA!$H$8</f>
        <v/>
      </c>
      <c r="I2" s="1314" t="n"/>
      <c r="J2" s="1314" t="n"/>
      <c r="K2" s="1314" t="inlineStr">
        <is>
          <t>USD</t>
        </is>
      </c>
      <c r="L2" s="1314">
        <f>PORTADA!$H$9</f>
        <v/>
      </c>
      <c r="M2" s="1314" t="n"/>
      <c r="N2" s="584" t="n"/>
      <c r="O2" s="585" t="n"/>
      <c r="P2" s="586" t="n"/>
    </row>
    <row r="3" ht="13.5" customHeight="1">
      <c r="A3" s="587" t="n"/>
      <c r="B3" s="587" t="n"/>
      <c r="C3" s="587" t="n"/>
      <c r="D3" s="587" t="n"/>
      <c r="E3" s="587" t="n"/>
      <c r="F3" s="587" t="n"/>
      <c r="G3" s="588" t="n"/>
      <c r="H3" s="587" t="n"/>
      <c r="I3" s="587" t="n"/>
      <c r="J3" s="587" t="n"/>
      <c r="K3" s="587" t="n"/>
      <c r="L3" s="587" t="n"/>
      <c r="M3" s="587" t="n"/>
      <c r="N3" s="85" t="n"/>
    </row>
    <row r="4" ht="16.2" thickBot="1">
      <c r="A4" s="86" t="n"/>
      <c r="B4" s="85" t="n"/>
      <c r="C4" s="85" t="n"/>
      <c r="D4" s="85" t="n"/>
      <c r="E4" s="85" t="n"/>
      <c r="F4" s="85" t="n"/>
      <c r="G4" s="85" t="n"/>
      <c r="H4" s="85" t="n"/>
      <c r="I4" s="85" t="n"/>
      <c r="J4" s="85" t="n"/>
      <c r="K4" s="85" t="n"/>
      <c r="L4" s="85" t="n"/>
      <c r="M4" s="85" t="n"/>
      <c r="N4" s="85" t="n"/>
      <c r="O4" s="85" t="n"/>
    </row>
    <row r="5" ht="50.1" customHeight="1" thickBot="1">
      <c r="A5" s="589" t="inlineStr">
        <is>
          <t>Ubicación</t>
        </is>
      </c>
      <c r="B5" s="590" t="inlineStr">
        <is>
          <t>Región</t>
        </is>
      </c>
      <c r="C5" s="590" t="inlineStr">
        <is>
          <t>Comuna</t>
        </is>
      </c>
      <c r="D5" s="590" t="inlineStr">
        <is>
          <r>
            <t>Superficie
(m</t>
          </r>
          <r>
            <rPr>
              <rFont val="Calibri (Cuerpo)"/>
              <b val="1"/>
              <sz val="11"/>
              <vertAlign val="superscript"/>
            </rPr>
            <t>2</t>
          </r>
          <r>
            <rPr>
              <rFont val="Calibri"/>
              <family val="2"/>
              <b val="1"/>
              <sz val="11"/>
              <scheme val="minor"/>
            </rPr>
            <t>)</t>
          </r>
        </is>
      </c>
      <c r="E5" s="590" t="inlineStr">
        <is>
          <t>Valor Total Publicado
M$</t>
        </is>
      </c>
      <c r="F5" s="590" t="inlineStr">
        <is>
          <t>Valor Total Publicado
UF</t>
        </is>
      </c>
      <c r="G5" s="591" t="inlineStr">
        <is>
          <t>Fecha</t>
        </is>
      </c>
      <c r="H5" s="590" t="inlineStr">
        <is>
          <t>Tipo de
Referencia</t>
        </is>
      </c>
      <c r="I5" s="590" t="inlineStr">
        <is>
          <t>Valor Total Ajustado
UF</t>
        </is>
      </c>
      <c r="J5" s="590" t="inlineStr">
        <is>
          <r>
            <t>Superf.
edificada 
m</t>
          </r>
          <r>
            <rPr>
              <rFont val="Calibri (Cuerpo)"/>
              <b val="1"/>
              <sz val="11"/>
              <vertAlign val="superscript"/>
            </rPr>
            <t>2</t>
          </r>
        </is>
      </c>
      <c r="K5" s="590" t="inlineStr">
        <is>
          <r>
            <t>Valor  
edificado
UF/m</t>
          </r>
          <r>
            <rPr>
              <rFont val="Calibri (Cuerpo)"/>
              <b val="1"/>
              <sz val="11"/>
              <vertAlign val="superscript"/>
            </rPr>
            <t>2</t>
          </r>
        </is>
      </c>
      <c r="L5" s="590" t="inlineStr">
        <is>
          <t>Valor 
Depurado
UF</t>
        </is>
      </c>
      <c r="M5" s="590" t="inlineStr">
        <is>
          <r>
            <t>Valor 
Depurado
UF/m</t>
          </r>
          <r>
            <rPr>
              <rFont val="Calibri (Cuerpo)"/>
              <b val="1"/>
              <sz val="11"/>
              <vertAlign val="superscript"/>
            </rPr>
            <t>2</t>
          </r>
        </is>
      </c>
      <c r="N5" s="590" t="inlineStr">
        <is>
          <t>Link oferta o datos compraventa
(fs/nº/año/CBR)</t>
        </is>
      </c>
      <c r="O5" s="591" t="inlineStr">
        <is>
          <t>Breve descripción</t>
        </is>
      </c>
      <c r="P5" s="592" t="inlineStr">
        <is>
          <t>Referencia</t>
        </is>
      </c>
    </row>
    <row r="6" hidden="1" ht="41.1" customHeight="1">
      <c r="A6" s="593" t="inlineStr">
        <is>
          <t>Ruta 5 Norte km 109</t>
        </is>
      </c>
      <c r="B6" s="594" t="inlineStr">
        <is>
          <t>V</t>
        </is>
      </c>
      <c r="C6" s="594" t="inlineStr">
        <is>
          <t>Hijuelas</t>
        </is>
      </c>
      <c r="D6" s="595" t="n">
        <v>33000</v>
      </c>
      <c r="E6" s="595">
        <f>F6*H2/1000</f>
        <v/>
      </c>
      <c r="F6" s="596" t="n">
        <v>70000</v>
      </c>
      <c r="G6" s="597" t="n">
        <v>44225</v>
      </c>
      <c r="H6" s="594" t="inlineStr">
        <is>
          <t>Oferta</t>
        </is>
      </c>
      <c r="I6" s="594" t="n"/>
      <c r="J6" s="594" t="n"/>
      <c r="K6" s="594" t="n"/>
      <c r="L6" s="596">
        <f>IF(H6="Oferta",F6*$F$229-(J6*K6),F6)</f>
        <v/>
      </c>
      <c r="M6" s="598">
        <f>L6/D6</f>
        <v/>
      </c>
      <c r="N6" s="599" t="inlineStr">
        <is>
          <t>https://www.toctoc.com/propiedades/compracorredorasr/terreno/hijuelas/ruta-5-norte-hijuelas/1139997?utm_source=Lifull-connect&amp;utm_medium=referrer</t>
        </is>
      </c>
      <c r="O6" s="600" t="inlineStr">
        <is>
          <t xml:space="preserve">Terreno plano, sin construcciones en enlace sur a Hijuelas. </t>
        </is>
      </c>
    </row>
    <row r="7" hidden="1" ht="41.1" customHeight="1">
      <c r="A7" s="601" t="inlineStr">
        <is>
          <t xml:space="preserve">Ruta 5 norte  </t>
        </is>
      </c>
      <c r="B7" s="957" t="inlineStr">
        <is>
          <t>V</t>
        </is>
      </c>
      <c r="C7" s="957" t="inlineStr">
        <is>
          <t>Hijuelas</t>
        </is>
      </c>
      <c r="D7" s="958" t="n">
        <v>10000</v>
      </c>
      <c r="E7" s="959" t="n">
        <v>270000</v>
      </c>
      <c r="F7" s="602">
        <f>E7*1000/H2</f>
        <v/>
      </c>
      <c r="G7" s="960" t="n">
        <v>44221</v>
      </c>
      <c r="H7" s="957" t="inlineStr">
        <is>
          <t>Oferta</t>
        </is>
      </c>
      <c r="I7" s="957" t="n"/>
      <c r="J7" s="957" t="n"/>
      <c r="K7" s="957" t="n"/>
      <c r="L7" s="603">
        <f>IF(H7="Oferta",F7*$F$229-(J7*K7),F7)</f>
        <v/>
      </c>
      <c r="M7" s="604">
        <f>L7/D7</f>
        <v/>
      </c>
      <c r="N7" s="605" t="inlineStr">
        <is>
          <t>http://www.ewilde.cl/propiedad/terreno-industrial-hijuelas/105</t>
        </is>
      </c>
      <c r="O7" s="606" t="inlineStr">
        <is>
          <t>Poniente de ruta 5 norte, acceso por caletera.</t>
        </is>
      </c>
    </row>
    <row r="8" hidden="1" ht="60" customHeight="1">
      <c r="A8" s="601" t="inlineStr">
        <is>
          <t>Chonchi</t>
        </is>
      </c>
      <c r="B8" s="957" t="inlineStr">
        <is>
          <t>X</t>
        </is>
      </c>
      <c r="C8" s="957" t="inlineStr">
        <is>
          <t>Chonchi</t>
        </is>
      </c>
      <c r="D8" s="958" t="n">
        <v>10000</v>
      </c>
      <c r="E8" s="959" t="n">
        <v>220000</v>
      </c>
      <c r="F8" s="602">
        <f>E8*1000/$H$2</f>
        <v/>
      </c>
      <c r="G8" s="960" t="n">
        <v>44856</v>
      </c>
      <c r="H8" s="957" t="inlineStr">
        <is>
          <t>Oferta</t>
        </is>
      </c>
      <c r="I8" s="957" t="n"/>
      <c r="J8" s="957" t="n"/>
      <c r="K8" s="957" t="n"/>
      <c r="L8" s="603">
        <f>IF(H8="Oferta",F8*$F$229-(J8*K8),F8)</f>
        <v/>
      </c>
      <c r="M8" s="604">
        <f>L8/D8</f>
        <v/>
      </c>
      <c r="N8" s="607" t="inlineStr">
        <is>
          <t>http://www.economicos.cl/propiedades/vendo-propiedad-industrial-en-chonchi-codAATIN6Q.html</t>
        </is>
      </c>
      <c r="O8" s="608" t="inlineStr">
        <is>
          <r>
            <t>Propiedad industrial, con 300 m</t>
          </r>
          <r>
            <rPr>
              <rFont val="Calibri (Cuerpo)"/>
              <color theme="1"/>
              <sz val="10"/>
              <vertAlign val="superscript"/>
            </rPr>
            <t>2</t>
          </r>
          <r>
            <rPr>
              <rFont val="Calibri"/>
              <family val="2"/>
              <color theme="1"/>
              <sz val="10"/>
              <scheme val="minor"/>
            </rPr>
            <t xml:space="preserve"> construidos con instalaciones relacionadas al rubro</t>
          </r>
        </is>
      </c>
    </row>
    <row r="9" hidden="1" ht="60" customHeight="1">
      <c r="A9" s="609" t="inlineStr">
        <is>
          <t>Castro</t>
        </is>
      </c>
      <c r="B9" s="961" t="inlineStr">
        <is>
          <t>X</t>
        </is>
      </c>
      <c r="C9" s="961" t="inlineStr">
        <is>
          <t>Castro</t>
        </is>
      </c>
      <c r="D9" s="962" t="n">
        <v>6890</v>
      </c>
      <c r="E9" s="963" t="n">
        <v>220000</v>
      </c>
      <c r="F9" s="610">
        <f>E9*1000/$H$2</f>
        <v/>
      </c>
      <c r="G9" s="964" t="n">
        <v>44877</v>
      </c>
      <c r="H9" s="961" t="inlineStr">
        <is>
          <t>Oferta</t>
        </is>
      </c>
      <c r="I9" s="961" t="n"/>
      <c r="J9" s="961" t="n"/>
      <c r="K9" s="961" t="n"/>
      <c r="L9" s="611">
        <f>IF(H9="Oferta",F9*$F$229-(J9*K9),F9)</f>
        <v/>
      </c>
      <c r="M9" s="612">
        <f>L9/D9</f>
        <v/>
      </c>
      <c r="N9" s="613" t="inlineStr">
        <is>
          <t>http://www.economicos.cl/propiedades/propiedad-industrial-en-venta-en-castro-codR76244956-0L0-21546.html</t>
        </is>
      </c>
      <c r="O9" s="614" t="inlineStr">
        <is>
          <t xml:space="preserve"> Sector industrial  entrada de Castro, acceso directo desde Ruta 5, cuenta con APR y con factibilidad de tendido trifásico.</t>
        </is>
      </c>
    </row>
    <row r="10" hidden="1" ht="60" customHeight="1">
      <c r="A10" s="615" t="inlineStr">
        <is>
          <t>Calbuco</t>
        </is>
      </c>
      <c r="B10" s="965" t="inlineStr">
        <is>
          <t>X</t>
        </is>
      </c>
      <c r="C10" s="965" t="inlineStr">
        <is>
          <t>Calbuco</t>
        </is>
      </c>
      <c r="D10" s="966" t="n">
        <v>1300</v>
      </c>
      <c r="E10" s="967" t="n">
        <v>880000</v>
      </c>
      <c r="F10" s="616" t="n">
        <v>25000</v>
      </c>
      <c r="G10" s="968" t="n">
        <v>44958</v>
      </c>
      <c r="H10" s="965" t="inlineStr">
        <is>
          <t>Oferta</t>
        </is>
      </c>
      <c r="I10" s="967">
        <f>IF(H10="Oferta",F10*$F$229,F10)</f>
        <v/>
      </c>
      <c r="J10" s="965" t="n">
        <v>1300</v>
      </c>
      <c r="K10" s="965" t="n">
        <v>15</v>
      </c>
      <c r="L10" s="616">
        <f>I10-J10*K10</f>
        <v/>
      </c>
      <c r="M10" s="617">
        <f>L10/D10</f>
        <v/>
      </c>
      <c r="N10" s="618" t="inlineStr">
        <is>
          <t>https://www.economicos.cl/propiedades/planta-procesadora-de-pescados-y-mariscos-codAATQBUI.html</t>
        </is>
      </c>
      <c r="O10" s="969" t="inlineStr">
        <is>
          <t>planta procesadora de pescado y marisco</t>
        </is>
      </c>
      <c r="P10" s="970" t="inlineStr">
        <is>
          <t>Ref  ind 2025-171101</t>
        </is>
      </c>
    </row>
    <row r="11" hidden="1" ht="60" customHeight="1">
      <c r="A11" s="615" t="inlineStr">
        <is>
          <t>Terreno en Tomé</t>
        </is>
      </c>
      <c r="B11" s="965" t="inlineStr">
        <is>
          <t>VIII</t>
        </is>
      </c>
      <c r="C11" s="965" t="inlineStr">
        <is>
          <t>Tomé</t>
        </is>
      </c>
      <c r="D11" s="966" t="n">
        <v>52924</v>
      </c>
      <c r="E11" s="967">
        <f>F11*$H$2/1000</f>
        <v/>
      </c>
      <c r="F11" s="616" t="n">
        <v>35000</v>
      </c>
      <c r="G11" s="968" t="n">
        <v>46143</v>
      </c>
      <c r="H11" s="965" t="inlineStr">
        <is>
          <t>Oferta</t>
        </is>
      </c>
      <c r="I11" s="967">
        <f>IF(H11="Oferta",F11*$F$229,F11)</f>
        <v/>
      </c>
      <c r="J11" s="965" t="n">
        <v>0</v>
      </c>
      <c r="K11" s="965" t="n">
        <v>0</v>
      </c>
      <c r="L11" s="616">
        <f>I11-J11*K11</f>
        <v/>
      </c>
      <c r="M11" s="617">
        <f>L11/D11</f>
        <v/>
      </c>
      <c r="N11" s="619" t="inlineStr">
        <is>
          <t>https://www.portalinmobiliario.com/MLC-4112426366-remate-tome-terreno-calle-1-n493-lt-f-aysen-493-lt-g-_JM#polycard_client=search-desktop&amp;be_origin=backend&amp;search_layout=grid&amp;position=10&amp;type=item&amp;tracking_id=627efe66-4b1a-4725-a564-d2472dfe928b&amp;price_drop=true&amp;sid=search</t>
        </is>
      </c>
      <c r="O11" s="969" t="inlineStr">
        <is>
          <t>se emplaza en la parte alta del cerro al norte de playa El Morro, cerca del acceso a Villa Cocholgüe, sin habilitar.</t>
        </is>
      </c>
      <c r="P11" s="970" t="inlineStr">
        <is>
          <t>Ref ind 2026-010701</t>
        </is>
      </c>
    </row>
    <row r="12" hidden="1" ht="50.1" customHeight="1">
      <c r="A12" s="615" t="inlineStr">
        <is>
          <t>Terreno en Tomé</t>
        </is>
      </c>
      <c r="B12" s="965" t="inlineStr">
        <is>
          <t>VIII</t>
        </is>
      </c>
      <c r="C12" s="965" t="inlineStr">
        <is>
          <t>Tomé</t>
        </is>
      </c>
      <c r="D12" s="966" t="n">
        <v>5046</v>
      </c>
      <c r="E12" s="967">
        <f>F12*$H$2/1000</f>
        <v/>
      </c>
      <c r="F12" s="616" t="n">
        <v>19679</v>
      </c>
      <c r="G12" s="968" t="n">
        <v>45474</v>
      </c>
      <c r="H12" s="965" t="inlineStr">
        <is>
          <t>Oferta</t>
        </is>
      </c>
      <c r="I12" s="967">
        <f>IF(H12="Oferta",F12*$F$229,F12)</f>
        <v/>
      </c>
      <c r="J12" s="965" t="n">
        <v>0</v>
      </c>
      <c r="K12" s="965" t="n">
        <v>0</v>
      </c>
      <c r="L12" s="616">
        <f>I12-J12*K12</f>
        <v/>
      </c>
      <c r="M12" s="617">
        <f>L12/D12</f>
        <v/>
      </c>
      <c r="N12" s="619" t="inlineStr">
        <is>
          <t>https://www.portalinmobiliario.com/MLC-1709335365-venta-de-terreno-en-tome-id-51987-lin-_JM#polycard_client=search-desktop&amp;be_origin=backend&amp;search_layout=grid&amp;position=8&amp;type=item&amp;tracking_id=627efe66-4b1a-4725-a564-d2472dfe928b&amp;price_drop=not_apply&amp;sid=search</t>
        </is>
      </c>
      <c r="O12" s="969" t="inlineStr">
        <is>
          <t>Usos permitidos: Residencial y Equipamiento.  Coeficiente ocupación de suelo: 40%.  Coeficiente Constructibilidad 0,8.  Densidad bruta: 100 hab/ha. Sup. Radial mínima: 500</t>
        </is>
      </c>
      <c r="P12" s="970" t="inlineStr">
        <is>
          <t>Ref ind 2026-010702</t>
        </is>
      </c>
    </row>
    <row r="13" hidden="1" ht="60" customHeight="1">
      <c r="A13" s="749" t="inlineStr">
        <is>
          <t>Propiedad en  Ruta H-233, cercano a predio tasado</t>
        </is>
      </c>
      <c r="B13" s="750" t="inlineStr">
        <is>
          <t>VI</t>
        </is>
      </c>
      <c r="C13" s="750" t="inlineStr">
        <is>
          <t>Rancagua</t>
        </is>
      </c>
      <c r="D13" s="751" t="n">
        <v>140000</v>
      </c>
      <c r="E13" s="967">
        <f>F13*$H$2/1000</f>
        <v/>
      </c>
      <c r="F13" s="967" t="n">
        <v>91000</v>
      </c>
      <c r="G13" s="968" t="n">
        <v>46067</v>
      </c>
      <c r="H13" s="965" t="inlineStr">
        <is>
          <t>Oferta</t>
        </is>
      </c>
      <c r="I13" s="967">
        <f>IF(H13="Oferta",F13*$F$229,F13)</f>
        <v/>
      </c>
      <c r="J13" s="965" t="n">
        <v>0</v>
      </c>
      <c r="K13" s="965" t="n">
        <v>0</v>
      </c>
      <c r="L13" s="616">
        <f>I13-J13*K13</f>
        <v/>
      </c>
      <c r="M13" s="617">
        <f>L13/D13</f>
        <v/>
      </c>
      <c r="N13" s="969" t="inlineStr">
        <is>
          <t>https://www.portalinmobiliario.com/MLC-3575446050-terreno-construccion-en-venta-en-rancagua-_JM#polycard_client=search-map&amp;price_drop=not_apply&amp;be_origin=backend&amp;overlay_label=not_apply&amp;search_layout=map&amp;position=3&amp;type=item&amp;tracking_id=e2c67754-051a-4587-9a99-a09429be5d83&amp;sid=search</t>
        </is>
      </c>
      <c r="O13" s="1015" t="inlineStr">
        <is>
          <t>sector La Cruz, terreno ZEUES con posibildad de venta de lote de menor tamaño, mismo sector tasado</t>
        </is>
      </c>
      <c r="P13" s="970" t="n"/>
    </row>
    <row r="14" hidden="1" ht="60" customHeight="1">
      <c r="A14" s="749" t="inlineStr">
        <is>
          <t>Propiedad en  Ruta H-233, cercano a predio tasado</t>
        </is>
      </c>
      <c r="B14" s="750" t="inlineStr">
        <is>
          <t>VI</t>
        </is>
      </c>
      <c r="C14" s="750" t="inlineStr">
        <is>
          <t>Rancagua</t>
        </is>
      </c>
      <c r="D14" s="967" t="n">
        <v>9800</v>
      </c>
      <c r="E14" s="967">
        <f>F14*$H$2/1000</f>
        <v/>
      </c>
      <c r="F14" s="616" t="n">
        <v>6370</v>
      </c>
      <c r="G14" s="968" t="n">
        <v>46067</v>
      </c>
      <c r="H14" s="965" t="inlineStr">
        <is>
          <t>Oferta</t>
        </is>
      </c>
      <c r="I14" s="967">
        <f>IF(H14="Oferta",F14*$F$229,F14)</f>
        <v/>
      </c>
      <c r="J14" s="965" t="n">
        <v>0</v>
      </c>
      <c r="K14" s="965" t="n">
        <v>0</v>
      </c>
      <c r="L14" s="616">
        <f>I14-J14*K14</f>
        <v/>
      </c>
      <c r="M14" s="617">
        <f>L14/D14</f>
        <v/>
      </c>
      <c r="N14" s="969" t="inlineStr">
        <is>
          <t>https://www.portalinmobiliario.com/MLC-3575393050-terreno-construccion-en-venta-en-rancagua-_JM#polycard_client=search-map&amp;price_drop=not_apply&amp;be_origin=backend&amp;overlay_label=not_apply&amp;search_layout=map&amp;position=6&amp;type=item&amp;tracking_id=e2c67754-051a-4587-9a99-a09429be5d83&amp;sid=search</t>
        </is>
      </c>
      <c r="O14" s="1015" t="inlineStr">
        <is>
          <t>sector La Cruz, terreno ZEUES con servicios básicos , mismo sector tasado</t>
        </is>
      </c>
      <c r="P14" s="970" t="n"/>
    </row>
    <row r="15" hidden="1" ht="50.1" customHeight="1">
      <c r="A15" s="749" t="inlineStr">
        <is>
          <t>Terreno plano, con proyecto inmobiliario en  Ruta H-200</t>
        </is>
      </c>
      <c r="B15" s="750" t="inlineStr">
        <is>
          <t>VI</t>
        </is>
      </c>
      <c r="C15" s="750" t="inlineStr">
        <is>
          <t>Rancagua</t>
        </is>
      </c>
      <c r="D15" s="967" t="n">
        <v>139400</v>
      </c>
      <c r="E15" s="967">
        <f>F15*$H$2/1000</f>
        <v/>
      </c>
      <c r="F15" s="616" t="n">
        <v>209100</v>
      </c>
      <c r="G15" s="968" t="n">
        <v>46067</v>
      </c>
      <c r="H15" s="965" t="inlineStr">
        <is>
          <t>Oferta</t>
        </is>
      </c>
      <c r="I15" s="967">
        <f>IF(H15="Oferta",F15*$F$229,F15)</f>
        <v/>
      </c>
      <c r="J15" s="965" t="n">
        <v>0</v>
      </c>
      <c r="K15" s="965" t="n">
        <v>0</v>
      </c>
      <c r="L15" s="616">
        <f>I15-J15*K15</f>
        <v/>
      </c>
      <c r="M15" s="617">
        <f>L15/D15</f>
        <v/>
      </c>
      <c r="N15" s="969" t="inlineStr">
        <is>
          <t>https://www.portalinmobiliario.com/MLC-3336689894-terreno-san-ramon-proyecto-inmobiliario-_JM#polycard_client=search-map&amp;price_drop=not_apply&amp;be_origin=backend&amp;overlay_label=not_apply&amp;search_layout=map&amp;position=5&amp;type=item&amp;tracking_id=3f11ce2a-e7f6-4a3c-8c8f-85900534085d&amp;sid=search</t>
        </is>
      </c>
      <c r="O15" s="969" t="inlineStr">
        <is>
          <t>cercano a centro de la ciudad, uso mixto, zona en crecimiento</t>
        </is>
      </c>
      <c r="P15" s="970" t="n"/>
    </row>
    <row r="16" hidden="1" ht="60" customHeight="1">
      <c r="A16" s="749" t="inlineStr">
        <is>
          <t>Propiedad en zona ZEUES y AR-1, Ruta H-201</t>
        </is>
      </c>
      <c r="B16" s="750" t="inlineStr">
        <is>
          <t>VI</t>
        </is>
      </c>
      <c r="C16" s="750" t="inlineStr">
        <is>
          <t>Rancagua</t>
        </is>
      </c>
      <c r="D16" s="967">
        <f>41.1*10000</f>
        <v/>
      </c>
      <c r="E16" s="967">
        <f>F16*$H$2/1000</f>
        <v/>
      </c>
      <c r="F16" s="616" t="n">
        <v>61000</v>
      </c>
      <c r="G16" s="968" t="n">
        <v>46217</v>
      </c>
      <c r="H16" s="965" t="inlineStr">
        <is>
          <t>Oferta</t>
        </is>
      </c>
      <c r="I16" s="967">
        <f>IF(H16="Oferta",F16*$F$229,F16)</f>
        <v/>
      </c>
      <c r="J16" s="965" t="n">
        <v>0</v>
      </c>
      <c r="K16" s="965" t="n">
        <v>0</v>
      </c>
      <c r="L16" s="616">
        <f>I16-J16*K16</f>
        <v/>
      </c>
      <c r="M16" s="617">
        <f>L16/D16</f>
        <v/>
      </c>
      <c r="N16" s="969" t="inlineStr">
        <is>
          <t>https://www.portalinmobiliario.com/MLC-4188275772-oportunidad-de-inversion-en-terreno-amplio-170406-_JM#polycard_client=search-map&amp;price_drop=not_apply&amp;be_origin=backend&amp;overlay_label=not_apply&amp;search_layout=map&amp;position=34&amp;type=item&amp;tracking_id=3f11ce2a-e7f6-4a3c-8c8f-85900534085d&amp;sid=search</t>
        </is>
      </c>
      <c r="O16" s="1015" t="inlineStr">
        <is>
          <t>terreno de 41,1 ha ubicado sector El Crucero,  en zona ZEUES y AR1, similar al predio tasado, con acciones de canal, con construciones</t>
        </is>
      </c>
      <c r="P16" s="970" t="n"/>
    </row>
    <row r="17" hidden="1" ht="60" customHeight="1">
      <c r="A17" s="749" t="inlineStr">
        <is>
          <t>Predio de uso agrícola</t>
        </is>
      </c>
      <c r="B17" s="750" t="inlineStr">
        <is>
          <t>VI</t>
        </is>
      </c>
      <c r="C17" s="750" t="inlineStr">
        <is>
          <t>Rancagua</t>
        </is>
      </c>
      <c r="D17" s="966">
        <f>19.61*10000</f>
        <v/>
      </c>
      <c r="E17" s="967" t="n">
        <v>980500</v>
      </c>
      <c r="F17" s="616" t="n">
        <v>24032.70506784919</v>
      </c>
      <c r="G17" s="968" t="n">
        <v>46036</v>
      </c>
      <c r="H17" s="965" t="inlineStr">
        <is>
          <t>Oferta</t>
        </is>
      </c>
      <c r="I17" s="967">
        <f>IF(H17="Oferta",F17*$F$229,F17)</f>
        <v/>
      </c>
      <c r="J17" s="965" t="n">
        <v>0</v>
      </c>
      <c r="K17" s="965" t="n">
        <v>0</v>
      </c>
      <c r="L17" s="616">
        <f>I17-J17*K17</f>
        <v/>
      </c>
      <c r="M17" s="617">
        <f>L17/D17</f>
        <v/>
      </c>
      <c r="N17" s="969" t="inlineStr">
        <is>
          <t>https://www.portalinmobiliario.com/MLC-3505579952-agricola-en-venta-en-rancagua-_JM#polycard_client=recommendations_classi-realestate-vip&amp;reco_backend=realestate-odin&amp;reco_model=organicos-vis&amp;reco_client=classi-realestate-vip&amp;reco_item_pos=0&amp;reco_backend_type=function&amp;reco_id=16ac6830-2d5f-4850-9cf4-19133cc67fa7&amp;sid=recos</t>
        </is>
      </c>
      <c r="O17" s="1015" t="inlineStr">
        <is>
          <t>Propiedad agrícola, suelos planos, con derechos de agua</t>
        </is>
      </c>
      <c r="P17" s="970" t="n"/>
    </row>
    <row r="18" hidden="1" ht="50.1" customHeight="1">
      <c r="A18" s="749" t="inlineStr">
        <is>
          <t>Parcela cercana a predio tasado, Ruta H-15-G</t>
        </is>
      </c>
      <c r="B18" s="750" t="inlineStr">
        <is>
          <t>VI</t>
        </is>
      </c>
      <c r="C18" s="750" t="inlineStr">
        <is>
          <t>Rancagua</t>
        </is>
      </c>
      <c r="D18" s="966" t="n">
        <v>5000</v>
      </c>
      <c r="E18" s="967" t="n">
        <v>220000</v>
      </c>
      <c r="F18" s="616" t="n">
        <v>5392.345859180848</v>
      </c>
      <c r="G18" s="968" t="n">
        <v>46247</v>
      </c>
      <c r="H18" s="965" t="inlineStr">
        <is>
          <t>Oferta</t>
        </is>
      </c>
      <c r="I18" s="967">
        <f>IF(H18="Oferta",F18*$F$229,F18)</f>
        <v/>
      </c>
      <c r="J18" s="965" t="n">
        <v>0</v>
      </c>
      <c r="K18" s="965" t="n">
        <v>0</v>
      </c>
      <c r="L18" s="616">
        <f>I18-J18*K18</f>
        <v/>
      </c>
      <c r="M18" s="617">
        <f>L18/D18</f>
        <v/>
      </c>
      <c r="N18" s="969" t="inlineStr">
        <is>
          <t>https://www.portalinmobiliario.com/MLC-4342889654-amplitud-y-naturaleza-en-un-lugar-unico-179096-_JM#polycard_client=search-map&amp;price_drop=not_apply&amp;be_origin=backend&amp;overlay_label=not_apply&amp;search_layout=map&amp;position=6&amp;type=item&amp;tracking_id=f23461ee-dc1e-411b-9386-30d421f3ff14&amp;sid=search</t>
        </is>
      </c>
      <c r="O18" s="995" t="inlineStr">
        <is>
          <t>terreno plano, mismo sector tasado</t>
        </is>
      </c>
      <c r="P18" s="970" t="n"/>
    </row>
    <row r="19" hidden="1" ht="60" customHeight="1">
      <c r="A19" s="749" t="inlineStr">
        <is>
          <t>Propiedad agrícola Coltauco</t>
        </is>
      </c>
      <c r="B19" s="750" t="inlineStr">
        <is>
          <t>VI</t>
        </is>
      </c>
      <c r="C19" s="750" t="inlineStr">
        <is>
          <t>Rancagua</t>
        </is>
      </c>
      <c r="D19" s="966" t="n">
        <v>35800</v>
      </c>
      <c r="E19" s="967" t="n">
        <v>275390.3475</v>
      </c>
      <c r="F19" s="616" t="n">
        <v>6750</v>
      </c>
      <c r="G19" s="968" t="n">
        <v>46247</v>
      </c>
      <c r="H19" s="965" t="inlineStr">
        <is>
          <t>Oferta</t>
        </is>
      </c>
      <c r="I19" s="967">
        <f>IF(H19="Oferta",F19*$F$229,F19)</f>
        <v/>
      </c>
      <c r="J19" s="965" t="n">
        <v>0</v>
      </c>
      <c r="K19" s="965" t="n">
        <v>0</v>
      </c>
      <c r="L19" s="993">
        <f>I19-J19*K19</f>
        <v/>
      </c>
      <c r="M19" s="617">
        <f>L19/D19</f>
        <v/>
      </c>
      <c r="N19" s="969" t="inlineStr">
        <is>
          <t>https://www.engelvoelkers.com/cl/es/exposes/c25f1ad3-44a1-5c0a-a91c-8ec1906bda6f</t>
        </is>
      </c>
      <c r="O19" s="1015" t="inlineStr">
        <is>
          <t>terreno plano, plantado con alfalfa, acceso por ruta H 30</t>
        </is>
      </c>
      <c r="P19" s="994" t="n"/>
    </row>
    <row r="20" hidden="1" ht="60" customHeight="1">
      <c r="A20" s="749" t="inlineStr">
        <is>
          <t>Propiedad cercana a estadio Marista</t>
        </is>
      </c>
      <c r="B20" s="750" t="inlineStr">
        <is>
          <t>VI</t>
        </is>
      </c>
      <c r="C20" s="750" t="inlineStr">
        <is>
          <t>Rancagua</t>
        </is>
      </c>
      <c r="D20" s="966" t="n">
        <v>22000</v>
      </c>
      <c r="E20" s="967" t="n">
        <v>334548.274</v>
      </c>
      <c r="F20" s="616" t="n">
        <v>8200</v>
      </c>
      <c r="G20" s="968" t="n">
        <v>46247</v>
      </c>
      <c r="H20" s="965" t="inlineStr">
        <is>
          <t>Oferta</t>
        </is>
      </c>
      <c r="I20" s="967">
        <f>IF(H20="Oferta",F20*$F$229,F20)</f>
        <v/>
      </c>
      <c r="J20" s="965" t="n">
        <v>0</v>
      </c>
      <c r="K20" s="965" t="n">
        <v>0</v>
      </c>
      <c r="L20" s="993">
        <f>I20-J20*K20</f>
        <v/>
      </c>
      <c r="M20" s="617">
        <f>L20/D20</f>
        <v/>
      </c>
      <c r="N20" s="969" t="inlineStr">
        <is>
          <t>https://www.engelvoelkers.com/cl/es/exposes/ae8247fc-3566-59b0-98da-70cbb564e3b6</t>
        </is>
      </c>
      <c r="O20" s="1015" t="inlineStr">
        <is>
          <t>terreno plano, cercano al sector tasado, sin plantaciones, con derechos de agua</t>
        </is>
      </c>
      <c r="P20" s="994" t="n"/>
    </row>
    <row r="21" hidden="1" ht="50.1" customHeight="1">
      <c r="A21" s="615" t="inlineStr">
        <is>
          <t>Terreno en Tomé</t>
        </is>
      </c>
      <c r="B21" s="965" t="inlineStr">
        <is>
          <t>VIII</t>
        </is>
      </c>
      <c r="C21" s="965" t="inlineStr">
        <is>
          <t>Tomé</t>
        </is>
      </c>
      <c r="D21" s="966" t="n">
        <v>45000</v>
      </c>
      <c r="E21" s="967">
        <f>F21*$H$2/1000</f>
        <v/>
      </c>
      <c r="F21" s="616" t="n">
        <v>202500</v>
      </c>
      <c r="G21" s="968" t="n">
        <v>46174</v>
      </c>
      <c r="H21" s="965" t="inlineStr">
        <is>
          <t>Oferta</t>
        </is>
      </c>
      <c r="I21" s="967">
        <f>IF(H21="Oferta",F21*$F$229,F21)</f>
        <v/>
      </c>
      <c r="J21" s="965" t="n">
        <v>0</v>
      </c>
      <c r="K21" s="965" t="n">
        <v>0</v>
      </c>
      <c r="L21" s="616">
        <f>I21-J21*K21</f>
        <v/>
      </c>
      <c r="M21" s="996">
        <f>L21/D21</f>
        <v/>
      </c>
      <c r="N21" s="997" t="inlineStr">
        <is>
          <t>https://www.toctoc.com/propiedades/compracorredorasr/terreno/tome/gran-lote-gran-vista-al-mar-en-tome/3ab54e9c4b51c5cbaa15536968469c4901c302a6?utm_source=venta%2Fterreno%2Ftome</t>
        </is>
      </c>
      <c r="O21" s="998" t="inlineStr">
        <is>
          <t>Lote colindante con la propiedad, sector oriente, sin habilitar, con vegetación y pendiente</t>
        </is>
      </c>
      <c r="P21" s="970" t="inlineStr">
        <is>
          <t>Ref ind 2026-090701</t>
        </is>
      </c>
    </row>
    <row r="22" hidden="1" ht="50.1" customHeight="1">
      <c r="A22" s="615" t="inlineStr">
        <is>
          <t>Terreno en Tomé</t>
        </is>
      </c>
      <c r="B22" s="965" t="inlineStr">
        <is>
          <t>VIII</t>
        </is>
      </c>
      <c r="C22" s="965" t="inlineStr">
        <is>
          <t>Tomé</t>
        </is>
      </c>
      <c r="D22" s="966" t="n">
        <v>4445</v>
      </c>
      <c r="E22" s="967">
        <f>F22*$H$2/1000</f>
        <v/>
      </c>
      <c r="F22" s="616" t="n">
        <v>16000</v>
      </c>
      <c r="G22" s="968" t="n">
        <v>45474</v>
      </c>
      <c r="H22" s="965" t="inlineStr">
        <is>
          <t>Oferta</t>
        </is>
      </c>
      <c r="I22" s="967">
        <f>IF(H22="Oferta",F22*$F$229,F22)</f>
        <v/>
      </c>
      <c r="J22" s="965" t="n">
        <v>0</v>
      </c>
      <c r="K22" s="965" t="n">
        <v>0</v>
      </c>
      <c r="L22" s="616">
        <f>I22-J22*K22</f>
        <v/>
      </c>
      <c r="M22" s="617">
        <f>L22/D22</f>
        <v/>
      </c>
      <c r="N22" s="619" t="inlineStr">
        <is>
          <t>https://www.portalinmobiliario.com/MLC-1709451087-venta-de-terreno-en-tome-id-51986-lin-_JM#polycard_client=search-desktop&amp;be_origin=backend&amp;search_layout=grid&amp;position=7&amp;type=item&amp;tracking_id=627efe66-4b1a-4725-a564-d2472dfe928b&amp;price_drop=not_apply&amp;sid=search</t>
        </is>
      </c>
      <c r="O22" s="969" t="inlineStr">
        <is>
          <t>Usos permitidos: Residencial y Equipamiento.  Coeficiente ocupación de suelo: 40%.  Coeficiente Constructibilidad 0,8.  Densidad bruta: 100 hab/ha. Sup. Radial mínima: 500</t>
        </is>
      </c>
      <c r="P22" s="970" t="inlineStr">
        <is>
          <t>Ref ind 2026-010703</t>
        </is>
      </c>
    </row>
    <row r="23" hidden="1" ht="50.1" customHeight="1">
      <c r="A23" s="615" t="inlineStr">
        <is>
          <t>Terreno en Tomé</t>
        </is>
      </c>
      <c r="B23" s="965" t="inlineStr">
        <is>
          <t>VIII</t>
        </is>
      </c>
      <c r="C23" s="965" t="inlineStr">
        <is>
          <t>Tomé</t>
        </is>
      </c>
      <c r="D23" s="966" t="n">
        <v>107772</v>
      </c>
      <c r="E23" s="967">
        <f>F23*$H$2/1000</f>
        <v/>
      </c>
      <c r="F23" s="616" t="n">
        <v>27500</v>
      </c>
      <c r="G23" s="968" t="n">
        <v>45870</v>
      </c>
      <c r="H23" s="965" t="inlineStr">
        <is>
          <t>Oferta</t>
        </is>
      </c>
      <c r="I23" s="967">
        <f>IF(H23="Oferta",F23*$F$229,F23)</f>
        <v/>
      </c>
      <c r="J23" s="965" t="n">
        <v>0</v>
      </c>
      <c r="K23" s="965" t="n">
        <v>0</v>
      </c>
      <c r="L23" s="616">
        <f>I23-J23*K23</f>
        <v/>
      </c>
      <c r="M23" s="617">
        <f>L23/D23</f>
        <v/>
      </c>
      <c r="N23" s="619" t="inlineStr">
        <is>
          <t>https://www.portalinmobiliario.com/MLC-2950222766-venta-de-terreno-urbano-en-tome-id-77323-lin-_JM#polycard_client=search-desktop&amp;be_origin=backend&amp;search_layout=grid&amp;position=5&amp;type=item&amp;tracking_id=627efe66-4b1a-4725-a564-d2472dfe928b&amp;price_drop=not_apply&amp;sid=search</t>
        </is>
      </c>
      <c r="O23" s="969" t="inlineStr">
        <is>
          <t xml:space="preserve">Terreno urbano ubicado en la comuna de Tomé, ideal para el desarrollo de proyectos habitacionales </t>
        </is>
      </c>
      <c r="P23" s="970" t="inlineStr">
        <is>
          <t>Ref ind 2026-010704</t>
        </is>
      </c>
    </row>
    <row r="24" hidden="1" ht="50.1" customHeight="1">
      <c r="A24" s="615" t="inlineStr">
        <is>
          <t>Terreno en Tomé</t>
        </is>
      </c>
      <c r="B24" s="965" t="inlineStr">
        <is>
          <t>VIII</t>
        </is>
      </c>
      <c r="C24" s="965" t="inlineStr">
        <is>
          <t>Tomé</t>
        </is>
      </c>
      <c r="D24" s="966" t="n">
        <v>661</v>
      </c>
      <c r="E24" s="967" t="n">
        <v>119000</v>
      </c>
      <c r="F24" s="616">
        <f>E24*1000/$H$2</f>
        <v/>
      </c>
      <c r="G24" s="968" t="n">
        <v>45108</v>
      </c>
      <c r="H24" s="965" t="inlineStr">
        <is>
          <t>Oferta</t>
        </is>
      </c>
      <c r="I24" s="967">
        <f>IF(H24="Oferta",F24*$F$229,F24)</f>
        <v/>
      </c>
      <c r="J24" s="965" t="n">
        <v>0</v>
      </c>
      <c r="K24" s="965" t="n">
        <v>0</v>
      </c>
      <c r="L24" s="616">
        <f>I24-J24*K24</f>
        <v/>
      </c>
      <c r="M24" s="617">
        <f>L24/D24</f>
        <v/>
      </c>
      <c r="N24" s="619" t="inlineStr">
        <is>
          <t>https://www.portalinmobiliario.com/MLC-3221771482-venta-de-terreno-san-jose-del-mar-_JM#polycard_client=search-desktop&amp;be_origin=backend&amp;search_layout=grid&amp;position=9&amp;type=item&amp;tracking_id=627efe66-4b1a-4725-a564-d2472dfe928b&amp;price_drop=not_apply&amp;sid=search</t>
        </is>
      </c>
      <c r="O24" s="969" t="inlineStr">
        <is>
          <t>terreno en zona urbana, semiplano, sin habilitar</t>
        </is>
      </c>
      <c r="P24" s="970" t="inlineStr">
        <is>
          <t>Ref ind 2026-010705</t>
        </is>
      </c>
    </row>
    <row r="25" hidden="1" ht="50.1" customHeight="1">
      <c r="A25" s="615" t="inlineStr">
        <is>
          <t xml:space="preserve">Terreno urbano </t>
        </is>
      </c>
      <c r="B25" s="965" t="inlineStr">
        <is>
          <t>VIII</t>
        </is>
      </c>
      <c r="C25" s="965" t="inlineStr">
        <is>
          <t>Tomé</t>
        </is>
      </c>
      <c r="D25" s="966" t="n">
        <v>82000</v>
      </c>
      <c r="E25" s="967">
        <f>F25*$H$2/1000</f>
        <v/>
      </c>
      <c r="F25" s="616" t="n">
        <v>98400</v>
      </c>
      <c r="G25" s="968" t="n">
        <v>45246</v>
      </c>
      <c r="H25" s="965" t="inlineStr">
        <is>
          <t>Oferta</t>
        </is>
      </c>
      <c r="I25" s="967">
        <f>IF(H25="Oferta",F25*$F$229,F25)</f>
        <v/>
      </c>
      <c r="J25" s="965" t="n">
        <v>0</v>
      </c>
      <c r="K25" s="965" t="n">
        <v>0</v>
      </c>
      <c r="L25" s="616">
        <f>I25-J25*K25</f>
        <v/>
      </c>
      <c r="M25" s="617">
        <f>L25/D25</f>
        <v/>
      </c>
      <c r="N25" s="619" t="inlineStr">
        <is>
          <t>https://www.economicos.cl/propiedades/vendo-terreno-para-inversion-en-tome-codAAUDGTQ.html</t>
        </is>
      </c>
      <c r="O25" s="969" t="inlineStr">
        <is>
          <t>82.000 m2 de terreno urbano, en el camio entre Tomé y Coliumo, a orilllas de carretera principal</t>
        </is>
      </c>
      <c r="P25" s="970" t="inlineStr">
        <is>
          <t>Ref ind 2026-010706</t>
        </is>
      </c>
    </row>
    <row r="26" hidden="1" ht="50.1" customHeight="1">
      <c r="A26" s="615" t="inlineStr">
        <is>
          <t xml:space="preserve">Terreno urbano </t>
        </is>
      </c>
      <c r="B26" s="965" t="inlineStr">
        <is>
          <t>VIII</t>
        </is>
      </c>
      <c r="C26" s="965" t="inlineStr">
        <is>
          <t>Tomé</t>
        </is>
      </c>
      <c r="D26" s="966" t="n">
        <v>4255</v>
      </c>
      <c r="E26" s="967">
        <f>F26*$H$2/1000</f>
        <v/>
      </c>
      <c r="F26" s="616" t="n">
        <v>9600</v>
      </c>
      <c r="G26" s="968" t="n">
        <v>46165</v>
      </c>
      <c r="H26" s="965" t="inlineStr">
        <is>
          <t>Oferta</t>
        </is>
      </c>
      <c r="I26" s="967">
        <f>IF(H26="Oferta",F26*$F$229,F26)</f>
        <v/>
      </c>
      <c r="J26" s="965" t="n">
        <v>0</v>
      </c>
      <c r="K26" s="965" t="n">
        <v>0</v>
      </c>
      <c r="L26" s="616">
        <f>I26-J26*K26</f>
        <v/>
      </c>
      <c r="M26" s="617">
        <f>L26/D26</f>
        <v/>
      </c>
      <c r="N26" s="619" t="inlineStr">
        <is>
          <t>https://inmueble.mercadolibre.cl/MLC-4012877246-venta-terreno-sitio-4255mts-tome-_JM#polycard_client=search-desktop&amp;be_origin=backend&amp;search_layout=grid&amp;position=28&amp;type=item&amp;tracking_id=ba0217bd-06eb-4bc1-b47c-3b53218b6b14&amp;price_drop=not_apply&amp;sid=search</t>
        </is>
      </c>
      <c r="O26" s="969" t="inlineStr">
        <is>
          <t>Terreno plano, sin construcciones, sector urbano, calle Los Cerezos</t>
        </is>
      </c>
      <c r="P26" s="970" t="inlineStr">
        <is>
          <t>Ref ind 2026-010707</t>
        </is>
      </c>
    </row>
    <row r="27" hidden="1" ht="50.1" customHeight="1">
      <c r="A27" s="615" t="inlineStr">
        <is>
          <t xml:space="preserve">Terreno urbano </t>
        </is>
      </c>
      <c r="B27" s="965" t="inlineStr">
        <is>
          <t>VIII</t>
        </is>
      </c>
      <c r="C27" s="965" t="inlineStr">
        <is>
          <t>Tomé</t>
        </is>
      </c>
      <c r="D27" s="966" t="n">
        <v>19390</v>
      </c>
      <c r="E27" s="967">
        <f>F27*$H$2/1000</f>
        <v/>
      </c>
      <c r="F27" s="616">
        <f>2*D27</f>
        <v/>
      </c>
      <c r="G27" s="968" t="n">
        <v>46054</v>
      </c>
      <c r="H27" s="965" t="inlineStr">
        <is>
          <t>Oferta</t>
        </is>
      </c>
      <c r="I27" s="967">
        <f>IF(H27="Oferta",F27*$F$229,F27)</f>
        <v/>
      </c>
      <c r="J27" s="965" t="n">
        <v>0</v>
      </c>
      <c r="K27" s="965" t="n">
        <v>0</v>
      </c>
      <c r="L27" s="616">
        <f>I27-J27*K27</f>
        <v/>
      </c>
      <c r="M27" s="617">
        <f>L27/D27</f>
        <v/>
      </c>
      <c r="N27" s="619" t="inlineStr">
        <is>
          <t>https://inmueble.mercadolibre.cl/MLC-1834433249-venta-de-terreno-en-tome-id-82655-lin-_JM#polycard_client=search-desktop&amp;be_origin=backend&amp;search_layout=grid&amp;position=4&amp;type=item&amp;tracking_id=77beb2c4-3168-46f3-9b70-b4cdafabb769&amp;price_drop=not_apply&amp;sid=search</t>
        </is>
      </c>
      <c r="O27" s="969" t="inlineStr">
        <is>
          <t>Coef. Constructibilidad: 4.4
Coef. Ocupación de Suelo: 0.2
Densidad: Libre
Sup. Predial Mínima: 2.500 m²
Altura Máxima: 7 m</t>
        </is>
      </c>
      <c r="P27" s="970" t="inlineStr">
        <is>
          <t>Ref ind 2026-010708</t>
        </is>
      </c>
    </row>
    <row r="28" hidden="1" ht="50.1" customHeight="1">
      <c r="A28" s="615" t="inlineStr">
        <is>
          <t xml:space="preserve">Terreno urbano </t>
        </is>
      </c>
      <c r="B28" s="965" t="inlineStr">
        <is>
          <t>VIII</t>
        </is>
      </c>
      <c r="C28" s="965" t="inlineStr">
        <is>
          <t>Tomé</t>
        </is>
      </c>
      <c r="D28" s="966" t="n">
        <v>125900</v>
      </c>
      <c r="E28" s="967">
        <f>F28*$H$2/1000</f>
        <v/>
      </c>
      <c r="F28" s="616" t="n">
        <v>88130</v>
      </c>
      <c r="G28" s="968" t="n">
        <v>46196</v>
      </c>
      <c r="H28" s="965" t="inlineStr">
        <is>
          <t>Oferta</t>
        </is>
      </c>
      <c r="I28" s="967">
        <f>IF(H28="Oferta",F28*$F$229,F28)</f>
        <v/>
      </c>
      <c r="J28" s="965" t="n">
        <v>0</v>
      </c>
      <c r="K28" s="965" t="n">
        <v>0</v>
      </c>
      <c r="L28" s="616">
        <f>I28-J28*K28</f>
        <v/>
      </c>
      <c r="M28" s="617">
        <f>L28/D28</f>
        <v/>
      </c>
      <c r="N28" s="619" t="inlineStr">
        <is>
          <t>https://www.portalinmobiliario.com/MLC-4105687354-terreno-para-desarrollo-inmobiliario-_JM#polycard_client=search-desktop&amp;be_origin=backend&amp;search_layout=grid&amp;position=11&amp;type=item&amp;tracking_id=627efe66-4b1a-4725-a564-d2472dfe928b&amp;price_drop=not_apply&amp;sid=search</t>
        </is>
      </c>
      <c r="O28" s="969" t="inlineStr">
        <is>
          <t xml:space="preserve"> lomaje suave en el interior costero entre tomé y Dichato,  8 ha de zona residencial mixta para subdividir en hasta 300 mt2</t>
        </is>
      </c>
      <c r="P28" s="970" t="inlineStr">
        <is>
          <t>Ref ind 2026-010709</t>
        </is>
      </c>
    </row>
    <row r="29" hidden="1" ht="50.1" customHeight="1">
      <c r="A29" s="615" t="inlineStr">
        <is>
          <t xml:space="preserve">Terreno urbano </t>
        </is>
      </c>
      <c r="B29" s="965" t="inlineStr">
        <is>
          <t>VIII</t>
        </is>
      </c>
      <c r="C29" s="965" t="inlineStr">
        <is>
          <t>Tomé</t>
        </is>
      </c>
      <c r="D29" s="966" t="n">
        <v>4200</v>
      </c>
      <c r="E29" s="967">
        <f>F29*$H$2/1000</f>
        <v/>
      </c>
      <c r="F29" s="616" t="n">
        <v>12637</v>
      </c>
      <c r="G29" s="968" t="n">
        <v>45901</v>
      </c>
      <c r="H29" s="965" t="inlineStr">
        <is>
          <t>Oferta</t>
        </is>
      </c>
      <c r="I29" s="967">
        <f>IF(H29="Oferta",F29*$F$229,F29)</f>
        <v/>
      </c>
      <c r="J29" s="965" t="n">
        <v>0</v>
      </c>
      <c r="K29" s="965" t="n">
        <v>0</v>
      </c>
      <c r="L29" s="616">
        <f>I29-J29*K29</f>
        <v/>
      </c>
      <c r="M29" s="617">
        <f>L29/D29</f>
        <v/>
      </c>
      <c r="N29" s="619" t="inlineStr">
        <is>
          <t>https://inmueble.mercadolibre.cl/MLC-3106130606-venta-de-terreno-en-tome-id-77016-lin-_JM#polycard_client=search-desktop&amp;be_origin=backend&amp;search_layout=grid&amp;position=7&amp;type=item&amp;tracking_id=77beb2c4-3168-46f3-9b70-b4cdafabb769&amp;price_drop=not_apply&amp;sid=search</t>
        </is>
      </c>
      <c r="O29" s="969" t="inlineStr">
        <is>
          <t>terreno urbano, calle Los Nogales 1196, Tome</t>
        </is>
      </c>
      <c r="P29" s="970" t="inlineStr">
        <is>
          <t>Ref ind 2026-010710</t>
        </is>
      </c>
    </row>
    <row r="30" hidden="1" ht="60" customHeight="1">
      <c r="A30" s="615" t="inlineStr">
        <is>
          <t>Castro, terreno industrial Ruta 5 Sur</t>
        </is>
      </c>
      <c r="B30" s="965" t="inlineStr">
        <is>
          <t>X</t>
        </is>
      </c>
      <c r="C30" s="965" t="inlineStr">
        <is>
          <t>Castro</t>
        </is>
      </c>
      <c r="D30" s="967" t="n">
        <v>5000</v>
      </c>
      <c r="E30" s="967">
        <f>F30*H2/1000</f>
        <v/>
      </c>
      <c r="F30" s="616" t="n">
        <v>9800</v>
      </c>
      <c r="G30" s="968" t="n">
        <v>45978</v>
      </c>
      <c r="H30" s="965" t="inlineStr">
        <is>
          <t>Oferta</t>
        </is>
      </c>
      <c r="I30" s="967">
        <f>IF(H30="Oferta",F30*$F$229,F30)</f>
        <v/>
      </c>
      <c r="J30" s="965" t="n">
        <v>0</v>
      </c>
      <c r="K30" s="965" t="n"/>
      <c r="L30" s="616">
        <f>I30-J30*K30</f>
        <v/>
      </c>
      <c r="M30" s="617">
        <f>L30/D30</f>
        <v/>
      </c>
      <c r="N30" s="618" t="inlineStr">
        <is>
          <t>https://inmobisur.cl/propiedad/detalle/terreno-industrial-para-venta-1615</t>
        </is>
      </c>
      <c r="O30" s="969" t="inlineStr">
        <is>
          <t>Terreno plano, sin construcciones, sector uso industrial</t>
        </is>
      </c>
      <c r="P30" s="970" t="inlineStr">
        <is>
          <t>Ref  ind 2025-171102</t>
        </is>
      </c>
    </row>
    <row r="31" hidden="1" ht="60" customHeight="1">
      <c r="A31" s="620" t="inlineStr">
        <is>
          <t>Parcela  sector Huitauque</t>
        </is>
      </c>
      <c r="B31" s="971" t="inlineStr">
        <is>
          <t>X</t>
        </is>
      </c>
      <c r="C31" s="971" t="inlineStr">
        <is>
          <t>Chonchi</t>
        </is>
      </c>
      <c r="D31" s="972" t="n">
        <v>7271</v>
      </c>
      <c r="E31" s="962" t="n">
        <v>86000</v>
      </c>
      <c r="F31" s="621">
        <f>E31*1000/H2</f>
        <v/>
      </c>
      <c r="G31" s="973" t="n">
        <v>45978</v>
      </c>
      <c r="H31" s="971" t="inlineStr">
        <is>
          <t>Oferta</t>
        </is>
      </c>
      <c r="I31" s="971" t="n"/>
      <c r="J31" s="971" t="n">
        <v>0</v>
      </c>
      <c r="K31" s="971" t="n"/>
      <c r="L31" s="621">
        <f>IF(H31="Oferta",F31*$F$229-(J31*K31),F31)</f>
        <v/>
      </c>
      <c r="M31" s="622">
        <f>L31/D31</f>
        <v/>
      </c>
      <c r="N31" s="623" t="inlineStr">
        <is>
          <t>https://cl.portalterreno.com/propiedad/venta/parcela/chonchi/293828-excelente-parcela-vistas-al-mar-quinched-chiloe</t>
        </is>
      </c>
      <c r="O31" s="974" t="inlineStr">
        <is>
          <t>terreno cercano al mar, sin habilitar</t>
        </is>
      </c>
      <c r="P31" s="975" t="inlineStr">
        <is>
          <t>Ref ind 2025-171103</t>
        </is>
      </c>
    </row>
    <row r="32" hidden="1" ht="60" customHeight="1">
      <c r="A32" s="615" t="inlineStr">
        <is>
          <t>Terreno con playa en Chonchi</t>
        </is>
      </c>
      <c r="B32" s="965" t="inlineStr">
        <is>
          <t>X</t>
        </is>
      </c>
      <c r="C32" s="965" t="inlineStr">
        <is>
          <t>Chonchi</t>
        </is>
      </c>
      <c r="D32" s="966" t="n">
        <v>16100</v>
      </c>
      <c r="E32" s="967">
        <f>F32*H2/1000</f>
        <v/>
      </c>
      <c r="F32" s="616" t="n">
        <v>9660</v>
      </c>
      <c r="G32" s="968" t="n">
        <v>45978</v>
      </c>
      <c r="H32" s="965" t="inlineStr">
        <is>
          <t>Oferta</t>
        </is>
      </c>
      <c r="I32" s="967">
        <f>IF(H32="Oferta",F32*$F$229,F32)</f>
        <v/>
      </c>
      <c r="J32" s="965" t="n">
        <v>0</v>
      </c>
      <c r="K32" s="965" t="n"/>
      <c r="L32" s="616">
        <f>I32-J32*K32</f>
        <v/>
      </c>
      <c r="M32" s="617">
        <f>L32/D32</f>
        <v/>
      </c>
      <c r="N32" s="618" t="inlineStr">
        <is>
          <t>https://calvacindustrial.cl/propiedad/se-vende-espectacular-terreno-161ha-en-chonchi-con-acceso-a-la-playa/</t>
        </is>
      </c>
      <c r="O32" s="969" t="inlineStr">
        <is>
          <t>terreno con acceso a playa, cercano a Chonchi, sin habilitar, sin construcciones</t>
        </is>
      </c>
      <c r="P32" s="970" t="inlineStr">
        <is>
          <t>Ref ind 2025-171104</t>
        </is>
      </c>
    </row>
    <row r="33" hidden="1" ht="60" customHeight="1">
      <c r="A33" s="624" t="inlineStr">
        <is>
          <t>Terreno cercano a Ruta 5</t>
        </is>
      </c>
      <c r="B33" s="976" t="inlineStr">
        <is>
          <t>X</t>
        </is>
      </c>
      <c r="C33" s="976" t="inlineStr">
        <is>
          <t>Chonchi</t>
        </is>
      </c>
      <c r="D33" s="977" t="n">
        <v>20700</v>
      </c>
      <c r="E33" s="958" t="n">
        <v>230000</v>
      </c>
      <c r="F33" s="625" t="n">
        <v>5802</v>
      </c>
      <c r="G33" s="978" t="n">
        <v>45978</v>
      </c>
      <c r="H33" s="976" t="inlineStr">
        <is>
          <t>Oferta</t>
        </is>
      </c>
      <c r="I33" s="958">
        <f>IF(H33="Oferta",F33*$F$229,F33)</f>
        <v/>
      </c>
      <c r="J33" s="976" t="n">
        <v>0</v>
      </c>
      <c r="K33" s="976" t="n"/>
      <c r="L33" s="625">
        <f>I33-J33*K33</f>
        <v/>
      </c>
      <c r="M33" s="626">
        <f>L33/D33</f>
        <v/>
      </c>
      <c r="N33" s="627" t="inlineStr">
        <is>
          <t>https://cl.portalterreno.com/propiedad/venta/sitio/chonchi/346206-ruta-5-sur-a-38-km-de-la-ciudad-de-castro</t>
        </is>
      </c>
      <c r="O33" s="979" t="inlineStr">
        <is>
          <t>terreno con acceso directo al río, sector Llau Llao, sin habilitar</t>
        </is>
      </c>
      <c r="P33" s="980" t="inlineStr">
        <is>
          <t>Ref ind 2025-171105</t>
        </is>
      </c>
    </row>
    <row r="34" hidden="1" ht="60" customHeight="1">
      <c r="A34" s="609" t="inlineStr">
        <is>
          <t>Terreno en Quemchi</t>
        </is>
      </c>
      <c r="B34" s="961" t="inlineStr">
        <is>
          <t>X</t>
        </is>
      </c>
      <c r="C34" s="961" t="inlineStr">
        <is>
          <t>Quemchi</t>
        </is>
      </c>
      <c r="D34" s="972" t="n">
        <v>5100</v>
      </c>
      <c r="E34" s="963" t="n">
        <v>41943</v>
      </c>
      <c r="F34" s="610" t="n">
        <v>1058</v>
      </c>
      <c r="G34" s="964" t="n">
        <v>45474</v>
      </c>
      <c r="H34" s="961" t="inlineStr">
        <is>
          <t>Oferta</t>
        </is>
      </c>
      <c r="I34" s="961" t="n"/>
      <c r="J34" s="961" t="n">
        <v>0</v>
      </c>
      <c r="K34" s="961" t="n"/>
      <c r="L34" s="610">
        <f>IF(H34="Oferta",F34*$F$229-(J34*K34),F34)</f>
        <v/>
      </c>
      <c r="M34" s="628">
        <f>L34/D34</f>
        <v/>
      </c>
      <c r="N34" s="613" t="inlineStr">
        <is>
          <t>https://www.toctoc.com/propiedades/compracorredorasr/terreno/quemchi/sitio-en-venta-en-quemchi/5a5e157f36fffcbb5c464fba1addd2f2e5d2806e</t>
        </is>
      </c>
      <c r="O34" s="981" t="inlineStr">
        <is>
          <t>terreno cercano  a playa, con acceso a servicios básicos</t>
        </is>
      </c>
      <c r="P34" s="982" t="inlineStr">
        <is>
          <t>Ref ind 2025-171106</t>
        </is>
      </c>
    </row>
    <row r="35" hidden="1" ht="60" customHeight="1">
      <c r="A35" s="615" t="inlineStr">
        <is>
          <t>Terreno industrial Mocopulli</t>
        </is>
      </c>
      <c r="B35" s="965" t="inlineStr">
        <is>
          <t>X</t>
        </is>
      </c>
      <c r="C35" s="965" t="inlineStr">
        <is>
          <t>Dalcahue</t>
        </is>
      </c>
      <c r="D35" s="966" t="n">
        <v>5000</v>
      </c>
      <c r="E35" s="967" t="n">
        <v>376614</v>
      </c>
      <c r="F35" s="616" t="n">
        <v>9500</v>
      </c>
      <c r="G35" s="968" t="n">
        <v>45950</v>
      </c>
      <c r="H35" s="965" t="inlineStr">
        <is>
          <t>Oferta</t>
        </is>
      </c>
      <c r="I35" s="967">
        <f>IF(H35="Oferta",F35*$F$229,F35)</f>
        <v/>
      </c>
      <c r="J35" s="965" t="n">
        <v>0</v>
      </c>
      <c r="K35" s="965" t="n"/>
      <c r="L35" s="616">
        <f>I35-J35*K35</f>
        <v/>
      </c>
      <c r="M35" s="617">
        <f>L35/D35</f>
        <v/>
      </c>
      <c r="N35" s="618" t="inlineStr">
        <is>
          <t>https://www.toctoc.com/propiedades/compracorredorasr/terreno/dalcahue/sitio-industrial-en-venta-en-dalcahue/f329050c465e9face18c027da2bc68ef24a8a378</t>
        </is>
      </c>
      <c r="O35" s="969" t="inlineStr">
        <is>
          <t>terrenos industriales en Mocopulli, cercano a aeropuerto y Ruta 5 Sur</t>
        </is>
      </c>
      <c r="P35" s="970" t="inlineStr">
        <is>
          <t>Ref ind 2025-171107</t>
        </is>
      </c>
    </row>
    <row r="36" hidden="1" ht="60" customHeight="1">
      <c r="A36" s="615" t="inlineStr">
        <is>
          <t>Terreno industrial Puerto Montt</t>
        </is>
      </c>
      <c r="B36" s="965" t="inlineStr">
        <is>
          <t>X</t>
        </is>
      </c>
      <c r="C36" s="965" t="inlineStr">
        <is>
          <t>Puerto Montt</t>
        </is>
      </c>
      <c r="D36" s="966" t="n">
        <v>34190</v>
      </c>
      <c r="E36" s="967">
        <f>F36*H2/1000</f>
        <v/>
      </c>
      <c r="F36" s="616" t="n">
        <v>67250</v>
      </c>
      <c r="G36" s="968" t="n">
        <v>45979</v>
      </c>
      <c r="H36" s="965" t="inlineStr">
        <is>
          <t>Oferta</t>
        </is>
      </c>
      <c r="I36" s="967">
        <f>IF(H36="Oferta",F36*$F$229,F36)</f>
        <v/>
      </c>
      <c r="J36" s="965" t="n">
        <v>0</v>
      </c>
      <c r="K36" s="965" t="n"/>
      <c r="L36" s="616">
        <f>I36-J36*K36</f>
        <v/>
      </c>
      <c r="M36" s="617">
        <f>L36/D36</f>
        <v/>
      </c>
      <c r="N36" s="618" t="inlineStr">
        <is>
          <t>http://www.economicos.cl/propiedades/sitio-o-terreno-en-venta-en-puerto-montt-codR77087734-2L0-37065.html</t>
        </is>
      </c>
      <c r="O36" s="969" t="inlineStr">
        <is>
          <t>conformado por dos terrenos semiplanos, con construcciones</t>
        </is>
      </c>
      <c r="P36" s="970" t="inlineStr">
        <is>
          <t>Ref ind 2025-181101</t>
        </is>
      </c>
    </row>
    <row r="37" hidden="1" ht="60" customHeight="1">
      <c r="A37" s="615" t="inlineStr">
        <is>
          <t>Terreno en Calbuco</t>
        </is>
      </c>
      <c r="B37" s="965" t="inlineStr">
        <is>
          <t>X</t>
        </is>
      </c>
      <c r="C37" s="965" t="inlineStr">
        <is>
          <t>Puerto Montt</t>
        </is>
      </c>
      <c r="D37" s="966" t="n">
        <v>12288</v>
      </c>
      <c r="E37" s="967" t="n">
        <v>450000</v>
      </c>
      <c r="F37" s="616">
        <f>E37*1000/$H$2</f>
        <v/>
      </c>
      <c r="G37" s="968" t="n">
        <v>45980</v>
      </c>
      <c r="H37" s="965" t="inlineStr">
        <is>
          <t>Oferta</t>
        </is>
      </c>
      <c r="I37" s="967">
        <f>IF(H37="Oferta",F37*$F$229,F37)</f>
        <v/>
      </c>
      <c r="J37" s="965" t="n">
        <v>0</v>
      </c>
      <c r="K37" s="965" t="n"/>
      <c r="L37" s="616">
        <f>I37-J37*K37</f>
        <v/>
      </c>
      <c r="M37" s="617">
        <f>L37/D37</f>
        <v/>
      </c>
      <c r="N37" s="618" t="inlineStr">
        <is>
          <t>https://www.coldwellbanker.cl/propiedad/detalle/terreno-ruta-5-puerto-montt-9531</t>
        </is>
      </c>
      <c r="O37" s="969" t="inlineStr">
        <is>
          <t>terreno plano, sin habilitar, sector industrial y comercial, cercano a aeropuerto</t>
        </is>
      </c>
      <c r="P37" s="970" t="inlineStr">
        <is>
          <t>Ref ind 2025-191102</t>
        </is>
      </c>
    </row>
    <row r="38" hidden="1" ht="60" customHeight="1">
      <c r="A38" s="620" t="inlineStr">
        <is>
          <t>Propiedad industrial en Calbuco</t>
        </is>
      </c>
      <c r="B38" s="971" t="inlineStr">
        <is>
          <t>X</t>
        </is>
      </c>
      <c r="C38" s="971" t="inlineStr">
        <is>
          <t>Puerto Montt</t>
        </is>
      </c>
      <c r="D38" s="972" t="n">
        <v>7000</v>
      </c>
      <c r="E38" s="962" t="n">
        <v>1500000</v>
      </c>
      <c r="F38" s="621">
        <f>E38*1000/$H$2</f>
        <v/>
      </c>
      <c r="G38" s="973" t="n">
        <v>45980</v>
      </c>
      <c r="H38" s="971" t="inlineStr">
        <is>
          <t>Oferta</t>
        </is>
      </c>
      <c r="I38" s="962">
        <f>IF(H38="Oferta",F38*$F$229,F38)</f>
        <v/>
      </c>
      <c r="J38" s="971" t="n">
        <v>216</v>
      </c>
      <c r="K38" s="971" t="n">
        <v>15</v>
      </c>
      <c r="L38" s="621">
        <f>I38-J38*K38</f>
        <v/>
      </c>
      <c r="M38" s="622">
        <f>L38/D38</f>
        <v/>
      </c>
      <c r="N38" s="623" t="inlineStr">
        <is>
          <t>http://www.economicos.cl/propiedades/vendo-terreno-industrial-codAAU2M7Y.html</t>
        </is>
      </c>
      <c r="O38" s="974" t="inlineStr">
        <is>
          <t>terreno plano con dos galpones industriales</t>
        </is>
      </c>
      <c r="P38" s="975" t="inlineStr">
        <is>
          <t>Ref ind 2025-191103</t>
        </is>
      </c>
    </row>
    <row r="39" hidden="1" ht="60" customHeight="1">
      <c r="A39" s="615" t="inlineStr">
        <is>
          <t>Propiedad industrial en Puerto Montt</t>
        </is>
      </c>
      <c r="B39" s="965" t="inlineStr">
        <is>
          <t>X</t>
        </is>
      </c>
      <c r="C39" s="965" t="inlineStr">
        <is>
          <t>Puerto Montt</t>
        </is>
      </c>
      <c r="D39" s="966" t="n">
        <v>10000</v>
      </c>
      <c r="E39" s="967" t="n">
        <v>2860347</v>
      </c>
      <c r="F39" s="616">
        <f>E39*1000/$H$2</f>
        <v/>
      </c>
      <c r="G39" s="968" t="n">
        <v>45980</v>
      </c>
      <c r="H39" s="965" t="inlineStr">
        <is>
          <t>Oferta</t>
        </is>
      </c>
      <c r="I39" s="967">
        <f>IF(H39="Oferta",F39*$F$229,F39)</f>
        <v/>
      </c>
      <c r="J39" s="965" t="n">
        <v>2986</v>
      </c>
      <c r="K39" s="965" t="n">
        <v>15</v>
      </c>
      <c r="L39" s="616">
        <f>I39-J39*K39</f>
        <v/>
      </c>
      <c r="M39" s="617">
        <f>L39/D39</f>
        <v/>
      </c>
      <c r="N39" s="618" t="inlineStr">
        <is>
          <t>http://www.economicos.cl/propiedades/comercial-mares-de-chiloe-spa-puerto-montt-codAAUWBJA.html</t>
        </is>
      </c>
      <c r="O39" s="969" t="inlineStr">
        <is>
          <t xml:space="preserve"> terreno en forma de rectángulo irregular, con un frente a la ruta, con construcciones de tipo industrial</t>
        </is>
      </c>
      <c r="P39" s="970" t="inlineStr">
        <is>
          <t>Ref ind 2025-191104</t>
        </is>
      </c>
    </row>
    <row r="40" hidden="1" ht="60" customHeight="1">
      <c r="A40" s="620" t="inlineStr">
        <is>
          <t>Propiedad industrial en Cardonal</t>
        </is>
      </c>
      <c r="B40" s="971" t="inlineStr">
        <is>
          <t>X</t>
        </is>
      </c>
      <c r="C40" s="971" t="inlineStr">
        <is>
          <t>Puerto Montt</t>
        </is>
      </c>
      <c r="D40" s="972" t="n">
        <v>10600</v>
      </c>
      <c r="E40" s="962" t="n">
        <v>150000</v>
      </c>
      <c r="F40" s="621">
        <f>E40*1000/$H$2</f>
        <v/>
      </c>
      <c r="G40" s="973" t="n">
        <v>45771</v>
      </c>
      <c r="H40" s="971" t="inlineStr">
        <is>
          <t>Oferta</t>
        </is>
      </c>
      <c r="I40" s="962">
        <f>IF(H40="Oferta",F40*$F$229,F40)</f>
        <v/>
      </c>
      <c r="J40" s="971" t="n">
        <v>0</v>
      </c>
      <c r="K40" s="971" t="n">
        <v>0</v>
      </c>
      <c r="L40" s="621">
        <f>I40-J40*K40</f>
        <v/>
      </c>
      <c r="M40" s="622">
        <f>L40/D40</f>
        <v/>
      </c>
      <c r="N40" s="623" t="inlineStr">
        <is>
          <t>http://www.economicos.cl/propiedades/oportunidad-dos-parcelas-parque-industrial-apiasmontt-codAAULS3Y.html</t>
        </is>
      </c>
      <c r="O40" s="974" t="inlineStr">
        <is>
          <t xml:space="preserve"> dos parcelas, total de 10.600 m2, a 3 kilómetros de la Rotanda Cardonal,  en Ruta 226 a Tepual. Existe conexión a electricidad y agua</t>
        </is>
      </c>
      <c r="P40" s="975" t="inlineStr">
        <is>
          <t>Ref ind 2025-191105</t>
        </is>
      </c>
    </row>
    <row r="41" hidden="1" ht="60" customHeight="1">
      <c r="A41" s="615" t="inlineStr">
        <is>
          <t>Terreno en Puerto Montt</t>
        </is>
      </c>
      <c r="B41" s="965" t="inlineStr">
        <is>
          <t>X</t>
        </is>
      </c>
      <c r="C41" s="965" t="inlineStr">
        <is>
          <t>Puerto Montt</t>
        </is>
      </c>
      <c r="D41" s="966" t="n">
        <v>31625</v>
      </c>
      <c r="E41" s="967">
        <f>F41*$H$2/1000</f>
        <v/>
      </c>
      <c r="F41" s="616" t="n">
        <v>63000</v>
      </c>
      <c r="G41" s="968" t="n">
        <v>45980</v>
      </c>
      <c r="H41" s="965" t="inlineStr">
        <is>
          <t>Oferta</t>
        </is>
      </c>
      <c r="I41" s="967">
        <f>IF(H41="Oferta",F41*$F$229,F41)</f>
        <v/>
      </c>
      <c r="J41" s="965" t="n">
        <v>0</v>
      </c>
      <c r="K41" s="965" t="n">
        <v>0</v>
      </c>
      <c r="L41" s="616">
        <f>I41-J41*K41</f>
        <v/>
      </c>
      <c r="M41" s="617">
        <f>L41/D41</f>
        <v/>
      </c>
      <c r="N41" s="618" t="inlineStr">
        <is>
          <t>http://www.economicos.cl/propiedades/sitio-o-terreno-en-venta-en-puerto-montt-codR77205366-5L0-5263V.html</t>
        </is>
      </c>
      <c r="O41" s="969" t="inlineStr">
        <is>
          <t>terreno de uso comercial e industrial, cin construcciones</t>
        </is>
      </c>
      <c r="P41" s="970" t="inlineStr">
        <is>
          <t>Ref ind 2025-191106</t>
        </is>
      </c>
    </row>
    <row r="42" hidden="1" ht="60" customHeight="1">
      <c r="A42" s="615" t="inlineStr">
        <is>
          <t>Terreno en Puerto Montt</t>
        </is>
      </c>
      <c r="B42" s="965" t="inlineStr">
        <is>
          <t>X</t>
        </is>
      </c>
      <c r="C42" s="965" t="inlineStr">
        <is>
          <t>Puerto Montt</t>
        </is>
      </c>
      <c r="D42" s="966" t="n">
        <v>30000</v>
      </c>
      <c r="E42" s="967">
        <f>F42*$H$2/1000</f>
        <v/>
      </c>
      <c r="F42" s="616" t="n">
        <v>50000</v>
      </c>
      <c r="G42" s="968" t="n">
        <v>45980</v>
      </c>
      <c r="H42" s="965" t="inlineStr">
        <is>
          <t>Oferta</t>
        </is>
      </c>
      <c r="I42" s="967">
        <f>IF(H42="Oferta",F42*$F$229,F42)</f>
        <v/>
      </c>
      <c r="J42" s="965" t="n">
        <v>0</v>
      </c>
      <c r="K42" s="965" t="n">
        <v>0</v>
      </c>
      <c r="L42" s="616">
        <f>I42-J42*K42</f>
        <v/>
      </c>
      <c r="M42" s="617">
        <f>L42/D42</f>
        <v/>
      </c>
      <c r="N42" s="618" t="inlineStr">
        <is>
          <t>http://www.economicos.cl/propiedades/sitio-o-terreno-en-venta-en-puerto-varas-codR77205366-5L0-27548V.html</t>
        </is>
      </c>
      <c r="O42" s="969" t="inlineStr">
        <is>
          <t>terreno plano, acceso por caletera Ruta 5 Sur, acceso a servicios básicos</t>
        </is>
      </c>
      <c r="P42" s="970" t="inlineStr">
        <is>
          <t>Ref ind 2025-191107</t>
        </is>
      </c>
    </row>
    <row r="43" hidden="1" ht="60" customHeight="1">
      <c r="A43" s="615" t="inlineStr">
        <is>
          <t>Terreno con playa en Quemchi</t>
        </is>
      </c>
      <c r="B43" s="965" t="inlineStr">
        <is>
          <t>X</t>
        </is>
      </c>
      <c r="C43" s="965" t="inlineStr">
        <is>
          <t>Quemchi</t>
        </is>
      </c>
      <c r="D43" s="966" t="n">
        <v>52000</v>
      </c>
      <c r="E43" s="967">
        <f>F43*$H$2/1000</f>
        <v/>
      </c>
      <c r="F43" s="616" t="n">
        <v>20000</v>
      </c>
      <c r="G43" s="968" t="n">
        <v>45980</v>
      </c>
      <c r="H43" s="965" t="inlineStr">
        <is>
          <t>Oferta</t>
        </is>
      </c>
      <c r="I43" s="967">
        <f>IF(H43="Oferta",F43*$F$229,F43)</f>
        <v/>
      </c>
      <c r="J43" s="965" t="n">
        <v>0</v>
      </c>
      <c r="K43" s="965" t="n">
        <v>0</v>
      </c>
      <c r="L43" s="616">
        <f>I43-J43*K43</f>
        <v/>
      </c>
      <c r="M43" s="617">
        <f>L43/D43</f>
        <v/>
      </c>
      <c r="N43" s="618" t="inlineStr">
        <is>
          <t>https://ppartnersgroup.com/es-cl/propiedad/lindo-terreno-con-orilla-de-playa-sector-arrayanes-de-huite-quemchi/66798b803bdb40e7c2d66b81/</t>
        </is>
      </c>
      <c r="O43" s="969" t="inlineStr">
        <is>
          <t>terreno irregular, semiplano, sin habilitar con frente a borde costero</t>
        </is>
      </c>
      <c r="P43" s="970" t="inlineStr">
        <is>
          <t>Ref ind 2025-191108</t>
        </is>
      </c>
    </row>
    <row r="44" hidden="1" ht="60" customHeight="1">
      <c r="A44" s="624" t="inlineStr">
        <is>
          <t xml:space="preserve">Terreno orilla playa </t>
        </is>
      </c>
      <c r="B44" s="976" t="inlineStr">
        <is>
          <t>X</t>
        </is>
      </c>
      <c r="C44" s="976" t="inlineStr">
        <is>
          <t>Ancud</t>
        </is>
      </c>
      <c r="D44" s="977" t="n">
        <v>13200</v>
      </c>
      <c r="E44" s="958" t="n">
        <v>149000</v>
      </c>
      <c r="F44" s="625" t="n">
        <v>3759</v>
      </c>
      <c r="G44" s="978" t="n">
        <v>45980</v>
      </c>
      <c r="H44" s="976" t="inlineStr">
        <is>
          <t>Oferta</t>
        </is>
      </c>
      <c r="I44" s="958">
        <f>IF(H44="Oferta",F44*$F$229,F44)</f>
        <v/>
      </c>
      <c r="J44" s="976" t="n">
        <v>0</v>
      </c>
      <c r="K44" s="976" t="n">
        <v>0</v>
      </c>
      <c r="L44" s="625">
        <f>I44-J44*K44</f>
        <v/>
      </c>
      <c r="M44" s="626">
        <f>L44/D44</f>
        <v/>
      </c>
      <c r="N44" s="627" t="inlineStr">
        <is>
          <t>https://cl.portalterreno.com/propiedad/venta/terreno/ancud/318644-unico-132-ha-preciosa-vista-orilla-playa-bahia-yuste-ancud</t>
        </is>
      </c>
      <c r="O44" s="979" t="inlineStr">
        <is>
          <t xml:space="preserve">Terreno con orilla de playa, </t>
        </is>
      </c>
      <c r="P44" s="980" t="inlineStr">
        <is>
          <t>Ref ind 2025-211101</t>
        </is>
      </c>
    </row>
    <row r="45" hidden="1" ht="60" customHeight="1">
      <c r="A45" s="601" t="inlineStr">
        <is>
          <t xml:space="preserve">Terreno orilla playa </t>
        </is>
      </c>
      <c r="B45" s="957" t="inlineStr">
        <is>
          <t>X</t>
        </is>
      </c>
      <c r="C45" s="957" t="inlineStr">
        <is>
          <t>Ancud</t>
        </is>
      </c>
      <c r="D45" s="977" t="n">
        <v>10000</v>
      </c>
      <c r="E45" s="959" t="n">
        <v>85000</v>
      </c>
      <c r="F45" s="602">
        <f>E45*1000/$H$2</f>
        <v/>
      </c>
      <c r="G45" s="960" t="n">
        <v>45980</v>
      </c>
      <c r="H45" s="957" t="inlineStr">
        <is>
          <t>Oferta</t>
        </is>
      </c>
      <c r="I45" s="959">
        <f>IF(H45="Oferta",F45*$F$229,F45)</f>
        <v/>
      </c>
      <c r="J45" s="957" t="n">
        <v>0</v>
      </c>
      <c r="K45" s="957" t="n">
        <v>0</v>
      </c>
      <c r="L45" s="602">
        <f>I45-J45*K45</f>
        <v/>
      </c>
      <c r="M45" s="629">
        <f>L45/D45</f>
        <v/>
      </c>
      <c r="N45" s="607" t="inlineStr">
        <is>
          <t>https://cl.portalterreno.com/propiedad/venta/terreno/ancud/341856-preciosa-vista-y-orilla-limpio-1-ha-nal-bajo-ancud-chiloe</t>
        </is>
      </c>
      <c r="O45" s="983" t="inlineStr">
        <is>
          <t xml:space="preserve">Terreno con orilla de playa, </t>
        </is>
      </c>
      <c r="P45" s="984" t="inlineStr">
        <is>
          <t>Ref ind 2025-211102</t>
        </is>
      </c>
    </row>
    <row r="46" hidden="1" ht="60" customHeight="1">
      <c r="A46" s="609" t="inlineStr">
        <is>
          <t>Terreno en Chonchi</t>
        </is>
      </c>
      <c r="B46" s="961" t="inlineStr">
        <is>
          <t>X</t>
        </is>
      </c>
      <c r="C46" s="961" t="inlineStr">
        <is>
          <t>Chonchi</t>
        </is>
      </c>
      <c r="D46" s="972" t="n">
        <v>17000</v>
      </c>
      <c r="E46" s="963" t="n">
        <v>110000</v>
      </c>
      <c r="F46" s="610">
        <f>E46*1000/$H$2</f>
        <v/>
      </c>
      <c r="G46" s="964" t="n">
        <v>45980</v>
      </c>
      <c r="H46" s="961" t="inlineStr">
        <is>
          <t>Oferta</t>
        </is>
      </c>
      <c r="I46" s="961" t="n"/>
      <c r="J46" s="961" t="n">
        <v>0</v>
      </c>
      <c r="K46" s="961" t="n">
        <v>0</v>
      </c>
      <c r="L46" s="610">
        <f>IF(H46="Oferta",F46*$F$229-(J46*K46),F46)</f>
        <v/>
      </c>
      <c r="M46" s="628">
        <f>L46/D46</f>
        <v/>
      </c>
      <c r="N46" s="613" t="inlineStr">
        <is>
          <t>https://cl.portalterreno.com/propiedad/venta/terreno/quemchi/275279-precioso-17ha-vista-paso-orilla-puerto-huite-quemchi-chiloe</t>
        </is>
      </c>
      <c r="O46" s="981" t="inlineStr">
        <is>
          <t>terreno sin habilitar, semiplano, a 600 metros de orilla de playa</t>
        </is>
      </c>
      <c r="P46" s="982" t="inlineStr">
        <is>
          <t>Ref ind 2025-211103</t>
        </is>
      </c>
    </row>
    <row r="47" hidden="1" ht="60" customHeight="1">
      <c r="A47" s="615" t="inlineStr">
        <is>
          <t xml:space="preserve">Terreno industrial </t>
        </is>
      </c>
      <c r="B47" s="965" t="inlineStr">
        <is>
          <t>X</t>
        </is>
      </c>
      <c r="C47" s="965" t="inlineStr">
        <is>
          <t>Chonchi</t>
        </is>
      </c>
      <c r="D47" s="966" t="n">
        <v>10000</v>
      </c>
      <c r="E47" s="967" t="n">
        <v>222559</v>
      </c>
      <c r="F47" s="616" t="n">
        <v>5614</v>
      </c>
      <c r="G47" s="968" t="n">
        <v>45057</v>
      </c>
      <c r="H47" s="965" t="inlineStr">
        <is>
          <t>Oferta</t>
        </is>
      </c>
      <c r="I47" s="967">
        <f>IF(H47="Oferta",F47*$F$229,F47)</f>
        <v/>
      </c>
      <c r="J47" s="965" t="n">
        <v>75</v>
      </c>
      <c r="K47" s="965" t="n">
        <v>6</v>
      </c>
      <c r="L47" s="616">
        <f>I47-J47*K47</f>
        <v/>
      </c>
      <c r="M47" s="617">
        <f>L47/D47</f>
        <v/>
      </c>
      <c r="N47" s="618" t="inlineStr">
        <is>
          <t>https://www.toctoc.com/propiedades/compracorredorasr/terreno/chonchi/terreno-industrial-sector-canan-chonchi/2562969?o=mapa</t>
        </is>
      </c>
      <c r="O47" s="969" t="inlineStr">
        <is>
          <t>terreno  plano con casa de 75 m2 y planta de producción de hielo</t>
        </is>
      </c>
      <c r="P47" s="970" t="inlineStr">
        <is>
          <t>Ref ind 2025-281101</t>
        </is>
      </c>
    </row>
    <row r="48" hidden="1" ht="60" customHeight="1">
      <c r="A48" s="615" t="inlineStr">
        <is>
          <t>Terreno comercial en Quemchi</t>
        </is>
      </c>
      <c r="B48" s="965" t="inlineStr">
        <is>
          <t>X</t>
        </is>
      </c>
      <c r="C48" s="965" t="inlineStr">
        <is>
          <t>Quemchi</t>
        </is>
      </c>
      <c r="D48" s="966" t="n">
        <v>3049</v>
      </c>
      <c r="E48" s="967" t="n">
        <v>368685</v>
      </c>
      <c r="F48" s="616" t="n">
        <v>9300</v>
      </c>
      <c r="G48" s="968" t="n">
        <v>45930</v>
      </c>
      <c r="H48" s="965" t="inlineStr">
        <is>
          <t>Oferta</t>
        </is>
      </c>
      <c r="I48" s="967">
        <f>IF(H48="Oferta",F48*$F$229,F48)</f>
        <v/>
      </c>
      <c r="J48" s="965" t="n">
        <v>385</v>
      </c>
      <c r="K48" s="965" t="n">
        <v>6</v>
      </c>
      <c r="L48" s="616">
        <f>I48-J48*K48</f>
        <v/>
      </c>
      <c r="M48" s="617">
        <f>L48/D48</f>
        <v/>
      </c>
      <c r="N48" s="618" t="inlineStr">
        <is>
          <t>https://www.toctoc.com/propiedades/compracorredorasr/terreno/quemchi/16-en-quemchi/3959982</t>
        </is>
      </c>
      <c r="O48" s="969" t="inlineStr">
        <is>
          <t>sitio en el acceso principal de Quemchi, comuna situada en el hermoso sector del Borde Costero</t>
        </is>
      </c>
      <c r="P48" s="970" t="inlineStr">
        <is>
          <t>Ref ind 2025-281102</t>
        </is>
      </c>
    </row>
    <row r="49" hidden="1" ht="60" customHeight="1">
      <c r="A49" s="615" t="inlineStr">
        <is>
          <t>Terreno en Castro</t>
        </is>
      </c>
      <c r="B49" s="965" t="inlineStr">
        <is>
          <t>X</t>
        </is>
      </c>
      <c r="C49" s="965" t="inlineStr">
        <is>
          <t>Castro</t>
        </is>
      </c>
      <c r="D49" s="966" t="n">
        <v>14200</v>
      </c>
      <c r="E49" s="967" t="n">
        <v>432115</v>
      </c>
      <c r="F49" s="616" t="n">
        <v>10900</v>
      </c>
      <c r="G49" s="968" t="n">
        <v>45722</v>
      </c>
      <c r="H49" s="965" t="inlineStr">
        <is>
          <t>Oferta</t>
        </is>
      </c>
      <c r="I49" s="967">
        <f>IF(H49="Oferta",F49*$F$229,F49)</f>
        <v/>
      </c>
      <c r="J49" s="965" t="n">
        <v>0</v>
      </c>
      <c r="K49" s="965" t="n">
        <v>0</v>
      </c>
      <c r="L49" s="616">
        <f>I49-J49*K49</f>
        <v/>
      </c>
      <c r="M49" s="617">
        <f>L49/D49</f>
        <v/>
      </c>
      <c r="N49" s="618" t="inlineStr">
        <is>
          <t>https://www.toctoc.com/propiedades/compracorredorasr/terreno/castro/terreno-en-venta-en-la-hermosa-localidad-de-ten-te/3509379</t>
        </is>
      </c>
      <c r="O49" s="969" t="inlineStr">
        <is>
          <t xml:space="preserve"> localidad de Ten Ten,urbanizada y con agua de vertiente,  orilla del mar, cercano a centro urbano</t>
        </is>
      </c>
      <c r="P49" s="970" t="inlineStr">
        <is>
          <t>Ref ind 2025-281103</t>
        </is>
      </c>
    </row>
    <row r="50" hidden="1" ht="60" customHeight="1">
      <c r="A50" s="624" t="n"/>
      <c r="B50" s="976" t="n"/>
      <c r="C50" s="976" t="n"/>
      <c r="D50" s="977" t="n"/>
      <c r="E50" s="958" t="n"/>
      <c r="F50" s="625" t="n"/>
      <c r="G50" s="978" t="n"/>
      <c r="H50" s="976" t="n"/>
      <c r="I50" s="976" t="n"/>
      <c r="J50" s="976" t="n"/>
      <c r="K50" s="976" t="n"/>
      <c r="L50" s="625" t="n"/>
      <c r="M50" s="626" t="n"/>
      <c r="N50" s="627" t="n"/>
      <c r="O50" s="979" t="n"/>
      <c r="P50" s="980" t="n"/>
    </row>
    <row r="51" hidden="1" ht="75" customHeight="1">
      <c r="A51" s="630" t="inlineStr">
        <is>
          <t>Coronel</t>
        </is>
      </c>
      <c r="B51" s="985" t="inlineStr">
        <is>
          <t>VIII</t>
        </is>
      </c>
      <c r="C51" s="985" t="inlineStr">
        <is>
          <t>Coronel</t>
        </is>
      </c>
      <c r="D51" s="986" t="n">
        <v>289350</v>
      </c>
      <c r="E51" s="987">
        <f>F51*H2/1000</f>
        <v/>
      </c>
      <c r="F51" s="631">
        <f>D51*1.6</f>
        <v/>
      </c>
      <c r="G51" s="988" t="n">
        <v>45853</v>
      </c>
      <c r="H51" s="985" t="inlineStr">
        <is>
          <t>Oferta</t>
        </is>
      </c>
      <c r="I51" s="985" t="n"/>
      <c r="J51" s="985" t="n">
        <v>0</v>
      </c>
      <c r="K51" s="985" t="n"/>
      <c r="L51" s="631">
        <f>IF(H51="Oferta",F51*$F$229-(J51*K51),F51)</f>
        <v/>
      </c>
      <c r="M51" s="632">
        <f>L51/D51</f>
        <v/>
      </c>
      <c r="N51" s="633" t="inlineStr">
        <is>
          <t>https://gpsproperty.cl/183547</t>
        </is>
      </c>
      <c r="O51" s="634" t="inlineStr">
        <is>
          <t>PARQUE INDUSTRIAL Coronel (M-17 / B1)</t>
        </is>
      </c>
    </row>
    <row r="52" hidden="1" ht="75" customHeight="1">
      <c r="A52" s="635" t="inlineStr">
        <is>
          <t>Coronel</t>
        </is>
      </c>
      <c r="B52" s="957" t="inlineStr">
        <is>
          <t>VIII</t>
        </is>
      </c>
      <c r="C52" s="957" t="inlineStr">
        <is>
          <t>Coronel</t>
        </is>
      </c>
      <c r="D52" s="989">
        <f>51453.76/1.8</f>
        <v/>
      </c>
      <c r="E52" s="959">
        <f>F52*H2/1000</f>
        <v/>
      </c>
      <c r="F52" s="602" t="n">
        <v>51453.76</v>
      </c>
      <c r="G52" s="960" t="n">
        <v>45853</v>
      </c>
      <c r="H52" s="957" t="inlineStr">
        <is>
          <t>Oferta</t>
        </is>
      </c>
      <c r="I52" s="957" t="n"/>
      <c r="J52" s="957" t="n">
        <v>0</v>
      </c>
      <c r="K52" s="957" t="n"/>
      <c r="L52" s="602">
        <f>IF(H52="Oferta",F52*$F$229-(J52*K52),F52)</f>
        <v/>
      </c>
      <c r="M52" s="629">
        <f>L52/D52</f>
        <v/>
      </c>
      <c r="N52" s="607" t="inlineStr">
        <is>
          <t>https://gpsproperty.cl/183546</t>
        </is>
      </c>
      <c r="O52" s="636" t="inlineStr">
        <is>
          <t>PARQUE INDUSTRIAL Coronel (M-17 / LT1)</t>
        </is>
      </c>
    </row>
    <row r="53" hidden="1" ht="75" customHeight="1">
      <c r="A53" s="635" t="inlineStr">
        <is>
          <t>Coronel</t>
        </is>
      </c>
      <c r="B53" s="957" t="inlineStr">
        <is>
          <t>VIII</t>
        </is>
      </c>
      <c r="C53" s="957" t="inlineStr">
        <is>
          <t>Coronel</t>
        </is>
      </c>
      <c r="D53" s="989" t="n">
        <v>39312</v>
      </c>
      <c r="E53" s="959">
        <f>F53*H2/1000</f>
        <v/>
      </c>
      <c r="F53" s="602" t="n">
        <v>74962.8</v>
      </c>
      <c r="G53" s="960" t="n">
        <v>45853</v>
      </c>
      <c r="H53" s="957" t="inlineStr">
        <is>
          <t>Oferta</t>
        </is>
      </c>
      <c r="I53" s="957" t="n"/>
      <c r="J53" s="957" t="n">
        <v>0</v>
      </c>
      <c r="K53" s="957" t="n"/>
      <c r="L53" s="602">
        <f>IF(H53="Oferta",F53*$F$229-(J53*K53),F53)</f>
        <v/>
      </c>
      <c r="M53" s="629">
        <f>L53/D53</f>
        <v/>
      </c>
      <c r="N53" s="607" t="inlineStr">
        <is>
          <t>https://gpsproperty.cl/183545</t>
        </is>
      </c>
      <c r="O53" s="636" t="inlineStr">
        <is>
          <t>PARQUE INDUSTRIAL Coronel (M-17 / LT2)</t>
        </is>
      </c>
    </row>
    <row r="54" hidden="1" ht="75" customHeight="1">
      <c r="A54" s="635" t="inlineStr">
        <is>
          <t>Coronel</t>
        </is>
      </c>
      <c r="B54" s="957" t="inlineStr">
        <is>
          <t>VIII</t>
        </is>
      </c>
      <c r="C54" s="957" t="inlineStr">
        <is>
          <t>Coronel</t>
        </is>
      </c>
      <c r="D54" s="989" t="n">
        <v>76857.33</v>
      </c>
      <c r="E54" s="959">
        <f>F54*H2/1000</f>
        <v/>
      </c>
      <c r="F54" s="602" t="n">
        <v>161400.39</v>
      </c>
      <c r="G54" s="960" t="n">
        <v>45853</v>
      </c>
      <c r="H54" s="957" t="inlineStr">
        <is>
          <t>Oferta</t>
        </is>
      </c>
      <c r="I54" s="957" t="n"/>
      <c r="J54" s="957" t="n">
        <v>0</v>
      </c>
      <c r="K54" s="957" t="n"/>
      <c r="L54" s="602">
        <f>IF(H54="Oferta",F54*$F$229-(J54*K54),F54)</f>
        <v/>
      </c>
      <c r="M54" s="629">
        <f>L54/D54</f>
        <v/>
      </c>
      <c r="N54" s="607" t="inlineStr">
        <is>
          <t>https://gpsproperty.cl/162117</t>
        </is>
      </c>
      <c r="O54" s="636" t="inlineStr">
        <is>
          <t>PARQUE INDUSTRIAL Coronel (M-18 / LT3)</t>
        </is>
      </c>
    </row>
    <row r="55" hidden="1" ht="75" customHeight="1">
      <c r="A55" s="635" t="inlineStr">
        <is>
          <t>Coronel</t>
        </is>
      </c>
      <c r="B55" s="957" t="inlineStr">
        <is>
          <t>VIII</t>
        </is>
      </c>
      <c r="C55" s="957" t="inlineStr">
        <is>
          <t>Coronel</t>
        </is>
      </c>
      <c r="D55" s="989" t="n">
        <v>75375</v>
      </c>
      <c r="E55" s="959">
        <f>F55*H2/1000</f>
        <v/>
      </c>
      <c r="F55" s="602" t="n">
        <v>158287.5</v>
      </c>
      <c r="G55" s="960" t="n">
        <v>45853</v>
      </c>
      <c r="H55" s="957" t="inlineStr">
        <is>
          <t>Oferta</t>
        </is>
      </c>
      <c r="I55" s="957" t="n"/>
      <c r="J55" s="957" t="n">
        <v>0</v>
      </c>
      <c r="K55" s="957" t="n"/>
      <c r="L55" s="602">
        <f>IF(H55="Oferta",F55*$F$229-(J55*K55),F55)</f>
        <v/>
      </c>
      <c r="M55" s="629">
        <f>L55/D55</f>
        <v/>
      </c>
      <c r="N55" s="607" t="inlineStr">
        <is>
          <t>https://gpsproperty.cl/183543</t>
        </is>
      </c>
      <c r="O55" s="636" t="inlineStr">
        <is>
          <t>PARQUE INDUSTRIAL Coronel (M-18 / LT2)</t>
        </is>
      </c>
    </row>
    <row r="56" hidden="1" ht="75" customHeight="1">
      <c r="A56" s="635" t="inlineStr">
        <is>
          <t>Coronel</t>
        </is>
      </c>
      <c r="B56" s="957" t="inlineStr">
        <is>
          <t>VIII</t>
        </is>
      </c>
      <c r="C56" s="957" t="inlineStr">
        <is>
          <t>Coronel</t>
        </is>
      </c>
      <c r="D56" s="989" t="n">
        <v>25648</v>
      </c>
      <c r="E56" s="959">
        <f>F56*H2/1000</f>
        <v/>
      </c>
      <c r="F56" s="602" t="n">
        <v>56425.6</v>
      </c>
      <c r="G56" s="960" t="n">
        <v>45853</v>
      </c>
      <c r="H56" s="957" t="inlineStr">
        <is>
          <t>Oferta</t>
        </is>
      </c>
      <c r="I56" s="957" t="n"/>
      <c r="J56" s="957" t="n">
        <v>0</v>
      </c>
      <c r="K56" s="957" t="n"/>
      <c r="L56" s="602">
        <f>IF(H56="Oferta",F56*$F$229-(J56*K56),F56)</f>
        <v/>
      </c>
      <c r="M56" s="629">
        <f>L56/D56</f>
        <v/>
      </c>
      <c r="N56" s="607" t="inlineStr">
        <is>
          <t>https://gpsproperty.cl/183544</t>
        </is>
      </c>
      <c r="O56" s="636" t="inlineStr">
        <is>
          <t>PARQUE INDUSTRIAL Coronel (M-18 / LT1)</t>
        </is>
      </c>
    </row>
    <row r="57" hidden="1" ht="75" customHeight="1">
      <c r="A57" s="635" t="inlineStr">
        <is>
          <t>Coronel</t>
        </is>
      </c>
      <c r="B57" s="957" t="inlineStr">
        <is>
          <t>VIII</t>
        </is>
      </c>
      <c r="C57" s="957" t="inlineStr">
        <is>
          <t>Coronel</t>
        </is>
      </c>
      <c r="D57" s="989" t="n">
        <v>535127.75</v>
      </c>
      <c r="E57" s="959">
        <f>F57*H2/1000</f>
        <v/>
      </c>
      <c r="F57" s="602" t="n">
        <v>965220.5</v>
      </c>
      <c r="G57" s="960" t="n">
        <v>45853</v>
      </c>
      <c r="H57" s="957" t="inlineStr">
        <is>
          <t>Oferta</t>
        </is>
      </c>
      <c r="I57" s="957" t="n"/>
      <c r="J57" s="957" t="n">
        <v>0</v>
      </c>
      <c r="K57" s="957" t="n"/>
      <c r="L57" s="602">
        <f>IF(H57="Oferta",F57*$F$229-(J57*K57),F57)</f>
        <v/>
      </c>
      <c r="M57" s="629">
        <f>L57/D57</f>
        <v/>
      </c>
      <c r="N57" s="607" t="inlineStr">
        <is>
          <t>https://gpsproperty.cl/183548</t>
        </is>
      </c>
      <c r="O57" s="636" t="inlineStr">
        <is>
          <t>Terreno para desarrollo industrial, Con acceso a red ferroviaria y a la ruta 160.</t>
        </is>
      </c>
    </row>
    <row r="58" hidden="1" ht="75" customHeight="1">
      <c r="A58" s="635" t="inlineStr">
        <is>
          <t>Coronel</t>
        </is>
      </c>
      <c r="B58" s="957" t="inlineStr">
        <is>
          <t>VIII</t>
        </is>
      </c>
      <c r="C58" s="957" t="inlineStr">
        <is>
          <t>Coronel</t>
        </is>
      </c>
      <c r="D58" s="989" t="n">
        <v>37392</v>
      </c>
      <c r="E58" s="959">
        <f>F58*H2/1000</f>
        <v/>
      </c>
      <c r="F58" s="602" t="n">
        <v>56088</v>
      </c>
      <c r="G58" s="960" t="n">
        <v>45731</v>
      </c>
      <c r="H58" s="957" t="inlineStr">
        <is>
          <t>Oferta</t>
        </is>
      </c>
      <c r="I58" s="957" t="n"/>
      <c r="J58" s="957" t="n">
        <v>0</v>
      </c>
      <c r="K58" s="957" t="n"/>
      <c r="L58" s="602">
        <f>IF(H58="Oferta",F58*$F$229-(J58*K58),F58)</f>
        <v/>
      </c>
      <c r="M58" s="629">
        <f>L58/D58</f>
        <v/>
      </c>
      <c r="N58" s="607" t="inlineStr">
        <is>
          <t>https://inmueble.mercadolibre.cl/MLC-2854244540-gran-terreno-en-parque-industrial-escuadron-_JM#polycard_client=search-nordic&amp;position=3&amp;search_layout=grid&amp;type=item&amp;tracking_id=fdd9fd7a-b853-41cd-9288-82da0f45f9f3</t>
        </is>
      </c>
      <c r="O58" s="636" t="inlineStr">
        <is>
          <t>permite actividades industriales de todo tipo, incluyendo aquellas que califican como PELIGROSAS. Lote urbanizado.</t>
        </is>
      </c>
    </row>
    <row r="59" hidden="1" ht="75" customHeight="1">
      <c r="A59" s="635" t="inlineStr">
        <is>
          <t>Coronel</t>
        </is>
      </c>
      <c r="B59" s="957" t="inlineStr">
        <is>
          <t>VIII</t>
        </is>
      </c>
      <c r="C59" s="957" t="inlineStr">
        <is>
          <t>Coronel</t>
        </is>
      </c>
      <c r="D59" s="989" t="n">
        <v>71806.73</v>
      </c>
      <c r="E59" s="959">
        <f>F59*$H$2/1000</f>
        <v/>
      </c>
      <c r="F59" s="602" t="n">
        <v>107710</v>
      </c>
      <c r="G59" s="960" t="n">
        <v>45762</v>
      </c>
      <c r="H59" s="957" t="inlineStr">
        <is>
          <t>Oferta</t>
        </is>
      </c>
      <c r="I59" s="957" t="n"/>
      <c r="J59" s="957" t="n">
        <v>0</v>
      </c>
      <c r="K59" s="957" t="n"/>
      <c r="L59" s="602">
        <f>IF(H59="Oferta",F59*$F$229-(J59*K59),F59)</f>
        <v/>
      </c>
      <c r="M59" s="629">
        <f>L59/D59</f>
        <v/>
      </c>
      <c r="N59" s="607" t="inlineStr">
        <is>
          <t>https://inmueble.mercadolibre.cl/MLC-2865358164-sotomayor-playa-negra-_JM#polycard_client=search-nordic&amp;position=5&amp;search_layout=grid&amp;type=item&amp;tracking_id=fdd9fd7a-b853-41cd-9288-82da0f45f9f3</t>
        </is>
      </c>
      <c r="O59" s="636" t="inlineStr">
        <is>
          <t xml:space="preserve">Propiedad con aptitud para uso industrial y actividades productivas, emplazada al sur del puerto de Coronel,  se divide en dos lotes, forma irregular y topografía mixta, principalmente ondulado. </t>
        </is>
      </c>
    </row>
    <row r="60" hidden="1" ht="75" customHeight="1">
      <c r="A60" s="635" t="inlineStr">
        <is>
          <t>Coronel</t>
        </is>
      </c>
      <c r="B60" s="957" t="inlineStr">
        <is>
          <t>VIII</t>
        </is>
      </c>
      <c r="C60" s="957" t="inlineStr">
        <is>
          <t>Coronel</t>
        </is>
      </c>
      <c r="D60" s="989" t="n">
        <v>22730</v>
      </c>
      <c r="E60" s="959">
        <f>F60*$H$2/1000</f>
        <v/>
      </c>
      <c r="F60" s="602" t="n">
        <v>140000</v>
      </c>
      <c r="G60" s="960" t="n">
        <v>45762</v>
      </c>
      <c r="H60" s="957" t="inlineStr">
        <is>
          <t>Oferta</t>
        </is>
      </c>
      <c r="I60" s="957" t="n"/>
      <c r="J60" s="957" t="n">
        <v>12310</v>
      </c>
      <c r="K60" s="957" t="n">
        <v>7</v>
      </c>
      <c r="L60" s="602">
        <f>IF(H60="Oferta",F60*$F$229-(J60*K60),F60)</f>
        <v/>
      </c>
      <c r="M60" s="629">
        <f>L60/D60</f>
        <v/>
      </c>
      <c r="N60" s="607" t="inlineStr">
        <is>
          <t>https://inmueble.mercadolibre.cl/MLC-1629977973-propiedad-industrial-en-parque-industrial-coronel-_JM#polycard_client=search-nordic&amp;position=12&amp;search_layout=grid&amp;type=item&amp;tracking_id=fdd9fd7a-b853-41cd-9288-82da0f45f9f3</t>
        </is>
      </c>
      <c r="O60" s="636" t="inlineStr">
        <is>
          <r>
            <t>514 m2 de oficinas con construcciones, 10.955 m</t>
          </r>
          <r>
            <rPr>
              <rFont val="Calibri (Cuerpo)"/>
              <color theme="1"/>
              <sz val="10"/>
              <vertAlign val="superscript"/>
            </rPr>
            <t xml:space="preserve">2 </t>
          </r>
          <r>
            <rPr>
              <rFont val="Calibri"/>
              <family val="2"/>
              <color theme="1"/>
              <sz val="10"/>
              <scheme val="minor"/>
            </rPr>
            <t>de bodegas , 740 m</t>
          </r>
          <r>
            <rPr>
              <rFont val="Calibri (Cuerpo)"/>
              <color theme="1"/>
              <sz val="10"/>
              <vertAlign val="superscript"/>
            </rPr>
            <t>2</t>
          </r>
          <r>
            <rPr>
              <rFont val="Calibri"/>
              <family val="2"/>
              <color theme="1"/>
              <sz val="10"/>
              <scheme val="minor"/>
            </rPr>
            <t xml:space="preserve"> de cobertizos de bodegas  y 101 m</t>
          </r>
          <r>
            <rPr>
              <rFont val="Calibri (Cuerpo)"/>
              <color theme="1"/>
              <sz val="10"/>
              <vertAlign val="superscript"/>
            </rPr>
            <t>2</t>
          </r>
          <r>
            <rPr>
              <rFont val="Calibri"/>
              <family val="2"/>
              <color theme="1"/>
              <sz val="10"/>
              <scheme val="minor"/>
            </rPr>
            <t xml:space="preserve"> de baños para personal</t>
          </r>
        </is>
      </c>
    </row>
    <row r="61" hidden="1" ht="75" customHeight="1">
      <c r="A61" s="635" t="inlineStr">
        <is>
          <t>Coronel</t>
        </is>
      </c>
      <c r="B61" s="957" t="inlineStr">
        <is>
          <t>VIII</t>
        </is>
      </c>
      <c r="C61" s="957" t="inlineStr">
        <is>
          <t>Coronel</t>
        </is>
      </c>
      <c r="D61" s="989" t="n">
        <v>172973</v>
      </c>
      <c r="E61" s="959">
        <f>F61*$H$2/1000</f>
        <v/>
      </c>
      <c r="F61" s="602" t="n">
        <v>345946</v>
      </c>
      <c r="G61" s="960" t="n">
        <v>45488</v>
      </c>
      <c r="H61" s="957" t="inlineStr">
        <is>
          <t>Oferta</t>
        </is>
      </c>
      <c r="I61" s="957" t="n"/>
      <c r="J61" s="957" t="n">
        <v>0</v>
      </c>
      <c r="K61" s="957" t="n"/>
      <c r="L61" s="602">
        <f>IF(H61="Oferta",F61*$F$229-(J61*K61),F61)</f>
        <v/>
      </c>
      <c r="M61" s="629">
        <f>L61/D61</f>
        <v/>
      </c>
      <c r="N61" s="607" t="inlineStr">
        <is>
          <t>https://inmueble.mercadolibre.cl/MLC-1624390421-venta-de-terreno-industrial-en-coronel-id-57341-lin-_JM#polycard_client=search-nordic&amp;position=13&amp;search_layout=grid&amp;type=item&amp;tracking_id=fdd9fd7a-b853-41cd-9288-82da0f45f9f3</t>
        </is>
      </c>
      <c r="O61" s="636" t="inlineStr">
        <is>
          <t>Con buen acceso a Ruta 160, vía ferroviaria y puerto de Coronel, en una zona de alta concentración y desarrollo industrial.</t>
        </is>
      </c>
    </row>
    <row r="62" hidden="1" ht="75" customHeight="1">
      <c r="A62" s="635" t="inlineStr">
        <is>
          <t>Coronel</t>
        </is>
      </c>
      <c r="B62" s="957" t="inlineStr">
        <is>
          <t>VIII</t>
        </is>
      </c>
      <c r="C62" s="957" t="inlineStr">
        <is>
          <t>Coronel</t>
        </is>
      </c>
      <c r="D62" s="989" t="n">
        <v>23070</v>
      </c>
      <c r="E62" s="959">
        <f>F62*$H$2/1000</f>
        <v/>
      </c>
      <c r="F62" s="602" t="n">
        <v>50754</v>
      </c>
      <c r="G62" s="960" t="n">
        <v>45488</v>
      </c>
      <c r="H62" s="957" t="inlineStr">
        <is>
          <t>Oferta</t>
        </is>
      </c>
      <c r="I62" s="957" t="n"/>
      <c r="J62" s="957" t="n">
        <v>0</v>
      </c>
      <c r="K62" s="957" t="n"/>
      <c r="L62" s="602">
        <f>IF(H62="Oferta",F62*$F$229-(J62*K62),F62)</f>
        <v/>
      </c>
      <c r="M62" s="629">
        <f>L62/D62</f>
        <v/>
      </c>
      <c r="N62" s="607" t="inlineStr">
        <is>
          <t>https://inmueble.mercadolibre.cl/MLC-1624390421-venta-de-terreno-industrial-en-coronel-id-57341-lin-_JM#polycard_client=search-nordic&amp;position=13&amp;search_layout=grid&amp;type=item&amp;tracking_id=fdd9fd7a-b853-41cd-9288-82da0f45f9f3</t>
        </is>
      </c>
      <c r="O62" s="636" t="inlineStr">
        <is>
          <t>Con buen acceso a Ruta 160, vía ferroviaria y puerto de Coronel, en una zona de alta concentración y desarrollo industrial.</t>
        </is>
      </c>
    </row>
    <row r="63" hidden="1" ht="75" customHeight="1">
      <c r="A63" s="635" t="inlineStr">
        <is>
          <t>Coronel</t>
        </is>
      </c>
      <c r="B63" s="957" t="inlineStr">
        <is>
          <t>VIII</t>
        </is>
      </c>
      <c r="C63" s="957" t="inlineStr">
        <is>
          <t>Coronel</t>
        </is>
      </c>
      <c r="D63" s="989" t="n">
        <v>76857</v>
      </c>
      <c r="E63" s="959">
        <f>F63*$H$2/1000</f>
        <v/>
      </c>
      <c r="F63" s="602" t="n">
        <v>192143</v>
      </c>
      <c r="G63" s="960" t="n">
        <v>45488</v>
      </c>
      <c r="H63" s="957" t="inlineStr">
        <is>
          <t>Oferta</t>
        </is>
      </c>
      <c r="I63" s="957" t="n"/>
      <c r="J63" s="957" t="n">
        <v>0</v>
      </c>
      <c r="K63" s="957" t="n"/>
      <c r="L63" s="602">
        <f>IF(H63="Oferta",F63*$F$229-(J63*K63),F63)</f>
        <v/>
      </c>
      <c r="M63" s="629">
        <f>L63/D63</f>
        <v/>
      </c>
      <c r="N63" s="607" t="inlineStr">
        <is>
          <t>https://inmueble.mercadolibre.cl/MLC-1624390421-venta-de-terreno-industrial-en-coronel-id-57341-lin-_JM#polycard_client=search-nordic&amp;position=13&amp;search_layout=grid&amp;type=item&amp;tracking_id=fdd9fd7a-b853-41cd-9288-82da0f45f9f3</t>
        </is>
      </c>
      <c r="O63" s="636" t="inlineStr">
        <is>
          <t>Con buen acceso a Ruta 160, vía ferroviaria y puerto de Coronel, en una zona de alta concentración y desarrollo industrial.</t>
        </is>
      </c>
    </row>
    <row r="64" hidden="1" ht="75" customHeight="1">
      <c r="A64" s="635" t="inlineStr">
        <is>
          <t>Coronel</t>
        </is>
      </c>
      <c r="B64" s="957" t="inlineStr">
        <is>
          <t>VIII</t>
        </is>
      </c>
      <c r="C64" s="957" t="inlineStr">
        <is>
          <t>Coronel</t>
        </is>
      </c>
      <c r="D64" s="990" t="n">
        <v>5000</v>
      </c>
      <c r="E64" s="963">
        <f>F64*$H$2/1000</f>
        <v/>
      </c>
      <c r="F64" s="610" t="n">
        <v>13500</v>
      </c>
      <c r="G64" s="960" t="n">
        <v>45458</v>
      </c>
      <c r="H64" s="957" t="inlineStr">
        <is>
          <t>Oferta</t>
        </is>
      </c>
      <c r="I64" s="957" t="n"/>
      <c r="J64" s="957" t="n">
        <v>0</v>
      </c>
      <c r="K64" s="957" t="n"/>
      <c r="L64" s="602">
        <f>IF(H64="Oferta",F64*$F$229-(J64*K64),F64)</f>
        <v/>
      </c>
      <c r="M64" s="629">
        <f>L64/D64</f>
        <v/>
      </c>
      <c r="N64" s="613" t="inlineStr">
        <is>
          <t>https://www.portalinmobiliario.com/MLC-2909219742-venta-terreno-industrial-urbanizado-con-seguridad-coronel-_JM#polycard_client=search-nordic&amp;position=13&amp;search_layout=grid&amp;type=item&amp;tracking_id=4280ceb2-f091-4d32-93c4-f6c44541e89b</t>
        </is>
      </c>
      <c r="O64" s="637" t="inlineStr">
        <is>
          <t>Zona Industrial ZAP 2, terreno plano en loteo,  con conexión a servicios básicos</t>
        </is>
      </c>
    </row>
    <row r="65" hidden="1" ht="75" customHeight="1">
      <c r="A65" s="635" t="inlineStr">
        <is>
          <t>Coronel</t>
        </is>
      </c>
      <c r="B65" s="957" t="inlineStr">
        <is>
          <t>VIII</t>
        </is>
      </c>
      <c r="C65" s="957" t="inlineStr">
        <is>
          <t>Coronel</t>
        </is>
      </c>
      <c r="D65" s="990" t="n">
        <v>10400</v>
      </c>
      <c r="E65" s="963">
        <f>F65*$H$2/1000</f>
        <v/>
      </c>
      <c r="F65" s="610" t="n">
        <v>20900</v>
      </c>
      <c r="G65" s="960" t="n">
        <v>45458</v>
      </c>
      <c r="H65" s="957" t="inlineStr">
        <is>
          <t>Oferta</t>
        </is>
      </c>
      <c r="I65" s="957" t="n"/>
      <c r="J65" s="957" t="n">
        <v>0</v>
      </c>
      <c r="K65" s="957" t="n"/>
      <c r="L65" s="602">
        <f>IF(H65="Oferta",F65*$F$229-(J65*K65),F65)</f>
        <v/>
      </c>
      <c r="M65" s="629">
        <f>L65/D65</f>
        <v/>
      </c>
      <c r="N65" s="613" t="inlineStr">
        <is>
          <t>https://www.portalinmobiliario.com/MLC-2909028188-venta-terreno-industrial-urbanizado-con-seguridad-coronel-_JM#polycard_client=search-nordic&amp;position=14&amp;search_layout=grid&amp;type=item&amp;tracking_id=4280ceb2-f091-4d32-93c4-f6c44541e89b</t>
        </is>
      </c>
      <c r="O65" s="637" t="inlineStr">
        <is>
          <t>Zona Industrial ZAP 2, terreno plano en loteo,  con conexión a servicios básicos</t>
        </is>
      </c>
    </row>
    <row r="66" hidden="1" ht="75" customHeight="1">
      <c r="A66" s="635" t="inlineStr">
        <is>
          <t>Coronel</t>
        </is>
      </c>
      <c r="B66" s="957" t="inlineStr">
        <is>
          <t>VIII</t>
        </is>
      </c>
      <c r="C66" s="957" t="inlineStr">
        <is>
          <t>Coronel</t>
        </is>
      </c>
      <c r="D66" s="990" t="n">
        <v>20650</v>
      </c>
      <c r="E66" s="963">
        <f>F66*$H$2/1000</f>
        <v/>
      </c>
      <c r="F66" s="610" t="n">
        <v>41100</v>
      </c>
      <c r="G66" s="960" t="n">
        <v>45458</v>
      </c>
      <c r="H66" s="957" t="inlineStr">
        <is>
          <t>Oferta</t>
        </is>
      </c>
      <c r="I66" s="957" t="n"/>
      <c r="J66" s="957" t="n">
        <v>0</v>
      </c>
      <c r="K66" s="957" t="n"/>
      <c r="L66" s="602">
        <f>IF(H66="Oferta",F66*$F$229-(J66*K66),F66)</f>
        <v/>
      </c>
      <c r="M66" s="629">
        <f>L66/D66</f>
        <v/>
      </c>
      <c r="N66" s="613" t="inlineStr">
        <is>
          <t>https://www.portalinmobiliario.com/MLC-2909067236-venta-terreno-industrial-urbanizado-con-seguridad-coronel-_JM#polycard_client=search-nordic&amp;position=15&amp;search_layout=grid&amp;type=item&amp;tracking_id=47848bb3-5694-47e0-9ad0-8030963371a5</t>
        </is>
      </c>
      <c r="O66" s="637" t="inlineStr">
        <is>
          <t>Zona Industrial ZAP 2, terreno plano en loteo,  con conexión a servicios básicos</t>
        </is>
      </c>
    </row>
    <row r="67" hidden="1" ht="75" customHeight="1">
      <c r="A67" s="635" t="inlineStr">
        <is>
          <t>Coronel</t>
        </is>
      </c>
      <c r="B67" s="957" t="inlineStr">
        <is>
          <t>VIII</t>
        </is>
      </c>
      <c r="C67" s="957" t="inlineStr">
        <is>
          <t>Coronel</t>
        </is>
      </c>
      <c r="D67" s="990" t="n">
        <v>10200</v>
      </c>
      <c r="E67" s="963">
        <f>F67*$H$2/1000</f>
        <v/>
      </c>
      <c r="F67" s="610" t="n">
        <v>21700</v>
      </c>
      <c r="G67" s="960" t="n">
        <v>45458</v>
      </c>
      <c r="H67" s="957" t="inlineStr">
        <is>
          <t>Oferta</t>
        </is>
      </c>
      <c r="I67" s="957" t="n"/>
      <c r="J67" s="957" t="n">
        <v>0</v>
      </c>
      <c r="K67" s="957" t="n"/>
      <c r="L67" s="602">
        <f>IF(H67="Oferta",F67*$F$229-(J67*K67),F67)</f>
        <v/>
      </c>
      <c r="M67" s="629">
        <f>L67/D67</f>
        <v/>
      </c>
      <c r="N67" s="613" t="inlineStr">
        <is>
          <t>https://www.portalinmobiliario.com/MLC-2908969822-venta-terreno-industrial-urbanizado-con-seguridad-coronel-_JM#polycard_client=search-nordic&amp;position=17&amp;search_layout=grid&amp;type=item&amp;tracking_id=47848bb3-5694-47e0-9ad0-8030963371a5</t>
        </is>
      </c>
      <c r="O67" s="637" t="inlineStr">
        <is>
          <t>Zona Industrial ZAP 2, terreno plano en loteo,  con conexión a servicios básicos</t>
        </is>
      </c>
    </row>
    <row r="68" hidden="1" ht="75" customHeight="1">
      <c r="A68" s="635" t="inlineStr">
        <is>
          <t>Coronel</t>
        </is>
      </c>
      <c r="B68" s="957" t="inlineStr">
        <is>
          <t>VIII</t>
        </is>
      </c>
      <c r="C68" s="957" t="inlineStr">
        <is>
          <t>Coronel</t>
        </is>
      </c>
      <c r="D68" s="990" t="n">
        <v>30400</v>
      </c>
      <c r="E68" s="963">
        <f>F68*$H$2/1000</f>
        <v/>
      </c>
      <c r="F68" s="610" t="n">
        <v>59100</v>
      </c>
      <c r="G68" s="960" t="n">
        <v>45458</v>
      </c>
      <c r="H68" s="957" t="inlineStr">
        <is>
          <t>Oferta</t>
        </is>
      </c>
      <c r="I68" s="957" t="n"/>
      <c r="J68" s="957" t="n">
        <v>0</v>
      </c>
      <c r="K68" s="957" t="n"/>
      <c r="L68" s="602">
        <f>IF(H68="Oferta",F68*$F$229-(J68*K68),F68)</f>
        <v/>
      </c>
      <c r="M68" s="629">
        <f>L68/D68</f>
        <v/>
      </c>
      <c r="N68" s="613" t="inlineStr">
        <is>
          <t>https://www.portalinmobiliario.com/MLC-2908981676-venta-terreno-industrial-urbanizado-con-seguridad-coronel-_JM#polycard_client=search-nordic&amp;position=18&amp;search_layout=grid&amp;type=item&amp;tracking_id=47848bb3-5694-47e0-9ad0-8030963371a5</t>
        </is>
      </c>
      <c r="O68" s="637" t="inlineStr">
        <is>
          <t>Zona Industrial ZAP 2, terreno plano en loteo,  con conexión a servicios básicos</t>
        </is>
      </c>
    </row>
    <row r="69" hidden="1" ht="75" customHeight="1">
      <c r="A69" s="638" t="inlineStr">
        <is>
          <t>Coronel</t>
        </is>
      </c>
      <c r="B69" s="961" t="inlineStr">
        <is>
          <t>VIII</t>
        </is>
      </c>
      <c r="C69" s="961" t="inlineStr">
        <is>
          <t>Coronel</t>
        </is>
      </c>
      <c r="D69" s="990" t="n">
        <v>4034</v>
      </c>
      <c r="E69" s="963">
        <f>D69*102000/1000</f>
        <v/>
      </c>
      <c r="F69" s="610">
        <f>E69*1000/H2</f>
        <v/>
      </c>
      <c r="G69" s="964" t="n">
        <v>45841</v>
      </c>
      <c r="H69" s="961" t="inlineStr">
        <is>
          <t>Oferta</t>
        </is>
      </c>
      <c r="I69" s="961" t="n"/>
      <c r="J69" s="961" t="n">
        <v>0</v>
      </c>
      <c r="K69" s="961" t="n"/>
      <c r="L69" s="610">
        <f>IF(H69="Oferta",F69*$F$229-(J69*K69),F69)</f>
        <v/>
      </c>
      <c r="M69" s="628">
        <f>L69/D69</f>
        <v/>
      </c>
      <c r="N69" s="613" t="inlineStr">
        <is>
          <t>https://inmueble.mercadolibre.cl/MLC-2950192980-terreno-parque-industrial-coronel-_JM#polycard_client=search-nordic&amp;position=14&amp;search_layout=grid&amp;type=item&amp;tracking_id=fdd9fd7a-b853-41cd-9288-82da0f45f9f3</t>
        </is>
      </c>
      <c r="O69" s="637" t="inlineStr">
        <is>
          <r>
            <t>Terreno Parque Industrial de 4.034 m</t>
          </r>
          <r>
            <rPr>
              <rFont val="Calibri (Cuerpo)"/>
              <color theme="1"/>
              <sz val="10"/>
              <vertAlign val="superscript"/>
            </rPr>
            <t xml:space="preserve">2 </t>
          </r>
          <r>
            <rPr>
              <rFont val="Calibri"/>
              <family val="2"/>
              <color theme="1"/>
              <sz val="10"/>
              <scheme val="minor"/>
            </rPr>
            <t xml:space="preserve"> con acceso expeditos</t>
          </r>
        </is>
      </c>
    </row>
    <row r="70" hidden="1" ht="75" customHeight="1">
      <c r="A70" s="601" t="inlineStr">
        <is>
          <t>Tomé</t>
        </is>
      </c>
      <c r="B70" s="957" t="inlineStr">
        <is>
          <t>VIII</t>
        </is>
      </c>
      <c r="C70" s="957" t="inlineStr">
        <is>
          <t>Tomé</t>
        </is>
      </c>
      <c r="D70" s="989" t="n">
        <v>5046</v>
      </c>
      <c r="E70" s="959" t="n">
        <v>772001</v>
      </c>
      <c r="F70" s="602" t="n">
        <v>19679</v>
      </c>
      <c r="G70" s="960" t="n">
        <v>45488</v>
      </c>
      <c r="H70" s="957" t="inlineStr">
        <is>
          <t>Oferta</t>
        </is>
      </c>
      <c r="I70" s="957" t="n"/>
      <c r="J70" s="957" t="n">
        <v>0</v>
      </c>
      <c r="K70" s="957" t="n"/>
      <c r="L70" s="602">
        <f>IF(H70="Oferta",F70*$F$229-(J70*K70),F70)</f>
        <v/>
      </c>
      <c r="M70" s="629">
        <f>L70/D70</f>
        <v/>
      </c>
      <c r="N70" s="607" t="inlineStr">
        <is>
          <t>https://inmueble.mercadolibre.cl/MLC-1539847587-venta-de-terreno-en-tome-id-51987-lin-_JM#polycard_client=search-nordic&amp;position=9&amp;search_layout=grid&amp;type=item&amp;tracking_id=4712fe89-22cd-456f-80ca-5ca931519580</t>
        </is>
      </c>
      <c r="O70" s="608" t="inlineStr">
        <is>
          <t xml:space="preserve">Uso residencial y equpamiento. Normativa:
Coeficiente ocupación de suelo: 40%
Coeficiente Constructibilidad 0,8. Densidad bruta: 100 hab/ha. </t>
        </is>
      </c>
    </row>
    <row r="71" hidden="1" ht="75" customHeight="1">
      <c r="A71" s="601" t="inlineStr">
        <is>
          <t>Tomé</t>
        </is>
      </c>
      <c r="B71" s="957" t="inlineStr">
        <is>
          <t>VIII</t>
        </is>
      </c>
      <c r="C71" s="957" t="inlineStr">
        <is>
          <t>Tomé</t>
        </is>
      </c>
      <c r="D71" s="989" t="n">
        <v>4445</v>
      </c>
      <c r="E71" s="959" t="n">
        <v>627675</v>
      </c>
      <c r="F71" s="602" t="n">
        <v>16000</v>
      </c>
      <c r="G71" s="960" t="n">
        <v>45488</v>
      </c>
      <c r="H71" s="957" t="inlineStr">
        <is>
          <t>Oferta</t>
        </is>
      </c>
      <c r="I71" s="957" t="n"/>
      <c r="J71" s="957" t="n">
        <v>0</v>
      </c>
      <c r="K71" s="957" t="n"/>
      <c r="L71" s="602">
        <f>IF(H71="Oferta",F71*$F$229-(J71*K71),F71)</f>
        <v/>
      </c>
      <c r="M71" s="629">
        <f>L71/D71</f>
        <v/>
      </c>
      <c r="N71" s="607" t="inlineStr">
        <is>
          <t>https://inmueble.mercadolibre.cl/MLC-2749335096-venta-de-terreno-en-tome-id-51986-lin-_JM#polycard_client=search-nordic&amp;position=8&amp;search_layout=grid&amp;type=item&amp;tracking_id=4712fe89-22cd-456f-80ca-5ca931519580</t>
        </is>
      </c>
      <c r="O71" s="608" t="inlineStr">
        <is>
          <t xml:space="preserve">Uso residencial y equpamiento. Normativa:
Coeficiente ocupación de suelo: 40%
Coeficiente Constructibilidad 0,8. Densidad bruta: 100 hab/ha. </t>
        </is>
      </c>
    </row>
    <row r="72" hidden="1" ht="75" customHeight="1">
      <c r="A72" s="601" t="inlineStr">
        <is>
          <t>Tomé</t>
        </is>
      </c>
      <c r="B72" s="957" t="inlineStr">
        <is>
          <t>VIII</t>
        </is>
      </c>
      <c r="C72" s="957" t="inlineStr">
        <is>
          <t>Tomé</t>
        </is>
      </c>
      <c r="D72" s="989" t="n">
        <v>3680</v>
      </c>
      <c r="E72" s="959" t="n">
        <v>461969</v>
      </c>
      <c r="F72" s="602" t="n">
        <v>11776</v>
      </c>
      <c r="G72" s="960" t="n">
        <v>45488</v>
      </c>
      <c r="H72" s="957" t="inlineStr">
        <is>
          <t>Oferta</t>
        </is>
      </c>
      <c r="I72" s="957" t="n"/>
      <c r="J72" s="957" t="n">
        <v>0</v>
      </c>
      <c r="K72" s="957" t="n"/>
      <c r="L72" s="602">
        <f>IF(H72="Oferta",F72*$F$229-(J72*K72),F72)</f>
        <v/>
      </c>
      <c r="M72" s="629">
        <f>L72/D72</f>
        <v/>
      </c>
      <c r="N72" s="607" t="inlineStr">
        <is>
          <t>https://inmueble.mercadolibre.cl/MLC-1539886823-venta-de-terreno-en-tome-id-51985-lin-_JM#polycard_client=search-nordic&amp;position=10&amp;search_layout=grid&amp;type=item&amp;tracking_id=4712fe89-22cd-456f-80ca-5ca931519580</t>
        </is>
      </c>
      <c r="O72" s="608" t="inlineStr">
        <is>
          <t xml:space="preserve">Uso residencial y equpamiento. Normativa:
Coeficiente ocupación de suelo: 40%
Coeficiente Constructibilidad 0,8. Densidad bruta: 100 hab/ha. </t>
        </is>
      </c>
    </row>
    <row r="73" hidden="1" ht="75" customHeight="1">
      <c r="A73" s="601" t="inlineStr">
        <is>
          <t>Tomé</t>
        </is>
      </c>
      <c r="B73" s="957" t="inlineStr">
        <is>
          <t>VIII</t>
        </is>
      </c>
      <c r="C73" s="957" t="inlineStr">
        <is>
          <t>Tomé</t>
        </is>
      </c>
      <c r="D73" s="989" t="n">
        <v>12006</v>
      </c>
      <c r="E73" s="959" t="n">
        <v>460000</v>
      </c>
      <c r="F73" s="602">
        <f>E73*1000/$H$2</f>
        <v/>
      </c>
      <c r="G73" s="960" t="n">
        <v>45488</v>
      </c>
      <c r="H73" s="957" t="inlineStr">
        <is>
          <t>Oferta</t>
        </is>
      </c>
      <c r="I73" s="957" t="n"/>
      <c r="J73" s="957" t="n">
        <v>0</v>
      </c>
      <c r="K73" s="957" t="n"/>
      <c r="L73" s="602">
        <f>IF(H73="Oferta",F73*$F$229-(J73*K73),F73)</f>
        <v/>
      </c>
      <c r="M73" s="629">
        <f>L73/D73</f>
        <v/>
      </c>
      <c r="N73" s="607" t="inlineStr">
        <is>
          <t>https://inmueble.mercadolibre.cl/MLC-2833251920-terreno-cementerio-2-loma-larga-tome-_JM#polycard_client=search-nordic&amp;position=3&amp;search_layout=grid&amp;type=item&amp;tracking_id=4712fe89-22cd-456f-80ca-5ca931519580</t>
        </is>
      </c>
      <c r="O73" s="608" t="inlineStr">
        <is>
          <t>acceso por Calle Ñipas 937 Tomé, terreno regular con pendiente.</t>
        </is>
      </c>
    </row>
    <row r="74" hidden="1" ht="75" customHeight="1">
      <c r="A74" s="601" t="inlineStr">
        <is>
          <t>Tomé</t>
        </is>
      </c>
      <c r="B74" s="957" t="inlineStr">
        <is>
          <t>VIII</t>
        </is>
      </c>
      <c r="C74" s="957" t="inlineStr">
        <is>
          <t>Tomé</t>
        </is>
      </c>
      <c r="D74" s="989" t="n">
        <v>10000</v>
      </c>
      <c r="E74" s="959" t="n">
        <v>375192</v>
      </c>
      <c r="F74" s="602">
        <f>E74*1000/$H$2</f>
        <v/>
      </c>
      <c r="G74" s="960" t="n">
        <v>45853</v>
      </c>
      <c r="H74" s="957" t="inlineStr">
        <is>
          <t>Oferta</t>
        </is>
      </c>
      <c r="I74" s="957" t="n"/>
      <c r="J74" s="957" t="n">
        <v>0</v>
      </c>
      <c r="K74" s="957" t="n"/>
      <c r="L74" s="602">
        <f>IF(H74="Oferta",F74*$F$229-(J74*K74),F74)</f>
        <v/>
      </c>
      <c r="M74" s="629">
        <f>L74/D74</f>
        <v/>
      </c>
      <c r="N74" s="607" t="inlineStr">
        <is>
          <t>https://casas.trovit.cl/detail/trovit-CL-6030016702062535590?type=traffic</t>
        </is>
      </c>
      <c r="O74" s="608" t="inlineStr">
        <is>
          <t xml:space="preserve">terreno urbano,  sin construcciones </t>
        </is>
      </c>
    </row>
    <row r="75" hidden="1" ht="60" customHeight="1">
      <c r="A75" s="601" t="inlineStr">
        <is>
          <t>Valdivia</t>
        </is>
      </c>
      <c r="B75" s="957" t="inlineStr">
        <is>
          <t>XIV</t>
        </is>
      </c>
      <c r="C75" s="957" t="inlineStr">
        <is>
          <t>Valdivia</t>
        </is>
      </c>
      <c r="D75" s="977" t="n">
        <v>1295</v>
      </c>
      <c r="E75" s="959">
        <f>F75*H2/1000</f>
        <v/>
      </c>
      <c r="F75" s="602" t="n">
        <v>15540</v>
      </c>
      <c r="G75" s="960" t="n">
        <v>45249</v>
      </c>
      <c r="H75" s="957" t="inlineStr">
        <is>
          <t>Oferta</t>
        </is>
      </c>
      <c r="I75" s="957" t="n"/>
      <c r="J75" s="957" t="n"/>
      <c r="K75" s="957" t="n"/>
      <c r="L75" s="603">
        <f>IF(H75="Oferta",F75*$F$229-(J75*K75),F75)</f>
        <v/>
      </c>
      <c r="M75" s="604">
        <f>L75/D75</f>
        <v/>
      </c>
      <c r="N75" s="639" t="inlineStr">
        <is>
          <t>https://inmueble.mercadolibre.cl/MLC-2109825626-excelente-terreno-en-avenida-ramon-picarte-_JM#position=1&amp;search_layout=map&amp;type=item&amp;tracking_id=20e8a088-d21f-4f02-b15e-1278d1e8e7c4</t>
        </is>
      </c>
      <c r="O75" s="608" t="inlineStr">
        <is>
          <t>Avenida Ramon Picarte y como referente frente al Cementerio General.</t>
        </is>
      </c>
    </row>
    <row r="76" hidden="1" ht="60" customHeight="1">
      <c r="A76" s="601" t="inlineStr">
        <is>
          <t>Valdivia</t>
        </is>
      </c>
      <c r="B76" s="957" t="inlineStr">
        <is>
          <t>XIV</t>
        </is>
      </c>
      <c r="C76" s="957" t="inlineStr">
        <is>
          <t>Valdivia</t>
        </is>
      </c>
      <c r="D76" s="977" t="n">
        <v>2697.2</v>
      </c>
      <c r="E76" s="959">
        <f>F76*H2/1000</f>
        <v/>
      </c>
      <c r="F76" s="602" t="n">
        <v>37000</v>
      </c>
      <c r="G76" s="960" t="n">
        <v>45127</v>
      </c>
      <c r="H76" s="957" t="inlineStr">
        <is>
          <t>Oferta</t>
        </is>
      </c>
      <c r="I76" s="957" t="n"/>
      <c r="J76" s="957" t="n"/>
      <c r="K76" s="957" t="n"/>
      <c r="L76" s="603">
        <f>IF(H76="Oferta",F76*$F$229-(J76*K76),F76)</f>
        <v/>
      </c>
      <c r="M76" s="604">
        <f>L76/D76</f>
        <v/>
      </c>
      <c r="N76" s="639" t="inlineStr">
        <is>
          <t>https://inmueble.mercadolibre.cl/MLC-1399277865-av-ramon-picarte-galvez-_JM#position=1&amp;search_layout=map&amp;type=item&amp;tracking_id=a2dfe491-5b04-4653-8c77-1b6b58536368</t>
        </is>
      </c>
      <c r="O76" s="608" t="inlineStr">
        <is>
          <t>Cuenta con excelente conectividad y accesibilidad, frente a Av. Ramón Picarte y a 700 metros de Av. Pedro Montt, que comunica directamente con la Ruta 5 Sur y con el resto del país. Superficie construida: 674 m2.</t>
        </is>
      </c>
    </row>
    <row r="77" hidden="1" ht="60" customHeight="1">
      <c r="A77" s="601" t="inlineStr">
        <is>
          <t>Valdivia</t>
        </is>
      </c>
      <c r="B77" s="957" t="inlineStr">
        <is>
          <t>XIV</t>
        </is>
      </c>
      <c r="C77" s="957" t="inlineStr">
        <is>
          <t>Valdivia</t>
        </is>
      </c>
      <c r="D77" s="977" t="n">
        <v>9452</v>
      </c>
      <c r="E77" s="959">
        <f>F77*H2/1000</f>
        <v/>
      </c>
      <c r="F77" s="602" t="n">
        <v>30500</v>
      </c>
      <c r="G77" s="960" t="n">
        <v>45248</v>
      </c>
      <c r="H77" s="957" t="inlineStr">
        <is>
          <t>Oferta</t>
        </is>
      </c>
      <c r="I77" s="957" t="n"/>
      <c r="J77" s="957" t="n"/>
      <c r="K77" s="957" t="n"/>
      <c r="L77" s="603">
        <f>IF(H77="Oferta",F77*$F$229-(J77*K77),F77)</f>
        <v/>
      </c>
      <c r="M77" s="604">
        <f>L77/D77</f>
        <v/>
      </c>
      <c r="N77" s="639" t="inlineStr">
        <is>
          <t>https://inmueble.mercadolibre.cl/MLC-1441385517-gran-terreno-en-venta-calle-arica-valdivia-_JM#position=1&amp;search_layout=map&amp;type=item&amp;tracking_id=a3709776-794c-4113-920b-f963542ff602</t>
        </is>
      </c>
      <c r="O77" s="608" t="inlineStr">
        <is>
          <t>ubicada en calle Arica, Valdivia. Sector Industrial, en crecimiento muy cercano a Circunvalación Sur, Puerto las Mulatas, Campus Miraflores de la UACH entre otros rubros como comercio y actividades portuarias y de navegación.
Terreno urbano apto para uso industrial, almacenamiento y vivienda.</t>
        </is>
      </c>
    </row>
    <row r="78" hidden="1" ht="60" customHeight="1">
      <c r="A78" s="601" t="inlineStr">
        <is>
          <t>Valdivia</t>
        </is>
      </c>
      <c r="B78" s="957" t="inlineStr">
        <is>
          <t>XIV</t>
        </is>
      </c>
      <c r="C78" s="957" t="inlineStr">
        <is>
          <t>Valdivia</t>
        </is>
      </c>
      <c r="D78" s="977" t="n">
        <v>9500</v>
      </c>
      <c r="E78" s="959">
        <f>F78*H2/1000</f>
        <v/>
      </c>
      <c r="F78" s="602" t="n">
        <v>46550</v>
      </c>
      <c r="G78" s="960" t="n">
        <v>45158</v>
      </c>
      <c r="H78" s="957" t="inlineStr">
        <is>
          <t>Oferta</t>
        </is>
      </c>
      <c r="I78" s="957" t="n"/>
      <c r="J78" s="957" t="n"/>
      <c r="K78" s="957" t="n"/>
      <c r="L78" s="603">
        <f>IF(H78="Oferta",F78*$F$229-(J78*K78),F78)</f>
        <v/>
      </c>
      <c r="M78" s="604">
        <f>L78/D78</f>
        <v/>
      </c>
      <c r="N78" s="639" t="inlineStr">
        <is>
          <t>https://www.portalinmobiliario.com/MLC-1819205040-industrial-en-venta-en-valdivia-_JM#position=9&amp;search_layout=map&amp;type=item&amp;tracking_id=a72dc94e-1e1b-4fe3-98bc-a2b99e16111b</t>
        </is>
      </c>
      <c r="O78" s="608" t="inlineStr">
        <is>
          <t>9500 m2 apto para industrias molesta e inofensiva, equipamiento, habitacional, ubicado a 3 kilómetros al centro de la ciudad de Valdivia. Ideal para desarrollo de bodegas para renta.</t>
        </is>
      </c>
    </row>
    <row r="79" hidden="1" ht="60" customHeight="1">
      <c r="A79" s="601" t="inlineStr">
        <is>
          <t>Valdivia</t>
        </is>
      </c>
      <c r="B79" s="957" t="inlineStr">
        <is>
          <t>XIV</t>
        </is>
      </c>
      <c r="C79" s="957" t="inlineStr">
        <is>
          <t>Valdivia</t>
        </is>
      </c>
      <c r="D79" s="977" t="n">
        <v>5000</v>
      </c>
      <c r="E79" s="959">
        <f>F79*H2/1000</f>
        <v/>
      </c>
      <c r="F79" s="602" t="n">
        <v>6400</v>
      </c>
      <c r="G79" s="960" t="n">
        <v>45244</v>
      </c>
      <c r="H79" s="957" t="inlineStr">
        <is>
          <t>Oferta</t>
        </is>
      </c>
      <c r="I79" s="957" t="n"/>
      <c r="J79" s="957" t="n"/>
      <c r="K79" s="957" t="n"/>
      <c r="L79" s="603">
        <f>IF(H79="Oferta",F79*$F$229-(J79*K79),F79)</f>
        <v/>
      </c>
      <c r="M79" s="604">
        <f>L79/D79</f>
        <v/>
      </c>
      <c r="N79" s="639" t="inlineStr">
        <is>
          <t>https://www.portalinmobiliario.com/MLC-2099788546-venta-directa-terreno-comercial-5000-m2-y-galpon-nuevo-_JM#position=5&amp;search_layout=map&amp;type=item&amp;tracking_id=ba2d3f8b-098a-41b9-b2e5-097ea9207138</t>
        </is>
      </c>
      <c r="O79" s="608" t="inlineStr">
        <is>
          <t>terreno y galpón en el sector industrial de Llancahue, salida sur de Valdivia. El terreno de 5.000 m² es totalmente plano y aprovechable, parcialmente cerrado con cerco metálico. La propiedad incluye un galpón nuevo de 204 m² con 2 contenedores de 40 pies cerrados y una zona de trabajo de 75 m². Ubicación estratégica con acceso desde Av. Picarte y salida sur de Valdivia</t>
        </is>
      </c>
    </row>
    <row r="80" hidden="1" ht="60" customHeight="1">
      <c r="A80" s="601" t="inlineStr">
        <is>
          <t>Valdivia</t>
        </is>
      </c>
      <c r="B80" s="957" t="inlineStr">
        <is>
          <t>XIV</t>
        </is>
      </c>
      <c r="C80" s="957" t="inlineStr">
        <is>
          <t>Valdivia</t>
        </is>
      </c>
      <c r="D80" s="977" t="n">
        <v>2900</v>
      </c>
      <c r="E80" s="959">
        <f>F80*H2/1000</f>
        <v/>
      </c>
      <c r="F80" s="602" t="n">
        <v>36000</v>
      </c>
      <c r="G80" s="960" t="n">
        <v>45127</v>
      </c>
      <c r="H80" s="957" t="inlineStr">
        <is>
          <t>Oferta</t>
        </is>
      </c>
      <c r="I80" s="957" t="n"/>
      <c r="J80" s="957" t="n"/>
      <c r="K80" s="957" t="n"/>
      <c r="L80" s="603">
        <f>IF(H80="Oferta",F80*$F$229-(J80*K80),F80)</f>
        <v/>
      </c>
      <c r="M80" s="604">
        <f>L80/D80</f>
        <v/>
      </c>
      <c r="N80" s="639" t="inlineStr">
        <is>
          <t>https://inmueble.mercadolibre.cl/MLC-1405159205-picarte-2900-mt2-cercano-av-francia-valdivia-36000-uf-_JM#position=2&amp;search_layout=map&amp;type=item&amp;tracking_id=a3954309-c5f9-4752-acc9-a8e83abfed34</t>
        </is>
      </c>
      <c r="O80" s="608" t="inlineStr">
        <is>
          <t>Propiedad ubicada en pleno eje picarte, en dirección sur, a la altura del 2700, en la ciudad de Valdivia. Zona ZU-4
Vivienda.Equipamiento de los tipo y escala.Industria, almacenamiento y talleres inofensivos.Actividades complementarias a la vialidad y al transporte.</t>
        </is>
      </c>
    </row>
    <row r="81" hidden="1" ht="60" customHeight="1">
      <c r="A81" s="601" t="inlineStr">
        <is>
          <t>Valdivia</t>
        </is>
      </c>
      <c r="B81" s="957" t="inlineStr">
        <is>
          <t>XIV</t>
        </is>
      </c>
      <c r="C81" s="957" t="inlineStr">
        <is>
          <t>Valdivia</t>
        </is>
      </c>
      <c r="D81" s="977" t="n">
        <v>3075</v>
      </c>
      <c r="E81" s="959">
        <f>F81*H2/1000</f>
        <v/>
      </c>
      <c r="F81" s="602">
        <f>D81*12</f>
        <v/>
      </c>
      <c r="G81" s="960" t="n">
        <v>45127</v>
      </c>
      <c r="H81" s="957" t="inlineStr">
        <is>
          <t>Oferta</t>
        </is>
      </c>
      <c r="I81" s="957" t="n"/>
      <c r="J81" s="957" t="n"/>
      <c r="K81" s="957" t="n"/>
      <c r="L81" s="603">
        <f>IF(H81="Oferta",F81*$F$229-(J81*K81),F81)</f>
        <v/>
      </c>
      <c r="M81" s="604">
        <f>L81/D81</f>
        <v/>
      </c>
      <c r="N81" s="639" t="inlineStr">
        <is>
          <t>https://inmueble.mercadolibre.cl/MLC-1815258680-terreno-avenida-ecuador-12-uf-m-_JM#position=4&amp;search_layout=map&amp;type=item&amp;tracking_id=cad76cb3-23f0-49f4-af5c-fbad5843aae2</t>
        </is>
      </c>
      <c r="O81" s="608" t="inlineStr">
        <is>
          <t>ompuesta de tres lotes, ubicada en pleno proyecto de Barrio Cívico de la ciudad donde termina la ampliación a la Avenida Costanera, calle de gran tráfico que conecta la ciudad con Sector Collico, Corvi, Ciudad de los Lagos, desde este terreno se puede conectar fácilmente a todos los puntos de la ciudad</t>
        </is>
      </c>
    </row>
    <row r="82" hidden="1" ht="60" customHeight="1">
      <c r="A82" s="601" t="inlineStr">
        <is>
          <t>Valdivia</t>
        </is>
      </c>
      <c r="B82" s="957" t="inlineStr">
        <is>
          <t>XIV</t>
        </is>
      </c>
      <c r="C82" s="957" t="inlineStr">
        <is>
          <t>Valdivia</t>
        </is>
      </c>
      <c r="D82" s="977" t="n">
        <v>5000</v>
      </c>
      <c r="E82" s="959">
        <f>F82*H2/1000</f>
        <v/>
      </c>
      <c r="F82" s="602" t="n">
        <v>3560</v>
      </c>
      <c r="G82" s="960" t="n">
        <v>44157</v>
      </c>
      <c r="H82" s="957" t="inlineStr">
        <is>
          <t>Oferta</t>
        </is>
      </c>
      <c r="I82" s="957" t="n"/>
      <c r="J82" s="957" t="n"/>
      <c r="K82" s="957" t="n"/>
      <c r="L82" s="603">
        <f>IF(H82="Oferta",F82*$F$229-(J82*K82),F82)</f>
        <v/>
      </c>
      <c r="M82" s="604">
        <f>L82/D82</f>
        <v/>
      </c>
      <c r="N82" s="639" t="inlineStr">
        <is>
          <t>https://www.economicos.cl/propiedades/vendo-terreno-industrial-en-valdivia-codAAREWBQ.html</t>
        </is>
      </c>
      <c r="O82" s="608" t="inlineStr">
        <is>
          <t>Terreno eriazo. sector Industrial de Valdivia, sector Sevilla, ubicado en las Animas, entre puente Cau-Cau y Puente Calle Calle. Excelente terreno para instalación de industria o galpones. Postes de linea de media tensión y agua potable</t>
        </is>
      </c>
    </row>
    <row r="83" hidden="1" ht="60" customHeight="1">
      <c r="A83" s="601" t="inlineStr">
        <is>
          <t>Caldera</t>
        </is>
      </c>
      <c r="B83" s="957" t="inlineStr">
        <is>
          <t>III</t>
        </is>
      </c>
      <c r="C83" s="957" t="inlineStr">
        <is>
          <t>Copiapo</t>
        </is>
      </c>
      <c r="D83" s="958" t="n">
        <v>3337</v>
      </c>
      <c r="E83" s="959">
        <f>F83*H2/1000</f>
        <v/>
      </c>
      <c r="F83" s="602" t="n">
        <v>3000</v>
      </c>
      <c r="G83" s="960" t="n">
        <v>45250</v>
      </c>
      <c r="H83" s="957" t="inlineStr">
        <is>
          <t>Oferta</t>
        </is>
      </c>
      <c r="I83" s="957" t="n"/>
      <c r="J83" s="957" t="n"/>
      <c r="K83" s="957" t="n"/>
      <c r="L83" s="603">
        <f>IF(H83="Oferta",F83*$F$229-(J83*K83),F83)</f>
        <v/>
      </c>
      <c r="M83" s="604">
        <f>L83/D83</f>
        <v/>
      </c>
      <c r="N83" s="639" t="inlineStr">
        <is>
          <t>https://casas.mitula.cl/adform/24301-256-32da-42ed8cb7b2e3-9730-da432e1d-2647?page=1&amp;pos=1&amp;t_sec=1&amp;t_or=2&amp;t_pvid=bcf36153-1665-47f3-92f6-2c3da16c8c89&amp;req_sgmt=REVTS1RPUDtTRU87U0VSUDs%3D</t>
        </is>
      </c>
      <c r="O83" s="640" t="inlineStr">
        <is>
          <t>Caldera, Terreno En Venta En Barrio Industrial Caldera</t>
        </is>
      </c>
    </row>
    <row r="84" hidden="1" ht="60" customHeight="1">
      <c r="A84" s="601" t="inlineStr">
        <is>
          <t>Caldera</t>
        </is>
      </c>
      <c r="B84" s="957" t="inlineStr">
        <is>
          <t>III</t>
        </is>
      </c>
      <c r="C84" s="957" t="inlineStr">
        <is>
          <t>Copiapo</t>
        </is>
      </c>
      <c r="D84" s="958" t="n">
        <v>26908</v>
      </c>
      <c r="E84" s="959">
        <f>F84*H2/1000</f>
        <v/>
      </c>
      <c r="F84" s="602" t="n">
        <v>29599</v>
      </c>
      <c r="G84" s="960" t="n">
        <v>45066</v>
      </c>
      <c r="H84" s="957" t="inlineStr">
        <is>
          <t>Oferta</t>
        </is>
      </c>
      <c r="I84" s="957" t="n"/>
      <c r="J84" s="957" t="n"/>
      <c r="K84" s="957" t="n"/>
      <c r="L84" s="603">
        <f>IF(H84="Oferta",F84*$F$229-(J84*K84),F84)</f>
        <v/>
      </c>
      <c r="M84" s="604">
        <f>L84/D84</f>
        <v/>
      </c>
      <c r="N84" s="639" t="inlineStr">
        <is>
          <t>https://inmueble.mercadolibre.cl/MLC-1681083432-increible-oportunidad-de-inversion-para-proyectos-en-caldera-_JM#position=1&amp;search_layout=map&amp;type=item&amp;tracking_id=ae3f3235-8f24-491f-8b39-e9708c7b39a6</t>
        </is>
      </c>
      <c r="O84" s="608" t="inlineStr">
        <is>
          <t xml:space="preserve">
Terreno en el acceso norte de Caldera, en un barrio industrial de alta demanda. Su ubicación estratégica asegura fácil acceso a principales vías y servicios públicos. Parcelado en 12 lotes, ofrece la opción de venta individual o desarrollo de proyectos independientes, brindando flexibilidad y diversas oportunidades de inversión.
</t>
        </is>
      </c>
    </row>
    <row r="85" hidden="1" ht="60" customHeight="1">
      <c r="A85" s="601" t="inlineStr">
        <is>
          <t>Caldera</t>
        </is>
      </c>
      <c r="B85" s="957" t="inlineStr">
        <is>
          <t>III</t>
        </is>
      </c>
      <c r="C85" s="957" t="inlineStr">
        <is>
          <t>Copiapo</t>
        </is>
      </c>
      <c r="D85" s="958" t="n">
        <v>1250</v>
      </c>
      <c r="E85" s="959">
        <f>F85*H2/1000</f>
        <v/>
      </c>
      <c r="F85" s="602" t="n">
        <v>9640</v>
      </c>
      <c r="G85" s="960" t="n">
        <v>45222</v>
      </c>
      <c r="H85" s="957" t="inlineStr">
        <is>
          <t>Oferta</t>
        </is>
      </c>
      <c r="I85" s="957" t="n"/>
      <c r="J85" s="957" t="n"/>
      <c r="K85" s="957" t="n"/>
      <c r="L85" s="603">
        <f>IF(H85="Oferta",F85*$F$229-(J85*K85),F85)</f>
        <v/>
      </c>
      <c r="M85" s="604">
        <f>L85/D85</f>
        <v/>
      </c>
      <c r="N85" s="639" t="inlineStr">
        <is>
          <t>https://inmueble.mercadolibre.cl/MLC-2060222502-venta-terreno-barrio-industrial-caldera-_JM#position=11&amp;search_layout=map&amp;type=item&amp;tracking_id=6ed2e9a0-70b1-4d50-bf77-72794990f88a</t>
        </is>
      </c>
      <c r="O85" s="608" t="inlineStr">
        <is>
          <t>zona industrial, caldera</t>
        </is>
      </c>
    </row>
    <row r="86" hidden="1" ht="60" customHeight="1">
      <c r="A86" s="601" t="inlineStr">
        <is>
          <t>Talcahuano</t>
        </is>
      </c>
      <c r="B86" s="957" t="inlineStr">
        <is>
          <t>VIII</t>
        </is>
      </c>
      <c r="C86" s="957" t="inlineStr">
        <is>
          <t>Talcahuano</t>
        </is>
      </c>
      <c r="D86" s="958" t="n">
        <v>355134</v>
      </c>
      <c r="E86" s="959">
        <f>F86*H2/1000</f>
        <v/>
      </c>
      <c r="F86" s="602" t="n">
        <v>360000</v>
      </c>
      <c r="G86" s="960" t="n">
        <v>45852</v>
      </c>
      <c r="H86" s="957" t="inlineStr">
        <is>
          <t>Oferta</t>
        </is>
      </c>
      <c r="I86" s="957" t="n"/>
      <c r="J86" s="957" t="n">
        <v>903</v>
      </c>
      <c r="K86" s="957" t="n">
        <v>8</v>
      </c>
      <c r="L86" s="602">
        <f>IF(H86="Oferta",F86*$F$229-(J86*K86),F86)</f>
        <v/>
      </c>
      <c r="M86" s="629">
        <f>L86/D86</f>
        <v/>
      </c>
      <c r="N86" s="607" t="inlineStr">
        <is>
          <t>https://gpsproperty.cl/184353</t>
        </is>
      </c>
      <c r="O86" s="608" t="inlineStr">
        <is>
          <t>903m2 oficinas, Terreno Industrial de forma irregular, con topografía mixta, ubicado en zona industrial de Talcahuano.</t>
        </is>
      </c>
    </row>
    <row r="87" hidden="1" ht="72.90000000000001" customHeight="1">
      <c r="A87" s="601" t="inlineStr">
        <is>
          <t>Talcahuano</t>
        </is>
      </c>
      <c r="B87" s="957" t="inlineStr">
        <is>
          <t>VIII</t>
        </is>
      </c>
      <c r="C87" s="957" t="inlineStr">
        <is>
          <t>Talcahuano</t>
        </is>
      </c>
      <c r="D87" s="958" t="n">
        <v>400000</v>
      </c>
      <c r="E87" s="959">
        <f>F87*H2/1000</f>
        <v/>
      </c>
      <c r="F87" s="602" t="n">
        <v>800000</v>
      </c>
      <c r="G87" s="960" t="n">
        <v>45852</v>
      </c>
      <c r="H87" s="957" t="inlineStr">
        <is>
          <t>Oferta</t>
        </is>
      </c>
      <c r="I87" s="957" t="n"/>
      <c r="J87" s="957" t="n">
        <v>0</v>
      </c>
      <c r="K87" s="957" t="n"/>
      <c r="L87" s="602">
        <f>IF(H87="Oferta",F87*$F$229-(J87*K87),F87)</f>
        <v/>
      </c>
      <c r="M87" s="629">
        <f>L87/D87</f>
        <v/>
      </c>
      <c r="N87" s="607" t="inlineStr">
        <is>
          <t>https://gpsproperty.cl/161620</t>
        </is>
      </c>
      <c r="O87" s="608" t="inlineStr">
        <is>
          <t>Emplazado al costado Poniente del Aeropuerto Carriel Sur,  a 2,5 kilómetros de distancia del acceso a la Autopista Concepción-Talcahuano</t>
        </is>
      </c>
    </row>
    <row r="88" hidden="1" ht="60" customHeight="1">
      <c r="A88" s="601" t="inlineStr">
        <is>
          <t>Av. Michaihue Ruta 160</t>
        </is>
      </c>
      <c r="B88" s="957" t="inlineStr">
        <is>
          <t>VIII</t>
        </is>
      </c>
      <c r="C88" s="957" t="inlineStr">
        <is>
          <t>San Pedro de La Paz</t>
        </is>
      </c>
      <c r="D88" s="958" t="n">
        <v>45776.3</v>
      </c>
      <c r="E88" s="959">
        <f>F88*$H$2/1000</f>
        <v/>
      </c>
      <c r="F88" s="602" t="n">
        <v>142241</v>
      </c>
      <c r="G88" s="960" t="n">
        <v>45852</v>
      </c>
      <c r="H88" s="957" t="inlineStr">
        <is>
          <t>Oferta</t>
        </is>
      </c>
      <c r="I88" s="957" t="n"/>
      <c r="J88" s="957" t="n">
        <v>0</v>
      </c>
      <c r="K88" s="957" t="n"/>
      <c r="L88" s="602">
        <f>IF(H88="Oferta",F88*$F$229-(J88*K88),F88)</f>
        <v/>
      </c>
      <c r="M88" s="629">
        <f>L88/D88</f>
        <v/>
      </c>
      <c r="N88" s="607" t="inlineStr">
        <is>
          <t>https://gpsproperty.cl/162327</t>
        </is>
      </c>
      <c r="O88" s="608" t="inlineStr">
        <is>
          <t>Ubicado en Zona ZI-1, terreno esquina con frente hacia avenida Michaihue y Ruta 160, uso comercial e industrial.</t>
        </is>
      </c>
    </row>
    <row r="89" hidden="1" ht="60" customHeight="1">
      <c r="A89" s="601" t="inlineStr">
        <is>
          <t>Carriel</t>
        </is>
      </c>
      <c r="B89" s="957" t="inlineStr">
        <is>
          <t>XIV</t>
        </is>
      </c>
      <c r="C89" s="957" t="inlineStr">
        <is>
          <t>Talcahuano</t>
        </is>
      </c>
      <c r="D89" s="977" t="n">
        <v>2219</v>
      </c>
      <c r="E89" s="959">
        <f>F89*H2/1000</f>
        <v/>
      </c>
      <c r="F89" s="602" t="n">
        <v>15265</v>
      </c>
      <c r="G89" s="960" t="n">
        <v>45240</v>
      </c>
      <c r="H89" s="957" t="inlineStr">
        <is>
          <t>Oferta</t>
        </is>
      </c>
      <c r="I89" s="957" t="n"/>
      <c r="J89" s="957" t="n"/>
      <c r="K89" s="957" t="n"/>
      <c r="L89" s="603">
        <f>IF(H89="Oferta",F89*$F$229-(J89*K89),F89)</f>
        <v/>
      </c>
      <c r="M89" s="604">
        <f>L89/D89</f>
        <v/>
      </c>
      <c r="N89" s="639" t="inlineStr">
        <is>
          <t>https://inmueble.mercadolibre.cl/MLC-1439012201-terreno-construccion-en-venta-en-talcahuano-_JM#position=3&amp;search_layout=map&amp;type=item&amp;tracking_id=a7c480dc-d320-406b-a6aa-5e703b335914</t>
        </is>
      </c>
      <c r="O89" s="608" t="inlineStr">
        <is>
          <t>Construcción de 556 m2.. Sitio con topografía semiplano en zona residencial mixta de la comuna de Talcahuano con una ubicación privilegiada a pasos de la plaza de armas de la comuna y a la Ilustre Municipalidad de Talcahuano.</t>
        </is>
      </c>
    </row>
    <row r="90" hidden="1" ht="60" customHeight="1">
      <c r="A90" s="601" t="inlineStr">
        <is>
          <t>Bodega industrial en San Vicente</t>
        </is>
      </c>
      <c r="B90" s="957" t="inlineStr">
        <is>
          <t>VIII</t>
        </is>
      </c>
      <c r="C90" s="957" t="inlineStr">
        <is>
          <t>Talcahuano</t>
        </is>
      </c>
      <c r="D90" s="977" t="n">
        <v>14060</v>
      </c>
      <c r="E90" s="959" t="n">
        <v>3670159</v>
      </c>
      <c r="F90" s="602" t="n">
        <v>93000</v>
      </c>
      <c r="G90" s="960" t="n">
        <v>45852</v>
      </c>
      <c r="H90" s="957" t="inlineStr">
        <is>
          <t>Oferta</t>
        </is>
      </c>
      <c r="I90" s="957" t="n"/>
      <c r="J90" s="957" t="n">
        <v>8264</v>
      </c>
      <c r="K90" s="957" t="n">
        <v>6</v>
      </c>
      <c r="L90" s="602">
        <f>IF(H90="Oferta",F90*$F$229-(J90*K90),F90)</f>
        <v/>
      </c>
      <c r="M90" s="629">
        <f>L90/D90</f>
        <v/>
      </c>
      <c r="N90" s="607" t="inlineStr">
        <is>
          <t>https://www.portalinmobiliario.com/MLC-2877727398-industrial-en-venta-en-talcahuano-_JM#polycard_client=search-nordic&amp;position=1&amp;search_layout=grid&amp;type=item&amp;tracking_id=02ae84c5-1fd1-4be2-8269-e4f0646eeb81</t>
        </is>
      </c>
      <c r="O90" s="641" t="inlineStr">
        <is>
          <t xml:space="preserve">Tipo zona: ZI-4.  Usos permitidos: Actividades Productivas de Industria,taller y establecimientos de bodegaje inofensivo y molesto.
</t>
        </is>
      </c>
    </row>
    <row r="91" hidden="1" ht="60" customHeight="1">
      <c r="A91" s="601" t="inlineStr">
        <is>
          <t>Lote 1, Av Las Golondrinas Dinahue</t>
        </is>
      </c>
      <c r="B91" s="957" t="inlineStr">
        <is>
          <t>VIII</t>
        </is>
      </c>
      <c r="C91" s="957" t="inlineStr">
        <is>
          <t>Talcahuano</t>
        </is>
      </c>
      <c r="D91" s="958" t="n">
        <v>13813.1</v>
      </c>
      <c r="E91" s="959">
        <f>F91*$H$2/1000</f>
        <v/>
      </c>
      <c r="F91" s="602" t="n">
        <v>69066</v>
      </c>
      <c r="G91" s="960" t="n">
        <v>45852</v>
      </c>
      <c r="H91" s="957" t="inlineStr">
        <is>
          <t>Oferta</t>
        </is>
      </c>
      <c r="I91" s="957" t="n"/>
      <c r="J91" s="957" t="n">
        <v>0</v>
      </c>
      <c r="K91" s="957" t="n"/>
      <c r="L91" s="602">
        <f>IF(H91="Oferta",F91*$F$229-(J91*K91),F91)</f>
        <v/>
      </c>
      <c r="M91" s="629">
        <f>L91/D91</f>
        <v/>
      </c>
      <c r="N91" s="607" t="inlineStr">
        <is>
          <t>https://gpsproperty.cl/185659</t>
        </is>
      </c>
      <c r="O91" s="608" t="inlineStr">
        <is>
          <t>actualmente es usado como estacionamiento de camiones. Cuenta con 7 oficinas en contenedores no anclados al piso.</t>
        </is>
      </c>
    </row>
    <row r="92" hidden="1" ht="60" customHeight="1">
      <c r="A92" s="601" t="inlineStr">
        <is>
          <t>Lote 2, Av Las Golondrinas Dinahue</t>
        </is>
      </c>
      <c r="B92" s="957" t="inlineStr">
        <is>
          <t>VIII</t>
        </is>
      </c>
      <c r="C92" s="957" t="inlineStr">
        <is>
          <t>Talcahuano</t>
        </is>
      </c>
      <c r="D92" s="958" t="n">
        <v>8533</v>
      </c>
      <c r="E92" s="959">
        <f>F92*$H$2/1000</f>
        <v/>
      </c>
      <c r="F92" s="602" t="n">
        <v>38400</v>
      </c>
      <c r="G92" s="960" t="n">
        <v>45852</v>
      </c>
      <c r="H92" s="957" t="inlineStr">
        <is>
          <t>Oferta</t>
        </is>
      </c>
      <c r="I92" s="957" t="n"/>
      <c r="J92" s="957" t="n">
        <v>0</v>
      </c>
      <c r="K92" s="957" t="n"/>
      <c r="L92" s="602">
        <f>IF(H92="Oferta",F92*$F$229-(J92*K92),F92)</f>
        <v/>
      </c>
      <c r="M92" s="629">
        <f>L92/D92</f>
        <v/>
      </c>
      <c r="N92" s="607" t="inlineStr">
        <is>
          <t>https://gpsproperty.cl/185660</t>
        </is>
      </c>
      <c r="O92" s="608" t="inlineStr">
        <is>
          <t>Con frente hacia Dinahue, en estado natural, con vegetación baja, posee forma regular y topografías suave.</t>
        </is>
      </c>
    </row>
    <row r="93" hidden="1" ht="60" customHeight="1">
      <c r="A93" s="601" t="n"/>
      <c r="B93" s="957" t="n"/>
      <c r="C93" s="957" t="n"/>
      <c r="D93" s="958" t="n"/>
      <c r="E93" s="959" t="n"/>
      <c r="F93" s="602" t="n"/>
      <c r="G93" s="960" t="n"/>
      <c r="H93" s="957" t="n"/>
      <c r="I93" s="957" t="n"/>
      <c r="J93" s="957" t="n"/>
      <c r="K93" s="957" t="n"/>
      <c r="L93" s="603" t="n"/>
      <c r="M93" s="604" t="n"/>
      <c r="N93" s="639" t="n"/>
      <c r="O93" s="608" t="n"/>
    </row>
    <row r="94" hidden="1" ht="60" customHeight="1">
      <c r="A94" s="601" t="n"/>
      <c r="B94" s="957" t="n"/>
      <c r="C94" s="957" t="n"/>
      <c r="D94" s="958" t="n"/>
      <c r="E94" s="959" t="n"/>
      <c r="F94" s="602" t="n"/>
      <c r="G94" s="960" t="n"/>
      <c r="H94" s="957" t="n"/>
      <c r="I94" s="957" t="n"/>
      <c r="J94" s="957" t="n"/>
      <c r="K94" s="957" t="n"/>
      <c r="L94" s="603" t="n"/>
      <c r="M94" s="604" t="n"/>
      <c r="N94" s="639" t="n"/>
      <c r="O94" s="608" t="n"/>
    </row>
    <row r="95" hidden="1" ht="60" customHeight="1">
      <c r="A95" s="601" t="n"/>
      <c r="B95" s="957" t="n"/>
      <c r="C95" s="957" t="n"/>
      <c r="D95" s="958" t="n"/>
      <c r="E95" s="959" t="n"/>
      <c r="F95" s="602" t="n"/>
      <c r="G95" s="960" t="n"/>
      <c r="H95" s="957" t="n"/>
      <c r="I95" s="957" t="n"/>
      <c r="J95" s="957" t="n"/>
      <c r="K95" s="957" t="n"/>
      <c r="L95" s="603" t="n"/>
      <c r="M95" s="604" t="n"/>
      <c r="N95" s="639" t="n"/>
      <c r="O95" s="608" t="n"/>
    </row>
    <row r="96" hidden="1" ht="93" customHeight="1">
      <c r="A96" s="601" t="inlineStr">
        <is>
          <t>Terreno insdustrial Castro</t>
        </is>
      </c>
      <c r="B96" s="957" t="inlineStr">
        <is>
          <t>X</t>
        </is>
      </c>
      <c r="C96" s="957" t="inlineStr">
        <is>
          <t>Castro</t>
        </is>
      </c>
      <c r="D96" s="958" t="n">
        <v>16800</v>
      </c>
      <c r="E96" s="959">
        <f>F96*H2/1000</f>
        <v/>
      </c>
      <c r="F96" s="602" t="n">
        <v>84000</v>
      </c>
      <c r="G96" s="960" t="n">
        <v>44877</v>
      </c>
      <c r="H96" s="957" t="inlineStr">
        <is>
          <t>Oferta</t>
        </is>
      </c>
      <c r="I96" s="957" t="n"/>
      <c r="J96" s="957" t="n"/>
      <c r="K96" s="957" t="n"/>
      <c r="L96" s="603">
        <f>IF(H96="Oferta",F96*$F$229-(J96*K96),F96)</f>
        <v/>
      </c>
      <c r="M96" s="604">
        <f>L96/D96</f>
        <v/>
      </c>
      <c r="N96" s="607" t="inlineStr">
        <is>
          <t>http://www.economicos.cl/propiedades/propiedad-industrial-en-venta-en-castro-codR76244956-0L0-21583.html</t>
        </is>
      </c>
      <c r="O96" s="608" t="inlineStr">
        <is>
          <t>Terreno Industrial y urbano con más de 60 m de frente a la ruta 5 sur, muy cerca de la estación Petrobrás, frente al cruce a Dalcahue, en estrátegica ubicación en el sector industrial de la entrada norte de Castro. Agua por APR y empalme eléctrico con capacidad trifácica.</t>
        </is>
      </c>
    </row>
    <row r="97" hidden="1" ht="93" customHeight="1">
      <c r="A97" s="601" t="inlineStr">
        <is>
          <t>Terreno insdustrial Chonchi</t>
        </is>
      </c>
      <c r="B97" s="957" t="inlineStr">
        <is>
          <t>X</t>
        </is>
      </c>
      <c r="C97" s="957" t="inlineStr">
        <is>
          <t>Chonchi</t>
        </is>
      </c>
      <c r="D97" s="958">
        <f>22.5*10000</f>
        <v/>
      </c>
      <c r="E97" s="959">
        <f>1214974250/1000</f>
        <v/>
      </c>
      <c r="F97" s="602" t="n">
        <v>35000</v>
      </c>
      <c r="G97" s="960" t="n">
        <v>44450</v>
      </c>
      <c r="H97" s="957" t="inlineStr">
        <is>
          <t>Oferta</t>
        </is>
      </c>
      <c r="I97" s="957" t="n"/>
      <c r="J97" s="957" t="n"/>
      <c r="K97" s="957" t="n"/>
      <c r="L97" s="603">
        <f>IF(H97="Oferta",F97*$F$229-(J97*K97),F97)</f>
        <v/>
      </c>
      <c r="M97" s="604">
        <f>L97/D97</f>
        <v/>
      </c>
      <c r="N97" s="607" t="inlineStr">
        <is>
          <t>https://www.portalterreno.com/cl/propiedad/venta/industrial/chonchi/178491-quinched-chonchi</t>
        </is>
      </c>
      <c r="O97" s="608" t="inlineStr">
        <is>
          <t xml:space="preserve">acceso por ruta W-591, con 4.029 m2 construidos, </t>
        </is>
      </c>
    </row>
    <row r="98" hidden="1" ht="93" customHeight="1">
      <c r="A98" s="601" t="inlineStr">
        <is>
          <t>Terreno industrial, mismo sector tasado</t>
        </is>
      </c>
      <c r="B98" s="957" t="inlineStr">
        <is>
          <t>X</t>
        </is>
      </c>
      <c r="C98" s="957" t="inlineStr">
        <is>
          <t>Chonchi</t>
        </is>
      </c>
      <c r="D98" s="958" t="n">
        <v>12254</v>
      </c>
      <c r="E98" s="959" t="n">
        <v>600000</v>
      </c>
      <c r="F98" s="602">
        <f>E98*1000/H2</f>
        <v/>
      </c>
      <c r="G98" s="960" t="n">
        <v>44870</v>
      </c>
      <c r="H98" s="957" t="inlineStr">
        <is>
          <t>Oferta</t>
        </is>
      </c>
      <c r="I98" s="957" t="n"/>
      <c r="J98" s="957" t="n"/>
      <c r="K98" s="957" t="n"/>
      <c r="L98" s="603">
        <f>IF(H98="Oferta",F98*$F$229-(J98*K98),F98)</f>
        <v/>
      </c>
      <c r="M98" s="604">
        <f>L98/D98</f>
        <v/>
      </c>
      <c r="N98" s="607" t="inlineStr">
        <is>
          <t>https://www.portalinmobiliario.com/MLC-1135732957-industrial-en-venta-en-chonchi-_JM#position=1&amp;search_layout=stack&amp;type=item&amp;tracking_id=784387b2-38ff-4346-ab27-90801626eae8</t>
        </is>
      </c>
      <c r="O98" s="608" t="inlineStr">
        <is>
          <t xml:space="preserve">con construcción en mal estado por incendio, acceso por Ruta W-853, mismo sector tasado, en zona   Zex-1( Vivienda y Equipamiento ).
</t>
        </is>
      </c>
    </row>
    <row r="99" hidden="1" ht="93" customHeight="1">
      <c r="A99" s="601" t="inlineStr">
        <is>
          <t>Propiedad en Chonchi</t>
        </is>
      </c>
      <c r="B99" s="957" t="inlineStr">
        <is>
          <t>X</t>
        </is>
      </c>
      <c r="C99" s="957" t="inlineStr">
        <is>
          <t>Chonchi</t>
        </is>
      </c>
      <c r="D99" s="958" t="n">
        <v>10000</v>
      </c>
      <c r="E99" s="959">
        <f>185703611/1000</f>
        <v/>
      </c>
      <c r="F99" s="602" t="n">
        <v>5364</v>
      </c>
      <c r="G99" s="960" t="n">
        <v>44847</v>
      </c>
      <c r="H99" s="957" t="inlineStr">
        <is>
          <t>Oferta</t>
        </is>
      </c>
      <c r="I99" s="957" t="n"/>
      <c r="J99" s="957" t="n"/>
      <c r="K99" s="957" t="n"/>
      <c r="L99" s="603">
        <f>IF(H99="Oferta",F99*$F$229-(J99*K99),F99)</f>
        <v/>
      </c>
      <c r="M99" s="604">
        <f>L99/D99</f>
        <v/>
      </c>
      <c r="N99" s="607" t="inlineStr">
        <is>
          <t>https://www.toctoc.com/propiedades/compracorredorasr/terreno/chonchi/hermoso-terreno-con-excelente-vista-al-mar/2209480?o=resultado_lista_seo_img</t>
        </is>
      </c>
      <c r="O99" s="606" t="inlineStr">
        <is>
          <t>Suelos planos, primera linea frente al mar , en altura, con serviciós básicos de APR y tendido eléctrico</t>
        </is>
      </c>
    </row>
    <row r="100" hidden="1" ht="60.9" customHeight="1">
      <c r="A100" s="601" t="inlineStr">
        <is>
          <t>Terreno urbano en Castro</t>
        </is>
      </c>
      <c r="B100" s="957" t="inlineStr">
        <is>
          <t>X</t>
        </is>
      </c>
      <c r="C100" s="957" t="inlineStr">
        <is>
          <t>Castro</t>
        </is>
      </c>
      <c r="D100" s="958" t="n">
        <v>16200</v>
      </c>
      <c r="E100" s="959" t="n">
        <v>500000</v>
      </c>
      <c r="F100" s="602" t="n">
        <v>14403.6</v>
      </c>
      <c r="G100" s="960" t="n">
        <v>44875</v>
      </c>
      <c r="H100" s="957" t="inlineStr">
        <is>
          <t>Oferta</t>
        </is>
      </c>
      <c r="I100" s="957" t="n"/>
      <c r="J100" s="957" t="n"/>
      <c r="K100" s="957" t="n"/>
      <c r="L100" s="603">
        <f>IF(H100="Oferta",F100*$F$229-(J100*K100),F100)</f>
        <v/>
      </c>
      <c r="M100" s="604">
        <f>L100/D100</f>
        <v/>
      </c>
      <c r="N100" s="607" t="inlineStr">
        <is>
          <t>http://www.terrenochiloe.cl/propiedad/excelente-oportunidad-de-inversion-4</t>
        </is>
      </c>
      <c r="O100" s="606" t="inlineStr">
        <is>
          <t>Terreno ubicado en sector cruce Llau.-Llao comuna de Castro, terreno orilla de carretera, camino hacia Putemun y entrada de Castro, sector de alta plusvalía.</t>
        </is>
      </c>
    </row>
    <row r="101" hidden="1" ht="41.1" customHeight="1">
      <c r="A101" s="601" t="inlineStr">
        <is>
          <t>Tereno habitacional</t>
        </is>
      </c>
      <c r="B101" s="957" t="inlineStr">
        <is>
          <t>X</t>
        </is>
      </c>
      <c r="C101" s="957" t="inlineStr">
        <is>
          <t>Chonchi</t>
        </is>
      </c>
      <c r="D101" s="958" t="n">
        <v>170000</v>
      </c>
      <c r="E101" s="959" t="n">
        <v>765000</v>
      </c>
      <c r="F101" s="602" t="n">
        <v>29034</v>
      </c>
      <c r="G101" s="960" t="n">
        <v>44875</v>
      </c>
      <c r="H101" s="957" t="inlineStr">
        <is>
          <t>Oferta</t>
        </is>
      </c>
      <c r="I101" s="957" t="n"/>
      <c r="J101" s="957" t="n"/>
      <c r="K101" s="957" t="n"/>
      <c r="L101" s="603">
        <f>IF(H101="Oferta",F101*$F$229-(J101*K101),F101)</f>
        <v/>
      </c>
      <c r="M101" s="604">
        <f>L101/D101</f>
        <v/>
      </c>
      <c r="N101" s="607" t="inlineStr">
        <is>
          <t>https://chile.buscainmobiliarias.com/terreno-habitacional_en_venta_en_chiloe_i1531391.asp?utm_source=Lifull-connect&amp;utm_medium=referrer</t>
        </is>
      </c>
      <c r="O101" s="606" t="inlineStr">
        <is>
          <t>Terreno habitacional, sin habilitar, Chonchi</t>
        </is>
      </c>
    </row>
    <row r="102" hidden="1" ht="41.1" customHeight="1">
      <c r="A102" s="601" t="inlineStr">
        <is>
          <t>Tereno en Quillota</t>
        </is>
      </c>
      <c r="B102" s="957" t="inlineStr">
        <is>
          <t>V</t>
        </is>
      </c>
      <c r="C102" s="957" t="inlineStr">
        <is>
          <t>Quillota</t>
        </is>
      </c>
      <c r="D102" s="958" t="n">
        <v>20000</v>
      </c>
      <c r="E102" s="959" t="n">
        <v>581143</v>
      </c>
      <c r="F102" s="602">
        <f>E102*1000/$H$2</f>
        <v/>
      </c>
      <c r="G102" s="960" t="n">
        <v>44169</v>
      </c>
      <c r="H102" s="957" t="inlineStr">
        <is>
          <t>Oferta</t>
        </is>
      </c>
      <c r="I102" s="957" t="n"/>
      <c r="J102" s="957" t="n"/>
      <c r="K102" s="957" t="n"/>
      <c r="L102" s="603">
        <f>IF(H102="Oferta",F102*$F$229-(J102*K102),F102)</f>
        <v/>
      </c>
      <c r="M102" s="604">
        <f>L102/D102</f>
        <v/>
      </c>
      <c r="N102" s="607" t="inlineStr">
        <is>
          <t>http://www.economicos.cl/propiedades/se-vende-terreno-con-excelente-ubicacion-en-quillota-codAARPIJA.html</t>
        </is>
      </c>
      <c r="O102" s="606" t="inlineStr">
        <is>
          <t>2 ha planas, sin habilitar, con cultivos, cercano a hospital biprovincial</t>
        </is>
      </c>
    </row>
    <row r="103" hidden="1" ht="41.1" customHeight="1">
      <c r="A103" s="601" t="inlineStr">
        <is>
          <t>Tereno en Quillota</t>
        </is>
      </c>
      <c r="B103" s="957" t="inlineStr">
        <is>
          <t>V</t>
        </is>
      </c>
      <c r="C103" s="957" t="inlineStr">
        <is>
          <t>Quillota</t>
        </is>
      </c>
      <c r="D103" s="958" t="n">
        <v>57000</v>
      </c>
      <c r="E103" s="959" t="n">
        <v>4728102</v>
      </c>
      <c r="F103" s="602">
        <f>E103*1000/H2</f>
        <v/>
      </c>
      <c r="G103" s="960" t="n">
        <v>44350</v>
      </c>
      <c r="H103" s="957" t="inlineStr">
        <is>
          <t>Oferta</t>
        </is>
      </c>
      <c r="I103" s="957" t="n"/>
      <c r="J103" s="957" t="n"/>
      <c r="K103" s="957" t="n"/>
      <c r="L103" s="603">
        <f>IF(H103="Oferta",F103*$F$229-(J103*K103),F103)</f>
        <v/>
      </c>
      <c r="M103" s="604">
        <f>L103/D103</f>
        <v/>
      </c>
      <c r="N103" s="607" t="inlineStr">
        <is>
          <t>http://www.economicos.cl/propiedades/sitio-o-terreno-en-venta-en-quillota-codR76430403-9L0-4448798.html</t>
        </is>
      </c>
      <c r="O103" s="606" t="inlineStr">
        <is>
          <t>Zona de equipamiento, cercana  a centros comerciales, sin habilitar</t>
        </is>
      </c>
    </row>
    <row r="104" hidden="1" ht="41.1" customHeight="1">
      <c r="A104" s="601" t="inlineStr">
        <is>
          <t>Tereno en Quillota</t>
        </is>
      </c>
      <c r="B104" s="957" t="inlineStr">
        <is>
          <t>V</t>
        </is>
      </c>
      <c r="C104" s="957" t="inlineStr">
        <is>
          <t>Quillota</t>
        </is>
      </c>
      <c r="D104" s="958" t="n">
        <v>11300</v>
      </c>
      <c r="E104" s="959" t="n">
        <v>669525</v>
      </c>
      <c r="F104" s="602">
        <f>E104*1000/H2</f>
        <v/>
      </c>
      <c r="G104" s="960" t="n">
        <v>44350</v>
      </c>
      <c r="H104" s="957" t="inlineStr">
        <is>
          <t>Oferta</t>
        </is>
      </c>
      <c r="I104" s="957" t="n"/>
      <c r="J104" s="957" t="n"/>
      <c r="K104" s="957" t="n"/>
      <c r="L104" s="603">
        <f>IF(H104="Oferta",F104*$F$229-(J104*K104),F104)</f>
        <v/>
      </c>
      <c r="M104" s="604">
        <f>L104/D104</f>
        <v/>
      </c>
      <c r="N104" s="607" t="inlineStr">
        <is>
          <t>http://www.economicos.cl/propiedades/sitio-o-terreno-en-venta-en-quillota-codR76917568-7L0-116011140.html</t>
        </is>
      </c>
      <c r="O104" s="606" t="inlineStr">
        <is>
          <t>Terreno plano, sin habilitar ubicado  a las afueras del centro urbano de Quillota</t>
        </is>
      </c>
    </row>
    <row r="105" hidden="1" ht="41.1" customHeight="1">
      <c r="A105" s="601" t="inlineStr">
        <is>
          <t>Terreno en sector La Tetera</t>
        </is>
      </c>
      <c r="B105" s="957" t="inlineStr">
        <is>
          <t>V</t>
        </is>
      </c>
      <c r="C105" s="957" t="inlineStr">
        <is>
          <t>Quillota</t>
        </is>
      </c>
      <c r="D105" s="958" t="n">
        <v>5361</v>
      </c>
      <c r="E105" s="959" t="n">
        <v>70000</v>
      </c>
      <c r="F105" s="602">
        <f>E105*1000/H2</f>
        <v/>
      </c>
      <c r="G105" s="960" t="n">
        <v>44050</v>
      </c>
      <c r="H105" s="957" t="inlineStr">
        <is>
          <t>Oferta</t>
        </is>
      </c>
      <c r="I105" s="957" t="n"/>
      <c r="J105" s="957" t="n"/>
      <c r="K105" s="957" t="n"/>
      <c r="L105" s="603">
        <f>IF(H105="Oferta",F105*$F$229-(J105*K105),F105)</f>
        <v/>
      </c>
      <c r="M105" s="604">
        <f>L105/D105</f>
        <v/>
      </c>
      <c r="N105" s="607" t="inlineStr">
        <is>
          <t>http://www.economicos.cl/propiedades/vendo-terreno-de-5361-m2-en-la-tetera-quillota-codAAQ7ZLA.html</t>
        </is>
      </c>
      <c r="O105" s="606" t="inlineStr">
        <is>
          <t>Terreno en sector La Tetera, area rural de la comuna, con factibilidad de servicios básicos</t>
        </is>
      </c>
    </row>
    <row r="106" hidden="1" ht="41.1" customHeight="1">
      <c r="A106" s="601" t="inlineStr">
        <is>
          <t>Sitio en La Palma</t>
        </is>
      </c>
      <c r="B106" s="957" t="inlineStr">
        <is>
          <t>V</t>
        </is>
      </c>
      <c r="C106" s="957" t="inlineStr">
        <is>
          <t>Quillota</t>
        </is>
      </c>
      <c r="D106" s="958" t="n">
        <v>625</v>
      </c>
      <c r="E106" s="959" t="n">
        <v>22973</v>
      </c>
      <c r="F106" s="602">
        <f>E106*1000/H2</f>
        <v/>
      </c>
      <c r="G106" s="960" t="n">
        <v>43979</v>
      </c>
      <c r="H106" s="957" t="inlineStr">
        <is>
          <t>Oferta</t>
        </is>
      </c>
      <c r="I106" s="957" t="n"/>
      <c r="J106" s="957" t="n"/>
      <c r="K106" s="957" t="n"/>
      <c r="L106" s="603">
        <f>IF(H106="Oferta",F106*$F$229-(J106*K106),F106)</f>
        <v/>
      </c>
      <c r="M106" s="604">
        <f>L106/D106</f>
        <v/>
      </c>
      <c r="N106" s="607" t="inlineStr">
        <is>
          <t>http://www.economicos.cl/propiedades/sitio-la-palma-quillota-codAAQWXEY.html</t>
        </is>
      </c>
      <c r="O106" s="606" t="inlineStr">
        <is>
          <t>Sitio en sector La Palma</t>
        </is>
      </c>
    </row>
    <row r="107" hidden="1" ht="41.1" customHeight="1">
      <c r="A107" s="601" t="inlineStr">
        <is>
          <t>Ruta 5 Norte</t>
        </is>
      </c>
      <c r="B107" s="957" t="inlineStr">
        <is>
          <t>V</t>
        </is>
      </c>
      <c r="C107" s="957" t="inlineStr">
        <is>
          <t>Hijuelas</t>
        </is>
      </c>
      <c r="D107" s="958" t="n">
        <v>16000</v>
      </c>
      <c r="E107" s="959">
        <f>F107*H2/1000</f>
        <v/>
      </c>
      <c r="F107" s="602" t="n">
        <v>12188</v>
      </c>
      <c r="G107" s="960" t="n">
        <v>44221</v>
      </c>
      <c r="H107" s="957" t="inlineStr">
        <is>
          <t>Oferta</t>
        </is>
      </c>
      <c r="I107" s="957" t="n"/>
      <c r="J107" s="957" t="n"/>
      <c r="K107" s="957" t="n"/>
      <c r="L107" s="603">
        <f>IF(H107="Oferta",F107*$F$229-(J107*K107),F107)</f>
        <v/>
      </c>
      <c r="M107" s="604">
        <f>L107/D107</f>
        <v/>
      </c>
      <c r="N107" s="605" t="inlineStr">
        <is>
          <t>http://www.ewilde.cl/propiedad/parcela-a-orilla-de-carretera-5-norte-hijuelas-/507</t>
        </is>
      </c>
      <c r="O107" s="606" t="inlineStr">
        <is>
          <t xml:space="preserve">Orilla de Ruta 5 Norte, casa de 148 m2 en regular estado. </t>
        </is>
      </c>
    </row>
    <row r="108" hidden="1" ht="41.1" customHeight="1">
      <c r="A108" s="601" t="inlineStr">
        <is>
          <t>Ruta 5 Norte</t>
        </is>
      </c>
      <c r="B108" s="957" t="inlineStr">
        <is>
          <t>V</t>
        </is>
      </c>
      <c r="C108" s="957" t="inlineStr">
        <is>
          <t>Hijuelas</t>
        </is>
      </c>
      <c r="D108" s="958" t="n">
        <v>4000</v>
      </c>
      <c r="E108" s="959" t="n">
        <v>210000</v>
      </c>
      <c r="F108" s="602">
        <f>E108*1000/H2</f>
        <v/>
      </c>
      <c r="G108" s="960" t="n">
        <v>44039</v>
      </c>
      <c r="H108" s="957" t="inlineStr">
        <is>
          <t>Oferta</t>
        </is>
      </c>
      <c r="I108" s="957" t="n"/>
      <c r="J108" s="957" t="n"/>
      <c r="K108" s="957" t="n"/>
      <c r="L108" s="603">
        <f>IF(H108="Oferta",F108*$F$229-(J108*K108),F108)</f>
        <v/>
      </c>
      <c r="M108" s="604">
        <f>L108/D108</f>
        <v/>
      </c>
      <c r="N108" s="605" t="inlineStr">
        <is>
          <t>https://www.economicos.cl/propiedades/terreno-hijuelas-codAAQ6JQA.html</t>
        </is>
      </c>
      <c r="O108" s="606" t="inlineStr">
        <is>
          <t xml:space="preserve">orilla de carretera,plano, cuenta con rol único, con factibilidad de luz y con conexión al agua potable, uso de suelo comercial, industrial o habitacional. </t>
        </is>
      </c>
    </row>
    <row r="109" hidden="1" ht="60" customHeight="1">
      <c r="A109" s="601" t="inlineStr">
        <is>
          <t>Ruta 5 Norte</t>
        </is>
      </c>
      <c r="B109" s="957" t="inlineStr">
        <is>
          <t>V</t>
        </is>
      </c>
      <c r="C109" s="957" t="inlineStr">
        <is>
          <t>Hijuelas</t>
        </is>
      </c>
      <c r="D109" s="958" t="n">
        <v>25000</v>
      </c>
      <c r="E109" s="959" t="n">
        <v>320000</v>
      </c>
      <c r="F109" s="602">
        <f>E109*1000/H2</f>
        <v/>
      </c>
      <c r="G109" s="960" t="n">
        <v>43909</v>
      </c>
      <c r="H109" s="957" t="inlineStr">
        <is>
          <t>Oferta</t>
        </is>
      </c>
      <c r="I109" s="957" t="n"/>
      <c r="J109" s="957" t="n"/>
      <c r="K109" s="957" t="n"/>
      <c r="L109" s="603">
        <f>IF(H109="Oferta",F109*$F$229-(J109*K109),F109)</f>
        <v/>
      </c>
      <c r="M109" s="604">
        <f>L109/D109</f>
        <v/>
      </c>
      <c r="N109" s="605" t="inlineStr">
        <is>
          <t>https://www.economicos.cl/propiedades/parcela-codAAQDGNQ.html</t>
        </is>
      </c>
      <c r="O109" s="606" t="inlineStr">
        <is>
          <t>Orilla de carretera, ubicada en el limite de La Calera e Hijuelas, con luz y agua rural, casa de 180 m2 y bodega solida , quincho y piscina por terminar</t>
        </is>
      </c>
    </row>
    <row r="110" hidden="1" ht="41.1" customHeight="1">
      <c r="A110" s="601" t="inlineStr">
        <is>
          <t>Ruta 5 Norte km 97</t>
        </is>
      </c>
      <c r="B110" s="957" t="inlineStr">
        <is>
          <t>V</t>
        </is>
      </c>
      <c r="C110" s="957" t="inlineStr">
        <is>
          <t>Hijuelas</t>
        </is>
      </c>
      <c r="D110" s="958" t="n">
        <v>7000</v>
      </c>
      <c r="E110" s="959" t="n">
        <v>81000</v>
      </c>
      <c r="F110" s="602">
        <f>E110*1000/H2</f>
        <v/>
      </c>
      <c r="G110" s="960" t="n">
        <v>43205</v>
      </c>
      <c r="H110" s="957" t="inlineStr">
        <is>
          <t>Oferta</t>
        </is>
      </c>
      <c r="I110" s="957" t="n"/>
      <c r="J110" s="957" t="n"/>
      <c r="K110" s="957" t="n"/>
      <c r="L110" s="603">
        <f>IF(H110="Oferta",F110*$F$229-(J110*K110),F110)</f>
        <v/>
      </c>
      <c r="M110" s="604">
        <f>L110/D110</f>
        <v/>
      </c>
      <c r="N110" s="605" t="inlineStr">
        <is>
          <t>https://www.economicos.cl/propiedades/vendo-terreno-sobre-autopista-caletera-oriente-codAAL3P6Q.html</t>
        </is>
      </c>
      <c r="O110" s="606" t="inlineStr">
        <is>
          <t>Terreno 7000 mts multitusos caletera Oriente Km 97 acceso directo</t>
        </is>
      </c>
    </row>
    <row r="111" hidden="1" ht="41.1" customHeight="1">
      <c r="A111" s="601" t="inlineStr">
        <is>
          <t>Ruta 60 CH</t>
        </is>
      </c>
      <c r="B111" s="957" t="inlineStr">
        <is>
          <t>V</t>
        </is>
      </c>
      <c r="C111" s="957" t="inlineStr">
        <is>
          <t>La Calera</t>
        </is>
      </c>
      <c r="D111" s="958" t="n">
        <v>2000</v>
      </c>
      <c r="E111" s="959" t="n">
        <v>48000</v>
      </c>
      <c r="F111" s="602">
        <f>E111*1000/$H$2</f>
        <v/>
      </c>
      <c r="G111" s="960" t="n">
        <v>43481</v>
      </c>
      <c r="H111" s="957" t="inlineStr">
        <is>
          <t>Oferta</t>
        </is>
      </c>
      <c r="I111" s="957" t="n"/>
      <c r="J111" s="957" t="n"/>
      <c r="K111" s="957" t="n"/>
      <c r="L111" s="603">
        <f>IF(H111="Oferta",F111*$F$229-(J111*K111),F111)</f>
        <v/>
      </c>
      <c r="M111" s="604">
        <f>L111/D111</f>
        <v/>
      </c>
      <c r="N111" s="605" t="inlineStr">
        <is>
          <t>https://www.economicos.cl/propiedades/vendo-terreno-en-calera-codAANW3JA.html</t>
        </is>
      </c>
      <c r="O111" s="606" t="inlineStr">
        <is>
          <t>ubicado en Autopista Los Andes a metros de la ruta 5, entrada a La Calera, comuna de Hijuelas. Terreno no urbanizado</t>
        </is>
      </c>
    </row>
    <row r="112" hidden="1" ht="41.1" customHeight="1">
      <c r="A112" s="642" t="inlineStr">
        <is>
          <t>Ruta 60 CH</t>
        </is>
      </c>
      <c r="B112" s="643" t="inlineStr">
        <is>
          <t>V</t>
        </is>
      </c>
      <c r="C112" s="643" t="inlineStr">
        <is>
          <t>La Calera</t>
        </is>
      </c>
      <c r="D112" s="595" t="n">
        <v>119773</v>
      </c>
      <c r="E112" s="644">
        <f>F112*H2/1000</f>
        <v/>
      </c>
      <c r="F112" s="603" t="n">
        <v>239546</v>
      </c>
      <c r="G112" s="645" t="n">
        <v>43895</v>
      </c>
      <c r="H112" s="643" t="inlineStr">
        <is>
          <t>Oferta</t>
        </is>
      </c>
      <c r="I112" s="643" t="n"/>
      <c r="J112" s="643" t="n"/>
      <c r="K112" s="643" t="n"/>
      <c r="L112" s="603">
        <f>IF(H112="Oferta",F112*$F$229-(J112*K112),F112)</f>
        <v/>
      </c>
      <c r="M112" s="604">
        <f>L112/D112</f>
        <v/>
      </c>
      <c r="N112" s="646" t="inlineStr">
        <is>
          <t>https://www.portalinmobiliario.com/venta/industrial/la-calera-valparaiso/4055733-60-1-uda#position=2&amp;type=item&amp;tracking_id=f716fbf5-fc08-4e6e-9faf-97572a58a58e</t>
        </is>
      </c>
      <c r="O112" s="647" t="inlineStr">
        <is>
          <t>ruta 60CH con acceso directo a ruta 5 Norte y a un costado de Tottus, Falabella y Homecenter Sodimac</t>
        </is>
      </c>
    </row>
    <row r="113" hidden="1" ht="41.1" customHeight="1">
      <c r="A113" s="642" t="inlineStr">
        <is>
          <t>Ruta 60 CH</t>
        </is>
      </c>
      <c r="B113" s="643" t="inlineStr">
        <is>
          <t>V</t>
        </is>
      </c>
      <c r="C113" s="643" t="inlineStr">
        <is>
          <t>La Calera</t>
        </is>
      </c>
      <c r="D113" s="595" t="n">
        <v>3170</v>
      </c>
      <c r="E113" s="644" t="n">
        <v>812512</v>
      </c>
      <c r="F113" s="603">
        <f>E113*1000/H2</f>
        <v/>
      </c>
      <c r="G113" s="645" t="n">
        <v>44069</v>
      </c>
      <c r="H113" s="643" t="inlineStr">
        <is>
          <t>Oferta</t>
        </is>
      </c>
      <c r="I113" s="643" t="n"/>
      <c r="J113" s="643" t="n"/>
      <c r="K113" s="643" t="n"/>
      <c r="L113" s="603">
        <f>IF(H113="Oferta",F113*$F$229-(J113*K113),F113)</f>
        <v/>
      </c>
      <c r="M113" s="604">
        <f>L113/D113</f>
        <v/>
      </c>
      <c r="N113" s="646" t="inlineStr">
        <is>
          <t>http://www2.acop.cl/buscador-de-propiedades/</t>
        </is>
      </c>
      <c r="O113" s="647" t="inlineStr">
        <is>
          <t>Terreno frente a Cento Comercial, a tres cuadras del centro, en primera linea y es acceso y salida de la ciudad de La Calera, V Region.</t>
        </is>
      </c>
    </row>
    <row r="114" hidden="1" ht="41.1" customHeight="1">
      <c r="A114" s="601" t="inlineStr">
        <is>
          <t>Ruta 5 Norte, El Melón</t>
        </is>
      </c>
      <c r="B114" s="957" t="inlineStr">
        <is>
          <t>V</t>
        </is>
      </c>
      <c r="C114" s="957" t="inlineStr">
        <is>
          <t>Nogales</t>
        </is>
      </c>
      <c r="D114" s="958" t="n">
        <v>5700</v>
      </c>
      <c r="E114" s="959" t="n">
        <v>75000</v>
      </c>
      <c r="F114" s="602">
        <f>E114*1000/$H$2</f>
        <v/>
      </c>
      <c r="G114" s="960" t="n">
        <v>44142</v>
      </c>
      <c r="H114" s="957" t="inlineStr">
        <is>
          <t>Oferta</t>
        </is>
      </c>
      <c r="I114" s="957" t="n"/>
      <c r="J114" s="957" t="n"/>
      <c r="K114" s="957" t="n"/>
      <c r="L114" s="603">
        <f>IF(H114="Oferta",F114*$F$229-(J114*K114),F114)</f>
        <v/>
      </c>
      <c r="M114" s="604">
        <f>L114/D114</f>
        <v/>
      </c>
      <c r="N114" s="605" t="inlineStr">
        <is>
          <t>https://www.vivastreet.cl/loteos-lotes/nogales/hermosa-parcela-a-orilla-de-carretera-5-norte-/212927228</t>
        </is>
      </c>
      <c r="O114" s="606" t="inlineStr">
        <is>
          <t xml:space="preserve">Orilla ruta 5 norte, acceso por caletera poniente. </t>
        </is>
      </c>
    </row>
    <row r="115" hidden="1" ht="41.1" customHeight="1">
      <c r="A115" s="601" t="inlineStr">
        <is>
          <t>Ruta 5 Norte, El Melón</t>
        </is>
      </c>
      <c r="B115" s="957" t="inlineStr">
        <is>
          <t>V</t>
        </is>
      </c>
      <c r="C115" s="957" t="inlineStr">
        <is>
          <t>Nogales</t>
        </is>
      </c>
      <c r="D115" s="958" t="n">
        <v>3200</v>
      </c>
      <c r="E115" s="959" t="n">
        <v>95000</v>
      </c>
      <c r="F115" s="602">
        <f>E115*1000/$H$2</f>
        <v/>
      </c>
      <c r="G115" s="960" t="n">
        <v>44218</v>
      </c>
      <c r="H115" s="957" t="inlineStr">
        <is>
          <t>Oferta</t>
        </is>
      </c>
      <c r="I115" s="957" t="n"/>
      <c r="J115" s="957" t="n"/>
      <c r="K115" s="957" t="n"/>
      <c r="L115" s="603">
        <f>IF(H115="Oferta",F115*$F$229-(J115*K115),F115)</f>
        <v/>
      </c>
      <c r="M115" s="604">
        <f>L115/D115</f>
        <v/>
      </c>
      <c r="N115" s="605" t="inlineStr">
        <is>
          <t>https://www.inmovalpropiedades.cl/propiedad/terreno-en-el-melon-/165</t>
        </is>
      </c>
      <c r="O115" s="606" t="inlineStr">
        <is>
          <t>Plano, orilla carretera, cierre ladrillo</t>
        </is>
      </c>
    </row>
    <row r="116" hidden="1" ht="41.1" customHeight="1">
      <c r="A116" s="601" t="inlineStr">
        <is>
          <t>Las Vegas, Ruta 5 Norte</t>
        </is>
      </c>
      <c r="B116" s="957" t="inlineStr">
        <is>
          <t>V</t>
        </is>
      </c>
      <c r="C116" s="957" t="inlineStr">
        <is>
          <t>Llay Llay</t>
        </is>
      </c>
      <c r="D116" s="958" t="n">
        <v>43252</v>
      </c>
      <c r="E116" s="959">
        <f>F116*H2/1000</f>
        <v/>
      </c>
      <c r="F116" s="602" t="n">
        <v>17295</v>
      </c>
      <c r="G116" s="960" t="n">
        <v>44161</v>
      </c>
      <c r="H116" s="957" t="inlineStr">
        <is>
          <t>Oferta</t>
        </is>
      </c>
      <c r="I116" s="957" t="n"/>
      <c r="J116" s="957" t="n"/>
      <c r="K116" s="957" t="n"/>
      <c r="L116" s="603">
        <f>IF(H116="Oferta",F116*$F$229-(J116*K116),F116)</f>
        <v/>
      </c>
      <c r="M116" s="604">
        <f>L116/D116</f>
        <v/>
      </c>
      <c r="N116" s="605" t="inlineStr">
        <is>
          <t>https://www.toctoc.com/propiedades/compracorredorasr/terreno/llay-llay/lllayt-llay-liquido-a-la-mejor-oferta/1620841?o=listado_caluga_img</t>
        </is>
      </c>
      <c r="O116" s="606" t="inlineStr">
        <is>
          <t>Sitio Industrial orilla de carretera ,zona I-1, usos permitidos talleres artesanales, bodegas, industrias, almacenamiento, áreas verde y vialidad</t>
        </is>
      </c>
    </row>
    <row r="117" hidden="1" ht="41.1" customHeight="1">
      <c r="A117" s="642" t="inlineStr">
        <is>
          <t>Ruta 5 Norte, km 84</t>
        </is>
      </c>
      <c r="B117" s="643" t="inlineStr">
        <is>
          <t>V</t>
        </is>
      </c>
      <c r="C117" s="643" t="inlineStr">
        <is>
          <t>LLay Llay</t>
        </is>
      </c>
      <c r="D117" s="595" t="n">
        <v>5000</v>
      </c>
      <c r="E117" s="644" t="n">
        <v>45000</v>
      </c>
      <c r="F117" s="603">
        <f>E117*1000/H2</f>
        <v/>
      </c>
      <c r="G117" s="645" t="n">
        <v>44140</v>
      </c>
      <c r="H117" s="643" t="inlineStr">
        <is>
          <t>Oferta</t>
        </is>
      </c>
      <c r="I117" s="643" t="n"/>
      <c r="J117" s="643" t="n"/>
      <c r="K117" s="643" t="n"/>
      <c r="L117" s="603">
        <f>IF(H117="Oferta",F117*$F$229-(J117*K117),F117)</f>
        <v/>
      </c>
      <c r="M117" s="604">
        <f>L117/D117</f>
        <v/>
      </c>
      <c r="N117" s="646" t="inlineStr">
        <is>
          <t>https://www.toctoc.com/propiedades/compracorredorasr/terreno/llay-llay/panamericana-norte/1491166?o=listado_caluga_img</t>
        </is>
      </c>
      <c r="O117" s="647" t="inlineStr">
        <is>
          <t>Orillas de camino, parcela de agrado.</t>
        </is>
      </c>
    </row>
    <row r="118" hidden="1" ht="41.1" customHeight="1">
      <c r="A118" s="642" t="inlineStr">
        <is>
          <t>Peaje Casablanca</t>
        </is>
      </c>
      <c r="B118" s="643" t="inlineStr">
        <is>
          <t>V</t>
        </is>
      </c>
      <c r="C118" s="643" t="inlineStr">
        <is>
          <t>Casablanca</t>
        </is>
      </c>
      <c r="D118" s="595" t="n">
        <v>56000</v>
      </c>
      <c r="E118" s="644">
        <f>F118*$H$2/1000</f>
        <v/>
      </c>
      <c r="F118" s="603" t="n">
        <v>67200</v>
      </c>
      <c r="G118" s="645" t="n">
        <v>43809</v>
      </c>
      <c r="H118" s="643" t="inlineStr">
        <is>
          <t>Oferta</t>
        </is>
      </c>
      <c r="I118" s="643" t="n"/>
      <c r="J118" s="643" t="n"/>
      <c r="K118" s="643" t="n"/>
      <c r="L118" s="603">
        <f>IF(H118="Oferta",F118*$F$229-(J118*K118),F118)</f>
        <v/>
      </c>
      <c r="M118" s="604">
        <f>L118/D118</f>
        <v/>
      </c>
      <c r="N118" s="646" t="inlineStr">
        <is>
          <t>https://www.portalinmobiliario.com/venta/industrial/casablanca-valparaiso/5262714-peaje-uda#position=3&amp;type=item&amp;tracking_id=a1587a24-7f5e-43f2-a230-bdd8fdd4b4e4</t>
        </is>
      </c>
      <c r="O118" s="647" t="inlineStr">
        <is>
          <t xml:space="preserve">Terreno plano en ruta 68, Uso ZEU 9, apoyo industrial; Residencial; Equipamiento </t>
        </is>
      </c>
    </row>
    <row r="119" hidden="1" ht="41.1" customHeight="1">
      <c r="A119" s="642" t="inlineStr">
        <is>
          <t>Camino Lo Ovalle</t>
        </is>
      </c>
      <c r="B119" s="643" t="inlineStr">
        <is>
          <t>V</t>
        </is>
      </c>
      <c r="C119" s="643" t="inlineStr">
        <is>
          <t>Casablanca</t>
        </is>
      </c>
      <c r="D119" s="595" t="n">
        <v>6875</v>
      </c>
      <c r="E119" s="644" t="n">
        <v>38500</v>
      </c>
      <c r="F119" s="603">
        <f>E119*1000/H2</f>
        <v/>
      </c>
      <c r="G119" s="645" t="n">
        <v>43965</v>
      </c>
      <c r="H119" s="643" t="inlineStr">
        <is>
          <t>Oferta</t>
        </is>
      </c>
      <c r="I119" s="643" t="n"/>
      <c r="J119" s="643" t="n"/>
      <c r="K119" s="643" t="n"/>
      <c r="L119" s="603">
        <f>IF(H119="Oferta",F119*$F$229-(J119*K119),F119)</f>
        <v/>
      </c>
      <c r="M119" s="604">
        <f>L119/D119</f>
        <v/>
      </c>
      <c r="N119" s="646" t="inlineStr">
        <is>
          <t>https://www.toctoc.com/propiedades/compraparticularsr/parcela/casablanca/camino-lo-ovalle-km-7-29-casablanca/1479530?o=mapa</t>
        </is>
      </c>
      <c r="O119" s="647" t="inlineStr">
        <is>
          <t xml:space="preserve">emplazada en el Wine Village Hacienda Casablanca, un proyecto de 120 hectáreas de colinas con 70 hectáreas de viñedos </t>
        </is>
      </c>
    </row>
    <row r="120" hidden="1" ht="41.1" customHeight="1">
      <c r="A120" s="642" t="inlineStr">
        <is>
          <t>Lo Vasquez</t>
        </is>
      </c>
      <c r="B120" s="643" t="inlineStr">
        <is>
          <t>V</t>
        </is>
      </c>
      <c r="C120" s="643" t="inlineStr">
        <is>
          <t>Casablanca</t>
        </is>
      </c>
      <c r="D120" s="595" t="n">
        <v>5000</v>
      </c>
      <c r="E120" s="644">
        <f>+F120*H2/1000</f>
        <v/>
      </c>
      <c r="F120" s="603" t="n">
        <v>1500</v>
      </c>
      <c r="G120" s="645" t="n">
        <v>43865</v>
      </c>
      <c r="H120" s="643" t="inlineStr">
        <is>
          <t>Oferta</t>
        </is>
      </c>
      <c r="I120" s="643" t="n"/>
      <c r="J120" s="643" t="n"/>
      <c r="K120" s="643" t="n"/>
      <c r="L120" s="603">
        <f>IF(H120="Oferta",F120*$F$229-(J120*K120),F120)</f>
        <v/>
      </c>
      <c r="M120" s="604">
        <f>L120/D120</f>
        <v/>
      </c>
      <c r="N120" s="646" t="inlineStr">
        <is>
          <t>https://www.toctoc.com/propiedades/compracorredorasr/parcela/casablanca/cruce-casablanca/1413992?o=mapa</t>
        </is>
      </c>
      <c r="O120" s="647" t="inlineStr">
        <is>
          <t>arcela en condominio. Fácil instalación de electricidad. Agua de pozo. Planta de procesamiento de aguas servidas. Salida al antiguo camino hacia Lo Vásquez</t>
        </is>
      </c>
    </row>
    <row r="121" hidden="1" ht="41.1" customHeight="1">
      <c r="A121" s="642" t="inlineStr">
        <is>
          <t>La Vinilla</t>
        </is>
      </c>
      <c r="B121" s="643" t="inlineStr">
        <is>
          <t>V</t>
        </is>
      </c>
      <c r="C121" s="643" t="inlineStr">
        <is>
          <t>Casablanca</t>
        </is>
      </c>
      <c r="D121" s="595" t="n">
        <v>6000</v>
      </c>
      <c r="E121" s="644">
        <f>+F121*H2/1000</f>
        <v/>
      </c>
      <c r="F121" s="603" t="n">
        <v>3500</v>
      </c>
      <c r="G121" s="645" t="n">
        <v>43594</v>
      </c>
      <c r="H121" s="643" t="inlineStr">
        <is>
          <t>Oferta</t>
        </is>
      </c>
      <c r="I121" s="643" t="n"/>
      <c r="J121" s="643" t="n"/>
      <c r="K121" s="643" t="n"/>
      <c r="L121" s="603">
        <f>IF(H121="Oferta",F121*$F$229-(J121*K121),F121)</f>
        <v/>
      </c>
      <c r="M121" s="604">
        <f>L121/D121</f>
        <v/>
      </c>
      <c r="N121" s="646" t="inlineStr">
        <is>
          <t>https://www.toctoc.com/propiedades/compracorredorasr/parcela/casablanca/valle-de-casablanca-a-40-minutos-de-santiago/1229635?o=mapa</t>
        </is>
      </c>
      <c r="O121" s="647" t="inlineStr">
        <is>
          <t>Terrenos insertos en un campo de 2.700ha totales entremedio de viñas, árboles nativos, cerros, laguna y sector ecuestre.</t>
        </is>
      </c>
    </row>
    <row r="122" hidden="1" ht="41.1" customHeight="1">
      <c r="A122" s="642" t="inlineStr">
        <is>
          <t>Lo Ovalle</t>
        </is>
      </c>
      <c r="B122" s="643" t="inlineStr">
        <is>
          <t>V</t>
        </is>
      </c>
      <c r="C122" s="643" t="inlineStr">
        <is>
          <t>Casablanca</t>
        </is>
      </c>
      <c r="D122" s="595" t="n">
        <v>5000</v>
      </c>
      <c r="E122" s="644" t="n">
        <v>47000</v>
      </c>
      <c r="F122" s="603">
        <f>+E122*1000/H2</f>
        <v/>
      </c>
      <c r="G122" s="645" t="n">
        <v>43898</v>
      </c>
      <c r="H122" s="643" t="inlineStr">
        <is>
          <t>Oferta</t>
        </is>
      </c>
      <c r="I122" s="643" t="n"/>
      <c r="J122" s="643" t="n"/>
      <c r="K122" s="643" t="n"/>
      <c r="L122" s="603">
        <f>IF(H122="Oferta",F122*$F$229-(J122*K122),F122)</f>
        <v/>
      </c>
      <c r="M122" s="604">
        <f>L122/D122</f>
        <v/>
      </c>
      <c r="N122" s="646" t="inlineStr">
        <is>
          <t>https://www.portalinmobiliario.com/venta/parcela/casablanca-valparaiso/5482960-lomas-casablanca-calle-lo-ovalle-sn-uda#position=2&amp;type=item&amp;tracking_id=d867826f-c338-45d9-9e20-a773aefe2c35</t>
        </is>
      </c>
      <c r="O122" s="647" t="inlineStr">
        <is>
          <t xml:space="preserve">a 2 Km de ruta 68 por camino pavimentado , a 5 minutos de casablanca </t>
        </is>
      </c>
    </row>
    <row r="123" hidden="1" ht="41.1" customHeight="1">
      <c r="A123" s="642" t="inlineStr">
        <is>
          <t>Ruta 68, km 78</t>
        </is>
      </c>
      <c r="B123" s="643" t="inlineStr">
        <is>
          <t>V</t>
        </is>
      </c>
      <c r="C123" s="643" t="inlineStr">
        <is>
          <t>Casablanca</t>
        </is>
      </c>
      <c r="D123" s="595" t="n">
        <v>175000</v>
      </c>
      <c r="E123" s="644">
        <f>F123*$H$2/1000</f>
        <v/>
      </c>
      <c r="F123" s="603" t="n">
        <v>192500</v>
      </c>
      <c r="G123" s="645" t="n">
        <v>43807</v>
      </c>
      <c r="H123" s="643" t="inlineStr">
        <is>
          <t>Oferta</t>
        </is>
      </c>
      <c r="I123" s="643" t="n"/>
      <c r="J123" s="643" t="n"/>
      <c r="K123" s="643" t="n"/>
      <c r="L123" s="603">
        <f>IF(H123="Oferta",F123*$F$229-(J123*K123),F123)</f>
        <v/>
      </c>
      <c r="M123" s="604">
        <f>L123/D123</f>
        <v/>
      </c>
      <c r="N123" s="646" t="inlineStr">
        <is>
          <t>https://www.portalinmobiliario.com/venta/industrial/casablanca-valparaiso/5263054-ruta-68-km-78-uda#position=4&amp;type=item&amp;tracking_id=a1587a24-7f5e-43f2-a230-bdd8fdd4b4e4</t>
        </is>
      </c>
      <c r="O123" s="647" t="inlineStr">
        <is>
          <t>35 sitios de 5.000 m², c/u terrenos planos - agua de pozo - alumbrado - energía eléctrica - acceso controlado Zona: ZEU PM - ÁREA RURAL</t>
        </is>
      </c>
    </row>
    <row r="124" hidden="1" ht="41.1" customHeight="1">
      <c r="A124" s="642" t="inlineStr">
        <is>
          <t>Ruta 68, km 78</t>
        </is>
      </c>
      <c r="B124" s="643" t="inlineStr">
        <is>
          <t>V</t>
        </is>
      </c>
      <c r="C124" s="643" t="inlineStr">
        <is>
          <t>Casablanca</t>
        </is>
      </c>
      <c r="D124" s="595" t="n">
        <v>10000</v>
      </c>
      <c r="E124" s="644">
        <f>F124*$H$2/1000</f>
        <v/>
      </c>
      <c r="F124" s="603" t="n">
        <v>11000</v>
      </c>
      <c r="G124" s="645" t="n">
        <v>44173</v>
      </c>
      <c r="H124" s="643" t="inlineStr">
        <is>
          <t>Oferta</t>
        </is>
      </c>
      <c r="I124" s="643" t="n"/>
      <c r="J124" s="643" t="n"/>
      <c r="K124" s="643" t="n"/>
      <c r="L124" s="603">
        <f>IF(H124="Oferta",F124*$F$229-(J124*K124),F124)</f>
        <v/>
      </c>
      <c r="M124" s="604">
        <f>L124/D124</f>
        <v/>
      </c>
      <c r="N124" s="646" t="inlineStr">
        <is>
          <t>https://www.portalinmobiliario.com/venta/industrial/casablanca-valparaiso/5263062-ruta-68-km-78-uda#position=5&amp;type=item&amp;tracking_id=a1587a24-7f5e-43f2-a230-bdd8fdd4b4e4</t>
        </is>
      </c>
      <c r="O124" s="647" t="inlineStr">
        <is>
          <t>ZEU PM - ÁREA RURAL Actividades Productivas Molestas, sistema de agrupamiento aislado</t>
        </is>
      </c>
    </row>
    <row r="125" hidden="1" ht="41.1" customHeight="1">
      <c r="A125" s="642" t="inlineStr">
        <is>
          <t>Ruta 68</t>
        </is>
      </c>
      <c r="B125" s="643" t="inlineStr">
        <is>
          <t>V</t>
        </is>
      </c>
      <c r="C125" s="643" t="inlineStr">
        <is>
          <t>Casablanca</t>
        </is>
      </c>
      <c r="D125" s="595" t="n">
        <v>5000</v>
      </c>
      <c r="E125" s="644">
        <f>F125*$H$2/1000</f>
        <v/>
      </c>
      <c r="F125" s="603" t="n">
        <v>6000</v>
      </c>
      <c r="G125" s="645" t="n">
        <v>44173</v>
      </c>
      <c r="H125" s="643" t="inlineStr">
        <is>
          <t>Oferta</t>
        </is>
      </c>
      <c r="I125" s="643" t="n"/>
      <c r="J125" s="643" t="n"/>
      <c r="K125" s="643" t="n"/>
      <c r="L125" s="603">
        <f>IF(H125="Oferta",F125*$F$229-(J125*K125),F125)</f>
        <v/>
      </c>
      <c r="M125" s="604">
        <f>L125/D125</f>
        <v/>
      </c>
      <c r="N125" s="646" t="inlineStr">
        <is>
          <t>https://www.portalinmobiliario.com/venta/industrial/casablanca-valparaiso/5262804-ruta-68-uda#position=9&amp;type=item&amp;tracking_id=a1587a24-7f5e-43f2-a230-bdd8fdd4b4e4</t>
        </is>
      </c>
      <c r="O125" s="647" t="inlineStr">
        <is>
          <t xml:space="preserve">erreno plano en ruta 68, Uso ZEU 9, apoyo industrial; Residencial; Equipamiento </t>
        </is>
      </c>
    </row>
    <row r="126" hidden="1" ht="41.1" customHeight="1">
      <c r="A126" s="642" t="inlineStr">
        <is>
          <t xml:space="preserve">Sector Viña Indómita </t>
        </is>
      </c>
      <c r="B126" s="643" t="inlineStr">
        <is>
          <t>V</t>
        </is>
      </c>
      <c r="C126" s="643" t="inlineStr">
        <is>
          <t>Casablanca</t>
        </is>
      </c>
      <c r="D126" s="595" t="n">
        <v>25000</v>
      </c>
      <c r="E126" s="644">
        <f>F126*$H$2/1000</f>
        <v/>
      </c>
      <c r="F126" s="603" t="n">
        <v>18750</v>
      </c>
      <c r="G126" s="645" t="n">
        <v>43864</v>
      </c>
      <c r="H126" s="643" t="inlineStr">
        <is>
          <t>Oferta</t>
        </is>
      </c>
      <c r="I126" s="643" t="n"/>
      <c r="J126" s="643" t="n"/>
      <c r="K126" s="643" t="n"/>
      <c r="L126" s="603">
        <f>IF(H126="Oferta",F126*$F$229-(J126*K126),F126)</f>
        <v/>
      </c>
      <c r="M126" s="604">
        <f>L126/D126</f>
        <v/>
      </c>
      <c r="N126" s="646" t="inlineStr">
        <is>
          <t>https://www.portalinmobiliario.com/venta/industrial/casablanca-valparaiso/4905622-camino-a-valparaiso-frente-a-vina-indomi-uda#position=10&amp;type=item&amp;tracking_id=a1587a24-7f5e-43f2-a230-bdd8fdd4b4e4</t>
        </is>
      </c>
      <c r="O126" s="647" t="inlineStr">
        <is>
          <t>en segunda linea con un total de 25.000 m2 por la caletera al lado derecho por la ruta 68</t>
        </is>
      </c>
    </row>
    <row r="127" hidden="1" ht="41.1" customHeight="1">
      <c r="A127" s="642" t="inlineStr">
        <is>
          <t>Ruta 68</t>
        </is>
      </c>
      <c r="B127" s="643" t="inlineStr">
        <is>
          <t>V</t>
        </is>
      </c>
      <c r="C127" s="643" t="inlineStr">
        <is>
          <t>Casablanca</t>
        </is>
      </c>
      <c r="D127" s="595" t="n">
        <v>25000</v>
      </c>
      <c r="E127" s="644">
        <f>F127*$H$2/1000</f>
        <v/>
      </c>
      <c r="F127" s="603" t="n">
        <v>30000</v>
      </c>
      <c r="G127" s="645" t="n">
        <v>43807</v>
      </c>
      <c r="H127" s="643" t="inlineStr">
        <is>
          <t>Oferta</t>
        </is>
      </c>
      <c r="I127" s="643" t="n"/>
      <c r="J127" s="643" t="n"/>
      <c r="K127" s="643" t="n"/>
      <c r="L127" s="603">
        <f>IF(H127="Oferta",F127*$F$229-(J127*K127),F127)</f>
        <v/>
      </c>
      <c r="M127" s="604">
        <f>L127/D127</f>
        <v/>
      </c>
      <c r="N127" s="646" t="inlineStr">
        <is>
          <t>https://www.portalinmobiliario.com/venta/industrial/casablanca-valparaiso/5262817-ruta-68-uda#position=11&amp;type=item&amp;tracking_id=a1587a24-7f5e-43f2-a230-bdd8fdd4b4e4</t>
        </is>
      </c>
      <c r="O127" s="647" t="inlineStr">
        <is>
          <t xml:space="preserve">Uso ZEU 9, apoyo industrial; Residencial; Equipamiento </t>
        </is>
      </c>
    </row>
    <row r="128" hidden="1" ht="41.1" customHeight="1">
      <c r="A128" s="642" t="inlineStr">
        <is>
          <t>Ruta 68</t>
        </is>
      </c>
      <c r="B128" s="643" t="inlineStr">
        <is>
          <t>V</t>
        </is>
      </c>
      <c r="C128" s="643" t="inlineStr">
        <is>
          <t>Casablanca</t>
        </is>
      </c>
      <c r="D128" s="595" t="n">
        <v>15000</v>
      </c>
      <c r="E128" s="644">
        <f>F128*$H$2/1000</f>
        <v/>
      </c>
      <c r="F128" s="603" t="n">
        <v>18000</v>
      </c>
      <c r="G128" s="645" t="n">
        <v>43808</v>
      </c>
      <c r="H128" s="643" t="inlineStr">
        <is>
          <t>Oferta</t>
        </is>
      </c>
      <c r="I128" s="643" t="n"/>
      <c r="J128" s="643" t="n"/>
      <c r="K128" s="643" t="n"/>
      <c r="L128" s="603">
        <f>IF(H128="Oferta",F128*$F$229-(J128*K128),F128)</f>
        <v/>
      </c>
      <c r="M128" s="604">
        <f>L128/D128</f>
        <v/>
      </c>
      <c r="N128" s="646" t="inlineStr">
        <is>
          <t>https://www.portalinmobiliario.com/venta/industrial/casablanca-valparaiso/5262814-ruta-68-uda#position=13&amp;type=item&amp;tracking_id=a1587a24-7f5e-43f2-a230-bdd8fdd4b4e4</t>
        </is>
      </c>
      <c r="O128" s="647" t="inlineStr">
        <is>
          <t xml:space="preserve">Uso ZEU 9, apoyo industrial; Residencial; Equipamiento </t>
        </is>
      </c>
    </row>
    <row r="129" hidden="1" ht="41.1" customHeight="1">
      <c r="A129" s="642" t="inlineStr">
        <is>
          <t>Lo Vasquez</t>
        </is>
      </c>
      <c r="B129" s="643" t="inlineStr">
        <is>
          <t>V</t>
        </is>
      </c>
      <c r="C129" s="643" t="inlineStr">
        <is>
          <t>Casablanca</t>
        </is>
      </c>
      <c r="D129" s="595" t="n">
        <v>5002</v>
      </c>
      <c r="E129" s="644">
        <f>F129*$H$2/1000</f>
        <v/>
      </c>
      <c r="F129" s="603" t="n">
        <v>5002</v>
      </c>
      <c r="G129" s="645" t="n">
        <v>43895</v>
      </c>
      <c r="H129" s="643" t="inlineStr">
        <is>
          <t>Oferta</t>
        </is>
      </c>
      <c r="I129" s="643" t="n"/>
      <c r="J129" s="643" t="n"/>
      <c r="K129" s="643" t="n"/>
      <c r="L129" s="603">
        <f>IF(H129="Oferta",F129*$F$229-(J129*K129),F129)</f>
        <v/>
      </c>
      <c r="M129" s="604">
        <f>L129/D129</f>
        <v/>
      </c>
      <c r="N129" s="643" t="inlineStr">
        <is>
          <t>https://www.portalinmobiliario.com/venta/industrial/casablanca-valparaiso/2128976-lo-vasquez-km1ruta-68-uda#position=16&amp;type=item&amp;tracking_id=a1587a24-7f5e-43f2-a230-bdd8fdd4b4e4</t>
        </is>
      </c>
      <c r="O129" s="647" t="inlineStr">
        <is>
          <t>Parque Industrial La Fragua se emplaza en la consolidada zona industrial de Casa Blanca</t>
        </is>
      </c>
    </row>
    <row r="130" hidden="1" ht="41.1" customHeight="1">
      <c r="A130" s="642" t="inlineStr">
        <is>
          <t>Casablanca</t>
        </is>
      </c>
      <c r="B130" s="643" t="inlineStr">
        <is>
          <t>V</t>
        </is>
      </c>
      <c r="C130" s="643" t="inlineStr">
        <is>
          <t>Casablanca</t>
        </is>
      </c>
      <c r="D130" s="595" t="n">
        <v>10000</v>
      </c>
      <c r="E130" s="644">
        <f>F130*$H$2/1000</f>
        <v/>
      </c>
      <c r="F130" s="603" t="n">
        <v>9500</v>
      </c>
      <c r="G130" s="645" t="n">
        <v>43380</v>
      </c>
      <c r="H130" s="643" t="inlineStr">
        <is>
          <t>Oferta</t>
        </is>
      </c>
      <c r="I130" s="643" t="n"/>
      <c r="J130" s="643" t="n"/>
      <c r="K130" s="643" t="n"/>
      <c r="L130" s="603">
        <f>IF(H130="Oferta",F130*$F$229-(J130*K130),F130)</f>
        <v/>
      </c>
      <c r="M130" s="604">
        <f>L130/D130</f>
        <v/>
      </c>
      <c r="N130" s="643" t="inlineStr">
        <is>
          <t>https://www.portalinmobiliario.com/venta/industrial/casablanca-valparaiso/2597353-terreno-industrial-en-venta-orilla-de-camino-casablanca-uda#position=18&amp;type=item&amp;tracking_id=a1587a24-7f5e-43f2-a230-bdd8fdd4b4e4</t>
        </is>
      </c>
      <c r="O130" s="647" t="inlineStr">
        <is>
          <t>Parcela uso industrial, urbanizada, agua y luz.
Orilla de camino</t>
        </is>
      </c>
    </row>
    <row r="131" hidden="1" ht="41.1" customHeight="1">
      <c r="A131" s="642" t="inlineStr">
        <is>
          <t>Lo Orozco</t>
        </is>
      </c>
      <c r="B131" s="643" t="inlineStr">
        <is>
          <t>V</t>
        </is>
      </c>
      <c r="C131" s="643" t="inlineStr">
        <is>
          <t>Casablanca</t>
        </is>
      </c>
      <c r="D131" s="595" t="n">
        <v>22276</v>
      </c>
      <c r="E131" s="644">
        <f>F131*$H$2/1000</f>
        <v/>
      </c>
      <c r="F131" s="603" t="n">
        <v>15222</v>
      </c>
      <c r="G131" s="645" t="n">
        <v>43930</v>
      </c>
      <c r="H131" s="643" t="inlineStr">
        <is>
          <t>Oferta</t>
        </is>
      </c>
      <c r="I131" s="643" t="n"/>
      <c r="J131" s="643" t="n"/>
      <c r="K131" s="643" t="n"/>
      <c r="L131" s="603">
        <f>IF(H131="Oferta",F131*$F$229-(J131*K131),F131)</f>
        <v/>
      </c>
      <c r="M131" s="604">
        <f>L131/D131</f>
        <v/>
      </c>
      <c r="N131" s="643" t="inlineStr">
        <is>
          <t>https://www.toctoc.com/propiedades/compracorredorasr/terrenoindustrial/casablanca/terreno-industrials-casablanca/1457227?o=mapa</t>
        </is>
      </c>
      <c r="O131" s="647" t="inlineStr">
        <is>
          <t>ropiedad industrial, varios usos permitidos. Oficina, casa cuidador, 2 galpones y dependencia, pozo. Buena conectividad, a 300m ruta Camino Lo Orozco y a 3Km ruta 68.</t>
        </is>
      </c>
    </row>
    <row r="132" hidden="1" ht="41.1" customHeight="1">
      <c r="A132" s="642" t="inlineStr">
        <is>
          <t>Ruta 68, km 70.5</t>
        </is>
      </c>
      <c r="B132" s="643" t="inlineStr">
        <is>
          <t>V</t>
        </is>
      </c>
      <c r="C132" s="643" t="inlineStr">
        <is>
          <t>Casablanca</t>
        </is>
      </c>
      <c r="D132" s="595" t="n">
        <v>5000</v>
      </c>
      <c r="E132" s="644">
        <f>F132*$H$2/1000</f>
        <v/>
      </c>
      <c r="F132" s="603" t="n">
        <v>5000</v>
      </c>
      <c r="G132" s="645" t="n">
        <v>43910</v>
      </c>
      <c r="H132" s="643" t="inlineStr">
        <is>
          <t>Oferta</t>
        </is>
      </c>
      <c r="I132" s="643" t="n"/>
      <c r="J132" s="643" t="n"/>
      <c r="K132" s="643" t="n"/>
      <c r="L132" s="603">
        <f>IF(H132="Oferta",F132*$F$229-(J132*K132),F132)</f>
        <v/>
      </c>
      <c r="M132" s="604">
        <f>L132/D132</f>
        <v/>
      </c>
      <c r="N132" s="643" t="inlineStr">
        <is>
          <t>https://www.toctoc.com/propiedades/compraparticularsr/terrenoindustrial/casablanca/loteo-industrial-en-casablanca-ruta-68-km-70-5-sector-el-refugio/1447932?o=mapa</t>
        </is>
      </c>
      <c r="O132" s="647" t="inlineStr">
        <is>
          <t>conlindante con Parque Industrial de Casablanca y con acceso directo a ruta 68</t>
        </is>
      </c>
    </row>
    <row r="133" hidden="1" ht="41.1" customHeight="1">
      <c r="A133" s="642" t="inlineStr">
        <is>
          <t>Cruce a Tapihue</t>
        </is>
      </c>
      <c r="B133" s="643" t="inlineStr">
        <is>
          <t>V</t>
        </is>
      </c>
      <c r="C133" s="643" t="inlineStr">
        <is>
          <t>Casablanca</t>
        </is>
      </c>
      <c r="D133" s="595" t="n">
        <v>10000</v>
      </c>
      <c r="E133" s="644">
        <f>F133*$H$2/1000</f>
        <v/>
      </c>
      <c r="F133" s="603" t="n">
        <v>15000</v>
      </c>
      <c r="G133" s="645" t="n">
        <v>43979</v>
      </c>
      <c r="H133" s="643" t="inlineStr">
        <is>
          <t>Oferta</t>
        </is>
      </c>
      <c r="I133" s="643" t="n"/>
      <c r="J133" s="643" t="n"/>
      <c r="K133" s="643" t="n"/>
      <c r="L133" s="603">
        <f>IF(H133="Oferta",F133*$F$229-(J133*K133),F133)</f>
        <v/>
      </c>
      <c r="M133" s="604">
        <f>L133/D133</f>
        <v/>
      </c>
      <c r="N133" s="643" t="inlineStr">
        <is>
          <t>http://www.todogalpon.cl/ficha.php?id=1764</t>
        </is>
      </c>
      <c r="O133" s="647" t="inlineStr">
        <is>
          <t xml:space="preserve">Terreno Industrial: urbanizado luz y agua potable, accesos pavimentados.
</t>
        </is>
      </c>
    </row>
    <row r="134" hidden="1" ht="41.1" customHeight="1">
      <c r="A134" s="642" t="inlineStr">
        <is>
          <t xml:space="preserve">Ruta 68 </t>
        </is>
      </c>
      <c r="B134" s="643" t="inlineStr">
        <is>
          <t>V</t>
        </is>
      </c>
      <c r="C134" s="643" t="inlineStr">
        <is>
          <t>Casablanca</t>
        </is>
      </c>
      <c r="D134" s="595" t="n">
        <v>60000</v>
      </c>
      <c r="E134" s="644">
        <f>F134*$H$2/1000</f>
        <v/>
      </c>
      <c r="F134" s="603" t="n">
        <v>35800</v>
      </c>
      <c r="G134" s="645" t="n">
        <v>43944</v>
      </c>
      <c r="H134" s="643" t="inlineStr">
        <is>
          <t>Oferta</t>
        </is>
      </c>
      <c r="I134" s="643" t="n"/>
      <c r="J134" s="643" t="n"/>
      <c r="K134" s="643" t="n"/>
      <c r="L134" s="603">
        <f>IF(H134="Oferta",F134*$F$229-(J134*K134),F134)</f>
        <v/>
      </c>
      <c r="M134" s="604">
        <f>L134/D134</f>
        <v/>
      </c>
      <c r="N134" s="643" t="inlineStr">
        <is>
          <t>https://www.portalterreno.com/cl/propiedad/venta/agricola/casablanca/110083-se-vende-terreno-agricola-en-casablanca</t>
        </is>
      </c>
      <c r="O134" s="647" t="inlineStr">
        <is>
          <t>frente a autopista Santiago-Valparaíso. Es totalmente plano, con uso de suelo agrícola, el cual también puede ser modificado para uso habitacional o comercial.</t>
        </is>
      </c>
    </row>
    <row r="135" hidden="1" ht="41.1" customHeight="1">
      <c r="A135" s="642" t="inlineStr">
        <is>
          <t>Ruta 68, km 73</t>
        </is>
      </c>
      <c r="B135" s="643" t="inlineStr">
        <is>
          <t>V</t>
        </is>
      </c>
      <c r="C135" s="643" t="inlineStr">
        <is>
          <t>Casablanca</t>
        </is>
      </c>
      <c r="D135" s="595" t="n">
        <v>16000</v>
      </c>
      <c r="E135" s="644">
        <f>F135*$H$2/1000</f>
        <v/>
      </c>
      <c r="F135" s="603" t="n">
        <v>13600</v>
      </c>
      <c r="G135" s="645" t="n">
        <v>43529</v>
      </c>
      <c r="H135" s="643" t="inlineStr">
        <is>
          <t>Oferta</t>
        </is>
      </c>
      <c r="I135" s="643" t="n"/>
      <c r="J135" s="643" t="n"/>
      <c r="K135" s="643" t="n"/>
      <c r="L135" s="603">
        <f>IF(H135="Oferta",F135*$F$229-(J135*K135),F135)</f>
        <v/>
      </c>
      <c r="M135" s="604">
        <f>L135/D135</f>
        <v/>
      </c>
      <c r="N135" s="643" t="inlineStr">
        <is>
          <t>https://www.portalterreno.com/cl/propiedad/venta/sitio/casablanca/98048-sitio-casablanca-acceso-directo-ruta-68-suelo-industrial</t>
        </is>
      </c>
      <c r="O135" s="647" t="inlineStr">
        <is>
          <t>Suelo Industrial
Salida directa ruta 68
Instalaciones de luz trifásica</t>
        </is>
      </c>
    </row>
    <row r="136" hidden="1" ht="41.1" customHeight="1">
      <c r="A136" s="642" t="inlineStr">
        <is>
          <t>Ruta 5 Sur</t>
        </is>
      </c>
      <c r="B136" s="643" t="inlineStr">
        <is>
          <t>RM</t>
        </is>
      </c>
      <c r="C136" s="643" t="inlineStr">
        <is>
          <t>Buin</t>
        </is>
      </c>
      <c r="D136" s="595" t="n">
        <v>28423</v>
      </c>
      <c r="E136" s="644">
        <f>F136*$H$2/1000</f>
        <v/>
      </c>
      <c r="F136" s="603" t="n">
        <v>230000</v>
      </c>
      <c r="G136" s="645" t="n">
        <v>43936</v>
      </c>
      <c r="H136" s="643" t="inlineStr">
        <is>
          <t>Oferta</t>
        </is>
      </c>
      <c r="I136" s="643" t="n"/>
      <c r="J136" s="643" t="n"/>
      <c r="K136" s="643" t="n"/>
      <c r="L136" s="603">
        <f>IF(H136="Oferta",F136*$F$229-(J136*K136),F136)</f>
        <v/>
      </c>
      <c r="M136" s="604">
        <f>L136/D136</f>
        <v/>
      </c>
      <c r="N136" s="643" t="inlineStr">
        <is>
          <t>https://www.toctoc.com/propiedades/compracorredorasr/terrenoindustrial/buin/panamericana-sur/1459431?o=mapa</t>
        </is>
      </c>
      <c r="O136" s="647" t="inlineStr">
        <is>
          <t>Frigorífico de 2.525 m2 mas 6 cámaras, Packing y bodegaje de unos 5.000 m2.portería , estacionamientos, oficinas administrativas y gerencia, con salas de reuniones , privados de unos 995 m2</t>
        </is>
      </c>
    </row>
    <row r="137" hidden="1" ht="41.1" customHeight="1">
      <c r="A137" s="642" t="inlineStr">
        <is>
          <t>Sitio Las Brisas de Chicureo</t>
        </is>
      </c>
      <c r="B137" s="643" t="inlineStr">
        <is>
          <t>RM</t>
        </is>
      </c>
      <c r="C137" s="643" t="inlineStr">
        <is>
          <t>Colina</t>
        </is>
      </c>
      <c r="D137" s="595" t="n">
        <v>2094</v>
      </c>
      <c r="E137" s="644" t="n">
        <v>209259</v>
      </c>
      <c r="F137" s="603" t="n">
        <v>7300</v>
      </c>
      <c r="G137" s="645" t="n">
        <v>44060</v>
      </c>
      <c r="H137" s="643" t="inlineStr">
        <is>
          <t>Oferta</t>
        </is>
      </c>
      <c r="I137" s="643" t="n"/>
      <c r="J137" s="643" t="n"/>
      <c r="K137" s="643" t="n"/>
      <c r="L137" s="603">
        <f>IF(H137="Oferta",F137*$F$229-(J137*K137),F137)</f>
        <v/>
      </c>
      <c r="M137" s="604">
        <f>L137/D137</f>
        <v/>
      </c>
      <c r="N137" s="648" t="inlineStr">
        <is>
          <t>https://www.ceciliagimeno.cl/propiedades/sitio-en-venta-chicureo-oriente-6118?operacion=&amp;tipo_propiedad=&amp;sector=&amp;piezas=&amp;banos=&amp;tamano_min=&amp;tamano_max=&amp;ttamano_min=&amp;ttamano_max=&amp;tipo_precio=UF&amp;precio_min=&amp;precio_max=&amp;pagina=1&amp;propactual=1&amp;orden=menor&amp;slug=</t>
        </is>
      </c>
      <c r="O137" s="647" t="inlineStr">
        <is>
          <t>Sitio sin construcciones dentro del mismo condominio tasado</t>
        </is>
      </c>
    </row>
    <row r="138" hidden="1" ht="41.1" customHeight="1">
      <c r="A138" s="642" t="inlineStr">
        <is>
          <t>Sitio Las Brisas de Chicureo</t>
        </is>
      </c>
      <c r="B138" s="643" t="inlineStr">
        <is>
          <t>RM</t>
        </is>
      </c>
      <c r="C138" s="643" t="inlineStr">
        <is>
          <t>Colina</t>
        </is>
      </c>
      <c r="D138" s="595" t="n">
        <v>3100</v>
      </c>
      <c r="E138" s="644" t="n">
        <v>309889</v>
      </c>
      <c r="F138" s="603" t="n">
        <v>10500</v>
      </c>
      <c r="G138" s="645" t="n">
        <v>44060</v>
      </c>
      <c r="H138" s="643" t="inlineStr">
        <is>
          <t>Oferta</t>
        </is>
      </c>
      <c r="I138" s="643" t="n"/>
      <c r="J138" s="643" t="n"/>
      <c r="K138" s="643" t="n"/>
      <c r="L138" s="603">
        <f>IF(H138="Oferta",F138*$F$229-(J138*K138),F138)</f>
        <v/>
      </c>
      <c r="M138" s="604">
        <f>L138/D138</f>
        <v/>
      </c>
      <c r="N138" s="648" t="inlineStr">
        <is>
          <t>https://www.ceciliagimeno.cl/propiedades/sitio-en-venta-chicureo-oriente-6141?operacion=&amp;tipo_propiedad=&amp;sector=&amp;piezas=&amp;banos=&amp;tamano_min=&amp;tamano_max=&amp;ttamano_min=&amp;ttamano_max=&amp;tipo_precio=UF&amp;precio_min=&amp;precio_max=&amp;pagina=1&amp;propactual=2&amp;orden=menor&amp;slug=</t>
        </is>
      </c>
      <c r="O138" s="647" t="inlineStr">
        <is>
          <t>Sitio sin construcciones dentro del mismo condominio tasado</t>
        </is>
      </c>
    </row>
    <row r="139" hidden="1" ht="41.1" customHeight="1">
      <c r="A139" s="642" t="inlineStr">
        <is>
          <t>Sitio Las Brisas de Chicureo</t>
        </is>
      </c>
      <c r="B139" s="643" t="inlineStr">
        <is>
          <t>RM</t>
        </is>
      </c>
      <c r="C139" s="643" t="inlineStr">
        <is>
          <t>Colina</t>
        </is>
      </c>
      <c r="D139" s="595" t="n">
        <v>2800</v>
      </c>
      <c r="E139" s="644">
        <f>F139*H2/1000</f>
        <v/>
      </c>
      <c r="F139" s="603" t="n">
        <v>9700</v>
      </c>
      <c r="G139" s="645" t="n">
        <v>44060</v>
      </c>
      <c r="H139" s="643" t="inlineStr">
        <is>
          <t>Oferta</t>
        </is>
      </c>
      <c r="I139" s="643" t="n"/>
      <c r="J139" s="643" t="n"/>
      <c r="K139" s="643" t="n"/>
      <c r="L139" s="603">
        <f>IF(H139="Oferta",F139*$F$229-(J139*K139),F139)</f>
        <v/>
      </c>
      <c r="M139" s="604">
        <f>L139/D139</f>
        <v/>
      </c>
      <c r="N139" s="648" t="inlineStr">
        <is>
          <t>https://www.ceciliagimeno.cl/condominio-las-brisas-chicureo</t>
        </is>
      </c>
      <c r="O139" s="647" t="inlineStr">
        <is>
          <t>Sitio sin construcciones dentro del mismo condominio tasado</t>
        </is>
      </c>
    </row>
    <row r="140" hidden="1" ht="41.1" customHeight="1">
      <c r="A140" s="642" t="inlineStr">
        <is>
          <t>Sitio Las Brisas de Chicureo</t>
        </is>
      </c>
      <c r="B140" s="643" t="inlineStr">
        <is>
          <t>RM</t>
        </is>
      </c>
      <c r="C140" s="643" t="inlineStr">
        <is>
          <t>Colina</t>
        </is>
      </c>
      <c r="D140" s="595" t="n">
        <v>3293</v>
      </c>
      <c r="E140" s="644">
        <f>F140*$H$2/1000</f>
        <v/>
      </c>
      <c r="F140" s="603" t="n">
        <v>11700</v>
      </c>
      <c r="G140" s="645" t="n">
        <v>44060</v>
      </c>
      <c r="H140" s="643" t="inlineStr">
        <is>
          <t>Oferta</t>
        </is>
      </c>
      <c r="I140" s="643" t="n"/>
      <c r="J140" s="643" t="n"/>
      <c r="K140" s="643" t="n"/>
      <c r="L140" s="603">
        <f>IF(H140="Oferta",F140*$F$229-(J140*K140),F140)</f>
        <v/>
      </c>
      <c r="M140" s="604">
        <f>L140/D140</f>
        <v/>
      </c>
      <c r="N140" s="648" t="inlineStr">
        <is>
          <t>https://www.ceciliagimeno.cl/condominio-las-brisas-chicureo</t>
        </is>
      </c>
      <c r="O140" s="647" t="inlineStr">
        <is>
          <t>Sitio sin construcciones dentro del mismo condominio tasado</t>
        </is>
      </c>
    </row>
    <row r="141" hidden="1" ht="41.1" customHeight="1">
      <c r="A141" s="642" t="inlineStr">
        <is>
          <t>Sitio Las Brisas de Chicureo</t>
        </is>
      </c>
      <c r="B141" s="643" t="inlineStr">
        <is>
          <t>RM</t>
        </is>
      </c>
      <c r="C141" s="643" t="inlineStr">
        <is>
          <t>Colina</t>
        </is>
      </c>
      <c r="D141" s="595" t="n">
        <v>3603</v>
      </c>
      <c r="E141" s="644">
        <f>F141*$H$2/1000</f>
        <v/>
      </c>
      <c r="F141" s="603" t="n">
        <v>10200</v>
      </c>
      <c r="G141" s="645" t="n">
        <v>44060</v>
      </c>
      <c r="H141" s="643" t="inlineStr">
        <is>
          <t>Oferta</t>
        </is>
      </c>
      <c r="I141" s="643" t="n"/>
      <c r="J141" s="643" t="n"/>
      <c r="K141" s="643" t="n"/>
      <c r="L141" s="603">
        <f>IF(H141="Oferta",F141*$F$229-(J141*K141),F141)</f>
        <v/>
      </c>
      <c r="M141" s="604">
        <f>L141/D141</f>
        <v/>
      </c>
      <c r="N141" s="648" t="inlineStr">
        <is>
          <t>https://www.ceciliagimeno.cl/condominio-las-brisas-chicureo</t>
        </is>
      </c>
      <c r="O141" s="647" t="inlineStr">
        <is>
          <t>Sitio sin construcciones dentro del mismo condominio tasado</t>
        </is>
      </c>
    </row>
    <row r="142" hidden="1" ht="41.1" customHeight="1">
      <c r="A142" s="642" t="inlineStr">
        <is>
          <t>Sitio Las Brisas de Chicureo</t>
        </is>
      </c>
      <c r="B142" s="643" t="inlineStr">
        <is>
          <t>RM</t>
        </is>
      </c>
      <c r="C142" s="643" t="inlineStr">
        <is>
          <t>Colina</t>
        </is>
      </c>
      <c r="D142" s="595" t="n">
        <v>3630</v>
      </c>
      <c r="E142" s="644">
        <f>F142*$H$2/1000</f>
        <v/>
      </c>
      <c r="F142" s="603" t="n">
        <v>8300</v>
      </c>
      <c r="G142" s="645" t="n">
        <v>44060</v>
      </c>
      <c r="H142" s="643" t="inlineStr">
        <is>
          <t>Oferta</t>
        </is>
      </c>
      <c r="I142" s="643" t="n"/>
      <c r="J142" s="643" t="n"/>
      <c r="K142" s="643" t="n"/>
      <c r="L142" s="603">
        <f>IF(H142="Oferta",F142*$F$229-(J142*K142),F142)</f>
        <v/>
      </c>
      <c r="M142" s="604">
        <f>L142/D142</f>
        <v/>
      </c>
      <c r="N142" s="648" t="inlineStr">
        <is>
          <t>https://www.ceciliagimeno.cl/condominio-las-brisas-chicureo</t>
        </is>
      </c>
      <c r="O142" s="647" t="inlineStr">
        <is>
          <t>Sitio sin construcciones dentro del mismo condominio tasado</t>
        </is>
      </c>
    </row>
    <row r="143" hidden="1" ht="41.1" customHeight="1">
      <c r="A143" s="642" t="inlineStr">
        <is>
          <t>Sitio Las Brisas de Chicureo</t>
        </is>
      </c>
      <c r="B143" s="643" t="inlineStr">
        <is>
          <t>RM</t>
        </is>
      </c>
      <c r="C143" s="643" t="inlineStr">
        <is>
          <t>Colina</t>
        </is>
      </c>
      <c r="D143" s="595" t="n">
        <v>4100</v>
      </c>
      <c r="E143" s="644">
        <f>F143*$H$2/1000</f>
        <v/>
      </c>
      <c r="F143" s="603" t="n">
        <v>9300</v>
      </c>
      <c r="G143" s="645" t="n">
        <v>44060</v>
      </c>
      <c r="H143" s="643" t="inlineStr">
        <is>
          <t>Oferta</t>
        </is>
      </c>
      <c r="I143" s="643" t="n"/>
      <c r="J143" s="643" t="n"/>
      <c r="K143" s="643" t="n"/>
      <c r="L143" s="603">
        <f>IF(H143="Oferta",F143*$F$229-(J143*K143),F143)</f>
        <v/>
      </c>
      <c r="M143" s="604">
        <f>L143/D143</f>
        <v/>
      </c>
      <c r="N143" s="648" t="inlineStr">
        <is>
          <t>https://www.ceciliagimeno.cl/condominio-las-brisas-chicureo</t>
        </is>
      </c>
      <c r="O143" s="647" t="inlineStr">
        <is>
          <t>Sitio sin construcciones dentro del mismo condominio tasado</t>
        </is>
      </c>
    </row>
    <row r="144" hidden="1" ht="41.1" customHeight="1">
      <c r="A144" s="642" t="inlineStr">
        <is>
          <t>Sitio Las Brisas de Chicureo</t>
        </is>
      </c>
      <c r="B144" s="643" t="inlineStr">
        <is>
          <t>RM</t>
        </is>
      </c>
      <c r="C144" s="643" t="inlineStr">
        <is>
          <t>Colina</t>
        </is>
      </c>
      <c r="D144" s="595" t="n">
        <v>2867</v>
      </c>
      <c r="E144" s="644">
        <f>F144*$H$2/1000</f>
        <v/>
      </c>
      <c r="F144" s="603" t="n">
        <v>10000</v>
      </c>
      <c r="G144" s="645" t="n">
        <v>44060</v>
      </c>
      <c r="H144" s="643" t="inlineStr">
        <is>
          <t>Oferta</t>
        </is>
      </c>
      <c r="I144" s="643" t="n"/>
      <c r="J144" s="643" t="n"/>
      <c r="K144" s="643" t="n"/>
      <c r="L144" s="603">
        <f>IF(H144="Oferta",F144*$F$229-(J144*K144),F144)</f>
        <v/>
      </c>
      <c r="M144" s="604">
        <f>L144/D144</f>
        <v/>
      </c>
      <c r="N144" s="648" t="inlineStr">
        <is>
          <t>https://www.ceciliagimeno.cl/condominio-las-brisas-chicureo</t>
        </is>
      </c>
      <c r="O144" s="647" t="inlineStr">
        <is>
          <t>Sitio sin construcciones dentro del mismo condominio tasado</t>
        </is>
      </c>
    </row>
    <row r="145" hidden="1" ht="41.1" customHeight="1">
      <c r="A145" s="642" t="inlineStr">
        <is>
          <t>Sitio Las Brisas de Chicureo</t>
        </is>
      </c>
      <c r="B145" s="643" t="inlineStr">
        <is>
          <t>RM</t>
        </is>
      </c>
      <c r="C145" s="643" t="inlineStr">
        <is>
          <t>Colina</t>
        </is>
      </c>
      <c r="D145" s="595" t="n">
        <v>3440</v>
      </c>
      <c r="E145" s="644">
        <f>F145*$H$2/1000</f>
        <v/>
      </c>
      <c r="F145" s="603" t="n">
        <v>8200</v>
      </c>
      <c r="G145" s="645" t="n">
        <v>44060</v>
      </c>
      <c r="H145" s="643" t="inlineStr">
        <is>
          <t>Oferta</t>
        </is>
      </c>
      <c r="I145" s="643" t="n"/>
      <c r="J145" s="643" t="n"/>
      <c r="K145" s="643" t="n"/>
      <c r="L145" s="603">
        <f>IF(H145="Oferta",F145*$F$229-(J145*K145),F145)</f>
        <v/>
      </c>
      <c r="M145" s="604">
        <f>L145/D145</f>
        <v/>
      </c>
      <c r="N145" s="648" t="inlineStr">
        <is>
          <t>https://www.ceciliagimeno.cl/condominio-las-brisas-chicureo</t>
        </is>
      </c>
      <c r="O145" s="647" t="inlineStr">
        <is>
          <t>Sitio sin construcciones dentro del mismo condominio tasado</t>
        </is>
      </c>
    </row>
    <row r="146" hidden="1" ht="41.1" customHeight="1">
      <c r="A146" s="642" t="inlineStr">
        <is>
          <t>Sitio Las Brisas de Chicureo</t>
        </is>
      </c>
      <c r="B146" s="643" t="inlineStr">
        <is>
          <t>RM</t>
        </is>
      </c>
      <c r="C146" s="643" t="inlineStr">
        <is>
          <t>Colina</t>
        </is>
      </c>
      <c r="D146" s="595" t="n">
        <v>4080</v>
      </c>
      <c r="E146" s="644">
        <f>F146*$H$2/1000</f>
        <v/>
      </c>
      <c r="F146" s="603" t="n">
        <v>8000</v>
      </c>
      <c r="G146" s="645" t="n">
        <v>44060</v>
      </c>
      <c r="H146" s="643" t="inlineStr">
        <is>
          <t>Oferta</t>
        </is>
      </c>
      <c r="I146" s="643" t="n"/>
      <c r="J146" s="643" t="n"/>
      <c r="K146" s="643" t="n"/>
      <c r="L146" s="603">
        <f>IF(H146="Oferta",F146*$F$229-(J146*K146),F146)</f>
        <v/>
      </c>
      <c r="M146" s="604">
        <f>L146/D146</f>
        <v/>
      </c>
      <c r="N146" s="648" t="inlineStr">
        <is>
          <t>https://www.ceciliagimeno.cl/condominio-las-brisas-chicureo</t>
        </is>
      </c>
      <c r="O146" s="647" t="inlineStr">
        <is>
          <t>Sitio sin construcciones dentro del mismo condominio tasado</t>
        </is>
      </c>
    </row>
    <row r="147" hidden="1" ht="41.1" customHeight="1">
      <c r="A147" s="642" t="inlineStr">
        <is>
          <t>Sitio Las Brisas de Chicureo</t>
        </is>
      </c>
      <c r="B147" s="643" t="inlineStr">
        <is>
          <t>RM</t>
        </is>
      </c>
      <c r="C147" s="643" t="inlineStr">
        <is>
          <t>Colina</t>
        </is>
      </c>
      <c r="D147" s="595" t="n">
        <v>2040</v>
      </c>
      <c r="E147" s="644">
        <f>F147*$H$2/1000</f>
        <v/>
      </c>
      <c r="F147" s="603" t="n">
        <v>6300</v>
      </c>
      <c r="G147" s="645" t="n">
        <v>44060</v>
      </c>
      <c r="H147" s="643" t="inlineStr">
        <is>
          <t>Oferta</t>
        </is>
      </c>
      <c r="I147" s="643" t="n"/>
      <c r="J147" s="643" t="n"/>
      <c r="K147" s="643" t="n"/>
      <c r="L147" s="603">
        <f>IF(H147="Oferta",F147*$F$229-(J147*K147),F147)</f>
        <v/>
      </c>
      <c r="M147" s="604">
        <f>L147/D147</f>
        <v/>
      </c>
      <c r="N147" s="648" t="inlineStr">
        <is>
          <t>https://www.ceciliagimeno.cl/condominio-las-brisas-chicureo</t>
        </is>
      </c>
      <c r="O147" s="647" t="inlineStr">
        <is>
          <t>Sitio sin construcciones dentro del mismo condominio tasado</t>
        </is>
      </c>
    </row>
    <row r="148" hidden="1" ht="41.1" customHeight="1">
      <c r="A148" s="642" t="inlineStr">
        <is>
          <t>Sitio Las Brisas de Chicureo</t>
        </is>
      </c>
      <c r="B148" s="643" t="inlineStr">
        <is>
          <t>RM</t>
        </is>
      </c>
      <c r="C148" s="643" t="inlineStr">
        <is>
          <t>Colina</t>
        </is>
      </c>
      <c r="D148" s="595" t="n">
        <v>2584</v>
      </c>
      <c r="E148" s="644">
        <f>F148*$H$2/1000</f>
        <v/>
      </c>
      <c r="F148" s="603" t="n">
        <v>7200</v>
      </c>
      <c r="G148" s="645" t="n">
        <v>44060</v>
      </c>
      <c r="H148" s="643" t="inlineStr">
        <is>
          <t>Oferta</t>
        </is>
      </c>
      <c r="I148" s="643" t="n"/>
      <c r="J148" s="643" t="n"/>
      <c r="K148" s="643" t="n"/>
      <c r="L148" s="603">
        <f>IF(H148="Oferta",F148*$F$229-(J148*K148),F148)</f>
        <v/>
      </c>
      <c r="M148" s="604">
        <f>L148/D148</f>
        <v/>
      </c>
      <c r="N148" s="648" t="inlineStr">
        <is>
          <t>https://www.ceciliagimeno.cl/condominio-las-brisas-chicureo</t>
        </is>
      </c>
      <c r="O148" s="647" t="inlineStr">
        <is>
          <t>Sitio sin construcciones dentro del mismo condominio tasado</t>
        </is>
      </c>
    </row>
    <row r="149" hidden="1" ht="41.1" customHeight="1">
      <c r="A149" s="642" t="inlineStr">
        <is>
          <t>Sitio Las Brisas de Chicureo</t>
        </is>
      </c>
      <c r="B149" s="643" t="inlineStr">
        <is>
          <t>RM</t>
        </is>
      </c>
      <c r="C149" s="643" t="inlineStr">
        <is>
          <t>Colina</t>
        </is>
      </c>
      <c r="D149" s="595" t="n">
        <v>3194</v>
      </c>
      <c r="E149" s="644">
        <f>F149*$H$2/1000</f>
        <v/>
      </c>
      <c r="F149" s="603" t="n">
        <v>9800</v>
      </c>
      <c r="G149" s="645" t="n">
        <v>44060</v>
      </c>
      <c r="H149" s="643" t="inlineStr">
        <is>
          <t>Oferta</t>
        </is>
      </c>
      <c r="I149" s="643" t="n"/>
      <c r="J149" s="643" t="n"/>
      <c r="K149" s="643" t="n"/>
      <c r="L149" s="603">
        <f>IF(H149="Oferta",F149*$F$229-(J149*K149),F149)</f>
        <v/>
      </c>
      <c r="M149" s="604">
        <f>L149/D149</f>
        <v/>
      </c>
      <c r="N149" s="648" t="inlineStr">
        <is>
          <t>https://www.ceciliagimeno.cl/condominio-las-brisas-chicureo</t>
        </is>
      </c>
      <c r="O149" s="647" t="inlineStr">
        <is>
          <t>Sitio sin construcciones dentro del mismo condominio tasado</t>
        </is>
      </c>
    </row>
    <row r="150" hidden="1" ht="41.1" customHeight="1">
      <c r="A150" s="642" t="inlineStr">
        <is>
          <t>Sitio Las Brisas de Chicureo</t>
        </is>
      </c>
      <c r="B150" s="643" t="inlineStr">
        <is>
          <t>RM</t>
        </is>
      </c>
      <c r="C150" s="643" t="inlineStr">
        <is>
          <t>Colina</t>
        </is>
      </c>
      <c r="D150" s="595" t="n">
        <v>4656</v>
      </c>
      <c r="E150" s="644">
        <f>F150*$H$2/1000</f>
        <v/>
      </c>
      <c r="F150" s="603" t="n">
        <v>9100</v>
      </c>
      <c r="G150" s="645" t="n">
        <v>44060</v>
      </c>
      <c r="H150" s="643" t="inlineStr">
        <is>
          <t>Oferta</t>
        </is>
      </c>
      <c r="I150" s="643" t="n"/>
      <c r="J150" s="643" t="n"/>
      <c r="K150" s="643" t="n"/>
      <c r="L150" s="603">
        <f>IF(H150="Oferta",F150*$F$229-(J150*K150),F150)</f>
        <v/>
      </c>
      <c r="M150" s="604">
        <f>L150/D150</f>
        <v/>
      </c>
      <c r="N150" s="648" t="inlineStr">
        <is>
          <t>https://www.ceciliagimeno.cl/condominio-las-brisas-chicureo</t>
        </is>
      </c>
      <c r="O150" s="647" t="inlineStr">
        <is>
          <t>Sitio sin construcciones dentro del mismo condominio tasado</t>
        </is>
      </c>
    </row>
    <row r="151" hidden="1" ht="41.1" customHeight="1">
      <c r="A151" s="642" t="inlineStr">
        <is>
          <t>Sitio Las Brisas de Chicureo</t>
        </is>
      </c>
      <c r="B151" s="643" t="inlineStr">
        <is>
          <t>RM</t>
        </is>
      </c>
      <c r="C151" s="643" t="inlineStr">
        <is>
          <t>Colina</t>
        </is>
      </c>
      <c r="D151" s="595" t="n">
        <v>3300</v>
      </c>
      <c r="E151" s="644">
        <f>F151*$H$2/1000</f>
        <v/>
      </c>
      <c r="F151" s="603" t="n">
        <v>9000</v>
      </c>
      <c r="G151" s="645" t="n">
        <v>44060</v>
      </c>
      <c r="H151" s="643" t="inlineStr">
        <is>
          <t>Oferta</t>
        </is>
      </c>
      <c r="I151" s="643" t="n"/>
      <c r="J151" s="643" t="n"/>
      <c r="K151" s="643" t="n"/>
      <c r="L151" s="603">
        <f>IF(H151="Oferta",F151*$F$229-(J151*K151),F151)</f>
        <v/>
      </c>
      <c r="M151" s="604">
        <f>L151/D151</f>
        <v/>
      </c>
      <c r="N151" s="648" t="inlineStr">
        <is>
          <t>https://www.ceciliagimeno.cl/condominio-las-brisas-chicureo</t>
        </is>
      </c>
      <c r="O151" s="647" t="inlineStr">
        <is>
          <t>Sitio sin construcciones dentro del mismo condominio tasado</t>
        </is>
      </c>
    </row>
    <row r="152" hidden="1" ht="41.1" customHeight="1">
      <c r="A152" s="642" t="inlineStr">
        <is>
          <t>Sitio Las Brisas de Chicureo</t>
        </is>
      </c>
      <c r="B152" s="643" t="inlineStr">
        <is>
          <t>RM</t>
        </is>
      </c>
      <c r="C152" s="643" t="inlineStr">
        <is>
          <t>Colina</t>
        </is>
      </c>
      <c r="D152" s="595" t="n">
        <v>1800</v>
      </c>
      <c r="E152" s="644">
        <f>F152*$H$2/1000</f>
        <v/>
      </c>
      <c r="F152" s="603" t="n">
        <v>8500</v>
      </c>
      <c r="G152" s="645" t="n">
        <v>44060</v>
      </c>
      <c r="H152" s="643" t="inlineStr">
        <is>
          <t>Oferta</t>
        </is>
      </c>
      <c r="I152" s="643" t="n"/>
      <c r="J152" s="643" t="n"/>
      <c r="K152" s="643" t="n"/>
      <c r="L152" s="603">
        <f>IF(H152="Oferta",F152*$F$229-(J152*K152),F152)</f>
        <v/>
      </c>
      <c r="M152" s="604">
        <f>L152/D152</f>
        <v/>
      </c>
      <c r="N152" s="648" t="inlineStr">
        <is>
          <t>https://www.ceciliagimeno.cl/condominio-las-brisas-chicureo</t>
        </is>
      </c>
      <c r="O152" s="647" t="inlineStr">
        <is>
          <t>Sitio sin construcciones dentro del mismo condominio tasado</t>
        </is>
      </c>
    </row>
    <row r="153" hidden="1" ht="41.1" customHeight="1">
      <c r="A153" s="642" t="inlineStr">
        <is>
          <t>Sitio Las Brisas de Chicureo</t>
        </is>
      </c>
      <c r="B153" s="643" t="inlineStr">
        <is>
          <t>RM</t>
        </is>
      </c>
      <c r="C153" s="643" t="inlineStr">
        <is>
          <t>Colina</t>
        </is>
      </c>
      <c r="D153" s="595" t="n">
        <v>4500</v>
      </c>
      <c r="E153" s="644">
        <f>F153*$H$2/1000</f>
        <v/>
      </c>
      <c r="F153" s="603" t="n">
        <v>8400</v>
      </c>
      <c r="G153" s="645" t="n">
        <v>44060</v>
      </c>
      <c r="H153" s="643" t="inlineStr">
        <is>
          <t>Oferta</t>
        </is>
      </c>
      <c r="I153" s="643" t="n"/>
      <c r="J153" s="643" t="n"/>
      <c r="K153" s="643" t="n"/>
      <c r="L153" s="603">
        <f>IF(H153="Oferta",F153*$F$229-(J153*K153),F153)</f>
        <v/>
      </c>
      <c r="M153" s="604">
        <f>L153/D153</f>
        <v/>
      </c>
      <c r="N153" s="648" t="inlineStr">
        <is>
          <t>https://www.ceciliagimeno.cl/condominio-las-brisas-chicureo</t>
        </is>
      </c>
      <c r="O153" s="647" t="inlineStr">
        <is>
          <t>Sitio en condominio, sin construcciones</t>
        </is>
      </c>
    </row>
    <row r="154" hidden="1" ht="41.1" customHeight="1">
      <c r="A154" s="642" t="inlineStr">
        <is>
          <t>Sitio Las Brisas de Chicureo</t>
        </is>
      </c>
      <c r="B154" s="643" t="inlineStr">
        <is>
          <t>RM</t>
        </is>
      </c>
      <c r="C154" s="643" t="inlineStr">
        <is>
          <t>Colina</t>
        </is>
      </c>
      <c r="D154" s="595" t="n">
        <v>5000</v>
      </c>
      <c r="E154" s="644">
        <f>F154*$H$2/1000</f>
        <v/>
      </c>
      <c r="F154" s="603" t="n">
        <v>6000</v>
      </c>
      <c r="G154" s="645" t="n">
        <v>44060</v>
      </c>
      <c r="H154" s="643" t="inlineStr">
        <is>
          <t>Oferta</t>
        </is>
      </c>
      <c r="I154" s="643" t="n"/>
      <c r="J154" s="643" t="n"/>
      <c r="K154" s="643" t="n"/>
      <c r="L154" s="603">
        <f>IF(H154="Oferta",F154*$F$229-(J154*K154),F154)</f>
        <v/>
      </c>
      <c r="M154" s="604">
        <f>L154/D154</f>
        <v/>
      </c>
      <c r="N154" s="648" t="inlineStr">
        <is>
          <t>https://www.ceciliagimeno.cl/propiedades/sitio-en-venta-chicureo-oriente-6771?operacion=&amp;tipo_propiedad=&amp;sector=&amp;piezas=&amp;banos=&amp;tamano_min=&amp;tamano_max=&amp;ttamano_min=&amp;ttamano_max=&amp;tipo_precio=UF&amp;precio_min=&amp;precio_max=&amp;pagina=4&amp;propactual=35&amp;orden=menor&amp;slug=</t>
        </is>
      </c>
      <c r="O154" s="647" t="inlineStr">
        <is>
          <t>Sitio en condominio, sin construcciones</t>
        </is>
      </c>
    </row>
    <row r="155" hidden="1" ht="41.1" customHeight="1">
      <c r="A155" s="642" t="inlineStr">
        <is>
          <t>Cercano ruta 5 sur; Buin</t>
        </is>
      </c>
      <c r="B155" s="643" t="inlineStr">
        <is>
          <t>RM</t>
        </is>
      </c>
      <c r="C155" s="643" t="inlineStr">
        <is>
          <t>Buin</t>
        </is>
      </c>
      <c r="D155" s="595" t="n">
        <v>5866</v>
      </c>
      <c r="E155" s="644">
        <f>F155*$H$2/1000</f>
        <v/>
      </c>
      <c r="F155" s="603" t="n">
        <v>38000</v>
      </c>
      <c r="G155" s="645" t="n">
        <v>43482</v>
      </c>
      <c r="H155" s="643" t="inlineStr">
        <is>
          <t>Oferta</t>
        </is>
      </c>
      <c r="I155" s="643" t="n"/>
      <c r="J155" s="643" t="n"/>
      <c r="K155" s="643" t="n"/>
      <c r="L155" s="603">
        <f>IF(H155="Oferta",F155*$F$229-(J155*K155),F155)</f>
        <v/>
      </c>
      <c r="M155" s="604">
        <f>L155/D155</f>
        <v/>
      </c>
      <c r="N155" s="643" t="inlineStr">
        <is>
          <t>https://www.toctoc.com/propiedades/compracorredorasr/terrenoindustrial/buin/bodega-maestranza-2156m2-construidos-con-recepcion-final-terreno-5-866m2-urbano/888798?o=listado_caluga_img#partialTabsUbicacion</t>
        </is>
      </c>
      <c r="O155" s="647" t="inlineStr">
        <is>
          <t>Maestranza. Construcción es 2156m2</t>
        </is>
      </c>
    </row>
    <row r="156" hidden="1" ht="41.1" customHeight="1">
      <c r="A156" s="642" t="inlineStr">
        <is>
          <t>Cercano ruta 5 sur; Buin</t>
        </is>
      </c>
      <c r="B156" s="643" t="inlineStr">
        <is>
          <t>RM</t>
        </is>
      </c>
      <c r="C156" s="643" t="inlineStr">
        <is>
          <t>Buin</t>
        </is>
      </c>
      <c r="D156" s="595" t="n">
        <v>4866</v>
      </c>
      <c r="E156" s="644">
        <f>F156*$H$2/1000</f>
        <v/>
      </c>
      <c r="F156" s="603" t="n">
        <v>42000</v>
      </c>
      <c r="G156" s="645" t="n">
        <v>43906</v>
      </c>
      <c r="H156" s="643" t="inlineStr">
        <is>
          <t>Oferta</t>
        </is>
      </c>
      <c r="I156" s="643" t="n"/>
      <c r="J156" s="643" t="n"/>
      <c r="K156" s="643" t="n"/>
      <c r="L156" s="603">
        <f>IF(H156="Oferta",F156*$F$229-(J156*K156),F156)</f>
        <v/>
      </c>
      <c r="M156" s="604">
        <f>L156/D156</f>
        <v/>
      </c>
      <c r="N156" s="643" t="inlineStr">
        <is>
          <t>https://www.toctoc.com/propiedades/compracorredorasr/terrenoindustrial/buin/buin/686176?o=listado_caluga_img</t>
        </is>
      </c>
      <c r="O156" s="647" t="inlineStr">
        <is>
          <t xml:space="preserve">Propiedad Industrial, Maestranza Funcionando, de 4.866 m2. 2.200 m2. de galpón, baños para el personal,  oficina. Corriente Trifasica 300 KVA., </t>
        </is>
      </c>
    </row>
    <row r="157" hidden="1" ht="41.1" customHeight="1">
      <c r="A157" s="642" t="inlineStr">
        <is>
          <t>Paine a 700 m Ruta 5</t>
        </is>
      </c>
      <c r="B157" s="643" t="inlineStr">
        <is>
          <t>RM</t>
        </is>
      </c>
      <c r="C157" s="643" t="inlineStr">
        <is>
          <t>Buin</t>
        </is>
      </c>
      <c r="D157" s="595" t="n">
        <v>147700</v>
      </c>
      <c r="E157" s="644">
        <f>F157*$H$2/1000</f>
        <v/>
      </c>
      <c r="F157" s="603" t="n">
        <v>221550</v>
      </c>
      <c r="G157" s="645" t="n">
        <v>43595</v>
      </c>
      <c r="H157" s="643" t="inlineStr">
        <is>
          <t>Oferta</t>
        </is>
      </c>
      <c r="I157" s="643" t="n"/>
      <c r="J157" s="643" t="n"/>
      <c r="K157" s="643" t="n"/>
      <c r="L157" s="603">
        <f>IF(H157="Oferta",F157*$F$229-(J157*K157),F157)</f>
        <v/>
      </c>
      <c r="M157" s="604">
        <f>L157/D157</f>
        <v/>
      </c>
      <c r="N157" s="643" t="inlineStr">
        <is>
          <t>https://www.toctoc.com/propiedades/compracorredorasr/terrenoindustrial/paine/paine-a-700mts-de-la-carretera-5-sur-entrada-directa/1230197?o=listado_caluga_img</t>
        </is>
      </c>
      <c r="O157" s="647" t="inlineStr">
        <is>
          <t>solo terreno, sector mixto a 700 m de ruta 5 sur.</t>
        </is>
      </c>
    </row>
    <row r="158" hidden="1" ht="41.1" customHeight="1">
      <c r="A158" s="642" t="inlineStr">
        <is>
          <t>A metros ruta 5 sur</t>
        </is>
      </c>
      <c r="B158" s="643" t="inlineStr">
        <is>
          <t>RM</t>
        </is>
      </c>
      <c r="C158" s="643" t="inlineStr">
        <is>
          <t>Buin</t>
        </is>
      </c>
      <c r="D158" s="595" t="n">
        <v>20000</v>
      </c>
      <c r="E158" s="644">
        <f>F158*$H$2/1000</f>
        <v/>
      </c>
      <c r="F158" s="603" t="n">
        <v>50000</v>
      </c>
      <c r="G158" s="645" t="n">
        <v>43474</v>
      </c>
      <c r="H158" s="643" t="inlineStr">
        <is>
          <t>Oferta</t>
        </is>
      </c>
      <c r="I158" s="643" t="n"/>
      <c r="J158" s="643" t="n"/>
      <c r="K158" s="643" t="n"/>
      <c r="L158" s="603">
        <f>IF(H158="Oferta",F158*$F$229-(J158*K158),F158)</f>
        <v/>
      </c>
      <c r="M158" s="604">
        <f>L158/D158</f>
        <v/>
      </c>
      <c r="N158" s="649" t="inlineStr">
        <is>
          <t>https://www.toctoc.com/propiedades/compracorredorasr/terrenoindustrial/buin/industrial-comercial-o-residencial-20-000-mt2/1061860?o=listado_caluga_img</t>
        </is>
      </c>
      <c r="O158" s="647" t="inlineStr">
        <is>
          <t>frente al colegio San Isidro, Strip Center y Condominio de casa.</t>
        </is>
      </c>
    </row>
    <row r="159" hidden="1" ht="41.1" customHeight="1">
      <c r="A159" s="642" t="inlineStr">
        <is>
          <t>Orilla Ruta 5 Sur</t>
        </is>
      </c>
      <c r="B159" s="643" t="inlineStr">
        <is>
          <t>RM</t>
        </is>
      </c>
      <c r="C159" s="643" t="inlineStr">
        <is>
          <t>Buin</t>
        </is>
      </c>
      <c r="D159" s="595" t="n">
        <v>5443</v>
      </c>
      <c r="E159" s="644">
        <f>F159*$H$2/1000</f>
        <v/>
      </c>
      <c r="F159" s="603" t="n">
        <v>19051</v>
      </c>
      <c r="G159" s="645" t="n">
        <v>43272</v>
      </c>
      <c r="H159" s="643" t="inlineStr">
        <is>
          <t>Oferta</t>
        </is>
      </c>
      <c r="I159" s="643" t="n"/>
      <c r="J159" s="643" t="n"/>
      <c r="K159" s="643" t="n"/>
      <c r="L159" s="603">
        <f>IF(H159="Oferta",F159*$F$229-(J159*K159),F159)</f>
        <v/>
      </c>
      <c r="M159" s="604">
        <f>L159/D159</f>
        <v/>
      </c>
      <c r="N159" s="649" t="inlineStr">
        <is>
          <t>https://www.toctoc.com/propiedades/compracorredorasr/terrenoindustrial/buin/venta-de-terrenos-agro-industriales/1035149?o=listado_caluga_img</t>
        </is>
      </c>
      <c r="O159" s="647" t="inlineStr">
        <is>
          <t>Venta de Terrenos Agro industriales con norma ISAM-13</t>
        </is>
      </c>
    </row>
    <row r="160" hidden="1" ht="41.1" customHeight="1">
      <c r="A160" s="642" t="inlineStr">
        <is>
          <t>Cno Viluco c/ Ruta 5 Sur</t>
        </is>
      </c>
      <c r="B160" s="643" t="inlineStr">
        <is>
          <t>RM</t>
        </is>
      </c>
      <c r="C160" s="643" t="inlineStr">
        <is>
          <t>Buin</t>
        </is>
      </c>
      <c r="D160" s="595" t="n">
        <v>21000</v>
      </c>
      <c r="E160" s="644">
        <f>F160*$H$2/1000</f>
        <v/>
      </c>
      <c r="F160" s="603" t="n">
        <v>42000</v>
      </c>
      <c r="G160" s="645" t="n">
        <v>43380</v>
      </c>
      <c r="H160" s="643" t="inlineStr">
        <is>
          <t>Oferta</t>
        </is>
      </c>
      <c r="I160" s="643" t="n"/>
      <c r="J160" s="643" t="n"/>
      <c r="K160" s="643" t="n"/>
      <c r="L160" s="603">
        <f>IF(H160="Oferta",F160*$F$229-(J160*K160),F160)</f>
        <v/>
      </c>
      <c r="M160" s="604">
        <f>L160/D160</f>
        <v/>
      </c>
      <c r="N160" s="649" t="inlineStr">
        <is>
          <t>https://www.portalinmobiliario.com/venta/industrial/buin-metropolitana/3841909-camino-a-lonquen-con-ruta-5-sur-uda#position=3&amp;type=item&amp;tracking_id=88552eb0-27e1-499c-94c0-34526fde0bd3</t>
        </is>
      </c>
      <c r="O160" s="647" t="inlineStr">
        <is>
          <t>Agroindustrial. 100 m frente hacia camino Viluco.2 casas, galpones, bodega, frigorífico y oficina.</t>
        </is>
      </c>
    </row>
    <row r="161" hidden="1" ht="41.1" customHeight="1">
      <c r="A161" s="642" t="inlineStr">
        <is>
          <t>Cruce Linderos  c/ 5 sur</t>
        </is>
      </c>
      <c r="B161" s="643" t="inlineStr">
        <is>
          <t>RM</t>
        </is>
      </c>
      <c r="C161" s="643" t="inlineStr">
        <is>
          <t>Buin</t>
        </is>
      </c>
      <c r="D161" s="595" t="n">
        <v>20000</v>
      </c>
      <c r="E161" s="644">
        <f>F161*$H$2/1000</f>
        <v/>
      </c>
      <c r="F161" s="603" t="n">
        <v>44000</v>
      </c>
      <c r="G161" s="645" t="n">
        <v>43874</v>
      </c>
      <c r="H161" s="643" t="inlineStr">
        <is>
          <t>Oferta</t>
        </is>
      </c>
      <c r="I161" s="643" t="n"/>
      <c r="J161" s="643" t="n"/>
      <c r="K161" s="643" t="n"/>
      <c r="L161" s="603">
        <f>IF(H161="Oferta",F161*$F$229-(J161*K161),F161)</f>
        <v/>
      </c>
      <c r="M161" s="604">
        <f>L161/D161</f>
        <v/>
      </c>
      <c r="N161" s="649" t="inlineStr">
        <is>
          <t>https://www.portalinmobiliario.com/venta/industrial/buin-metropolitana/4121076-excelente-terreno-agroindustrial-uda#position=10&amp;type=item&amp;tracking_id=88552eb0-27e1-499c-94c0-34526fde0bd3</t>
        </is>
      </c>
      <c r="O161" s="647" t="inlineStr">
        <is>
          <t>Sector Linderos, ruta 5, sin construcciones. 100 x 200 m.</t>
        </is>
      </c>
      <c r="P161" s="1315" t="n"/>
    </row>
    <row r="162" hidden="1" ht="41.1" customHeight="1">
      <c r="A162" s="642" t="inlineStr">
        <is>
          <t>a 500 m Ruta 5 Sur</t>
        </is>
      </c>
      <c r="B162" s="643" t="inlineStr">
        <is>
          <t>RM</t>
        </is>
      </c>
      <c r="C162" s="643" t="inlineStr">
        <is>
          <t>Buin</t>
        </is>
      </c>
      <c r="D162" s="595" t="n">
        <v>25000</v>
      </c>
      <c r="E162" s="644">
        <f>F162*$H$2/1000</f>
        <v/>
      </c>
      <c r="F162" s="603" t="n">
        <v>18100</v>
      </c>
      <c r="G162" s="645" t="n">
        <v>43874</v>
      </c>
      <c r="H162" s="643" t="inlineStr">
        <is>
          <t>Oferta</t>
        </is>
      </c>
      <c r="I162" s="643" t="n"/>
      <c r="J162" s="643" t="n"/>
      <c r="K162" s="643" t="n"/>
      <c r="L162" s="603">
        <f>IF(H162="Oferta",F162*$F$229-(J162*K162),F162)</f>
        <v/>
      </c>
      <c r="M162" s="604">
        <f>L162/D162</f>
        <v/>
      </c>
      <c r="N162" s="649" t="inlineStr">
        <is>
          <t>https://www.portalinmobiliario.com/venta/industrial/buin-metropolitana/5191089-excelente-terreno-agroindustrial-uda#position=12&amp;type=item&amp;tracking_id=88552eb0-27e1-499c-94c0-34526fde0bd3</t>
        </is>
      </c>
      <c r="O162" s="647" t="inlineStr">
        <is>
          <t>Según CIP, permite agroindustrias, equipamiento. a 500 mts de la autopista ruta 5 sur. Tiene conectividad a luz y agua</t>
        </is>
      </c>
      <c r="P162" s="1315" t="n"/>
    </row>
    <row r="163" hidden="1" ht="41.1" customHeight="1">
      <c r="A163" s="642" t="inlineStr">
        <is>
          <t>Ruta 5 sur</t>
        </is>
      </c>
      <c r="B163" s="643" t="inlineStr">
        <is>
          <t>RM</t>
        </is>
      </c>
      <c r="C163" s="643" t="inlineStr">
        <is>
          <t>Buin</t>
        </is>
      </c>
      <c r="D163" s="595" t="n">
        <v>5870</v>
      </c>
      <c r="E163" s="644">
        <f>F163*$H$2/1000</f>
        <v/>
      </c>
      <c r="F163" s="603" t="n">
        <v>39990</v>
      </c>
      <c r="G163" s="645" t="n">
        <v>43895</v>
      </c>
      <c r="H163" s="643" t="inlineStr">
        <is>
          <t>Oferta</t>
        </is>
      </c>
      <c r="I163" s="643" t="n"/>
      <c r="J163" s="643" t="n"/>
      <c r="K163" s="643" t="n"/>
      <c r="L163" s="603">
        <f>IF(H163="Oferta",F163*$F$229-(J163*K163),F163)</f>
        <v/>
      </c>
      <c r="M163" s="604">
        <f>L163/D163</f>
        <v/>
      </c>
      <c r="N163" s="649" t="inlineStr">
        <is>
          <t>https://www.portalinmobiliario.com/venta/industrial/buin-metropolitana/5352269-camino-longitudinal-ruta-5-uda#position=16&amp;type=item&amp;tracking_id=88552eb0-27e1-499c-94c0-34526fde0bd3</t>
        </is>
      </c>
      <c r="O163" s="647" t="inlineStr">
        <is>
          <t>Bodega 638 m2, local 121 m2.</t>
        </is>
      </c>
      <c r="P163" s="1315" t="n"/>
    </row>
    <row r="164" hidden="1" ht="41.1" customHeight="1">
      <c r="A164" s="642" t="inlineStr">
        <is>
          <t>a 600 m ruta 5 Sur</t>
        </is>
      </c>
      <c r="B164" s="643" t="inlineStr">
        <is>
          <t>RM</t>
        </is>
      </c>
      <c r="C164" s="643" t="inlineStr">
        <is>
          <t>Buin</t>
        </is>
      </c>
      <c r="D164" s="595" t="n">
        <v>70000</v>
      </c>
      <c r="E164" s="644">
        <f>F164*$H$2/1000</f>
        <v/>
      </c>
      <c r="F164" s="603" t="n">
        <v>105000</v>
      </c>
      <c r="G164" s="645" t="n">
        <v>43941</v>
      </c>
      <c r="H164" s="643" t="inlineStr">
        <is>
          <t>Oferta</t>
        </is>
      </c>
      <c r="I164" s="643" t="n"/>
      <c r="J164" s="643" t="n"/>
      <c r="K164" s="643" t="n"/>
      <c r="L164" s="603">
        <f>IF(H164="Oferta",F164*$F$229-(J164*K164),F164)</f>
        <v/>
      </c>
      <c r="M164" s="604">
        <f>L164/D164</f>
        <v/>
      </c>
      <c r="N164" s="649" t="inlineStr">
        <is>
          <t>https://www.icasas.cl/propiedad/335292</t>
        </is>
      </c>
      <c r="O164" s="647" t="inlineStr">
        <is>
          <t>Terreno sin construcciones</t>
        </is>
      </c>
      <c r="P164" s="1315" t="n"/>
    </row>
    <row r="165" hidden="1" ht="41.1" customHeight="1">
      <c r="A165" s="642" t="inlineStr">
        <is>
          <t>Costado Buin Zoo</t>
        </is>
      </c>
      <c r="B165" s="643" t="inlineStr">
        <is>
          <t>RM</t>
        </is>
      </c>
      <c r="C165" s="643" t="inlineStr">
        <is>
          <t>Buin</t>
        </is>
      </c>
      <c r="D165" s="595" t="n">
        <v>10000</v>
      </c>
      <c r="E165" s="644">
        <f>F165*$H$2/1000</f>
        <v/>
      </c>
      <c r="F165" s="603" t="n">
        <v>17200</v>
      </c>
      <c r="G165" s="645" t="n">
        <v>43941</v>
      </c>
      <c r="H165" s="643" t="inlineStr">
        <is>
          <t>Oferta</t>
        </is>
      </c>
      <c r="I165" s="643" t="n"/>
      <c r="J165" s="643" t="n"/>
      <c r="K165" s="643" t="n"/>
      <c r="L165" s="603">
        <f>IF(H165="Oferta",F165*$F$229-(J165*K165),F165)</f>
        <v/>
      </c>
      <c r="M165" s="604">
        <f>L165/D165</f>
        <v/>
      </c>
      <c r="N165" s="649" t="inlineStr">
        <is>
          <t>https://www.icasas.cl/propiedad/360605</t>
        </is>
      </c>
      <c r="O165" s="647" t="inlineStr">
        <is>
          <t>Terreno, entrada por camino La Obra</t>
        </is>
      </c>
      <c r="P165" s="1315" t="n"/>
    </row>
    <row r="166" hidden="1" ht="41.1" customHeight="1">
      <c r="A166" s="642" t="inlineStr">
        <is>
          <t>Altura Bavaria</t>
        </is>
      </c>
      <c r="B166" s="643" t="inlineStr">
        <is>
          <t>RM</t>
        </is>
      </c>
      <c r="C166" s="643" t="inlineStr">
        <is>
          <t>Buin</t>
        </is>
      </c>
      <c r="D166" s="595" t="n">
        <v>17500</v>
      </c>
      <c r="E166" s="644">
        <f>F166*$H$2/1000</f>
        <v/>
      </c>
      <c r="F166" s="603" t="n">
        <v>30000</v>
      </c>
      <c r="G166" s="645" t="n">
        <v>43941</v>
      </c>
      <c r="H166" s="643" t="inlineStr">
        <is>
          <t>Oferta</t>
        </is>
      </c>
      <c r="I166" s="643" t="n"/>
      <c r="J166" s="643" t="n"/>
      <c r="K166" s="643" t="n"/>
      <c r="L166" s="603">
        <f>IF(H166="Oferta",F166*$F$229-(J166*K166),F166)</f>
        <v/>
      </c>
      <c r="M166" s="604">
        <f>L166/D166</f>
        <v/>
      </c>
      <c r="N166" s="649" t="inlineStr">
        <is>
          <t>https://www.icasas.cl/propiedad/356126</t>
        </is>
      </c>
      <c r="O166" s="647" t="inlineStr">
        <is>
          <t xml:space="preserve">ector caletera oriente Panamericana Sur (calle Ocho Oriente, acceso en Ermita de Fátima de Paine, cercano a antiguo Bavaria). 
- Zona industrial consolidada, con empalmes a la puerta. </t>
        </is>
      </c>
      <c r="P166" s="1315" t="n"/>
    </row>
    <row r="167" hidden="1" ht="41.1" customHeight="1">
      <c r="A167" s="642" t="inlineStr">
        <is>
          <t>Ruta 5 Sur</t>
        </is>
      </c>
      <c r="B167" s="643" t="inlineStr">
        <is>
          <t>RM</t>
        </is>
      </c>
      <c r="C167" s="643" t="inlineStr">
        <is>
          <t>Buin</t>
        </is>
      </c>
      <c r="D167" s="595" t="n">
        <v>24000</v>
      </c>
      <c r="E167" s="644">
        <f>F167*$H$2/1000</f>
        <v/>
      </c>
      <c r="F167" s="603" t="n">
        <v>168000</v>
      </c>
      <c r="G167" s="645" t="n">
        <v>43930</v>
      </c>
      <c r="H167" s="643" t="inlineStr">
        <is>
          <t>Oferta</t>
        </is>
      </c>
      <c r="I167" s="643" t="n"/>
      <c r="J167" s="643" t="n"/>
      <c r="K167" s="643" t="n"/>
      <c r="L167" s="603">
        <f>IF(H167="Oferta",F167*$F$229-(J167*K167),F167)</f>
        <v/>
      </c>
      <c r="M167" s="604">
        <f>L167/D167</f>
        <v/>
      </c>
      <c r="N167" s="649" t="inlineStr">
        <is>
          <t>https://www.doomos.cl/de/1124941_terreno-24000-m2-panamericana-sur-buin.html</t>
        </is>
      </c>
      <c r="O167" s="647" t="inlineStr">
        <is>
          <t>Uso Mixto - Frente 102 m2 / Fondo 235 m2 - UF 7 m2. Entradas por Caletera doble vía y Calle paralela - Zona Urbana - A metros de acceso a Buin y Buin Zoo.</t>
        </is>
      </c>
      <c r="P167" s="1315" t="n"/>
    </row>
    <row r="168" hidden="1" ht="41.1" customHeight="1">
      <c r="A168" s="642" t="inlineStr">
        <is>
          <t>Ruta 5 Sur, caletera Poniente</t>
        </is>
      </c>
      <c r="B168" s="643" t="inlineStr">
        <is>
          <t>RM</t>
        </is>
      </c>
      <c r="C168" s="643" t="inlineStr">
        <is>
          <t>Buin</t>
        </is>
      </c>
      <c r="D168" s="595" t="n">
        <v>13000</v>
      </c>
      <c r="E168" s="644">
        <f>F168*$H$2/1000</f>
        <v/>
      </c>
      <c r="F168" s="603" t="n">
        <v>62400</v>
      </c>
      <c r="G168" s="645" t="n">
        <v>43620</v>
      </c>
      <c r="H168" s="643" t="inlineStr">
        <is>
          <t>Oferta</t>
        </is>
      </c>
      <c r="I168" s="643" t="n"/>
      <c r="J168" s="643" t="n"/>
      <c r="K168" s="643" t="n"/>
      <c r="L168" s="603">
        <f>IF(H168="Oferta",F168*$F$229-(J168*K168),F168)</f>
        <v/>
      </c>
      <c r="M168" s="604">
        <f>L168/D168</f>
        <v/>
      </c>
      <c r="N168" s="649" t="inlineStr">
        <is>
          <t>https://www.doomos.cl/de/1195716_venta-sitio-buin-caletera-poniente-buin.html</t>
        </is>
      </c>
      <c r="O168" s="647" t="inlineStr">
        <is>
          <t xml:space="preserve">UBICADA A  ORILLA DE CALETERA Y EN ESQUINA , POSEE UN SURTIDOR DE COMBUSTIBLE, ADEMAS DE TRES CASAS UNA PATRONAL, UNA BODEGA </t>
        </is>
      </c>
      <c r="P168" s="1315" t="n"/>
    </row>
    <row r="169" hidden="1" ht="41.1" customHeight="1">
      <c r="A169" s="642" t="inlineStr">
        <is>
          <t xml:space="preserve">Paine  </t>
        </is>
      </c>
      <c r="B169" s="643" t="inlineStr">
        <is>
          <t>RM</t>
        </is>
      </c>
      <c r="C169" s="643" t="inlineStr">
        <is>
          <t>Buin</t>
        </is>
      </c>
      <c r="D169" s="595" t="n">
        <v>27000</v>
      </c>
      <c r="E169" s="644">
        <f>F169*$H$2/1000</f>
        <v/>
      </c>
      <c r="F169" s="603" t="n">
        <v>34953</v>
      </c>
      <c r="G169" s="645" t="n">
        <v>43218</v>
      </c>
      <c r="H169" s="643" t="inlineStr">
        <is>
          <t>Oferta</t>
        </is>
      </c>
      <c r="I169" s="643" t="n"/>
      <c r="J169" s="643" t="n"/>
      <c r="K169" s="643" t="n"/>
      <c r="L169" s="603">
        <f>IF(H169="Oferta",F169*$F$229-(J169*K169),F169)</f>
        <v/>
      </c>
      <c r="M169" s="604">
        <f>L169/D169</f>
        <v/>
      </c>
      <c r="N169" s="649" t="inlineStr">
        <is>
          <t>http://www2.acop.cl/buscador-de-propiedades/</t>
        </is>
      </c>
      <c r="O169" s="647" t="inlineStr">
        <is>
          <t>Terreno industrial en Paine, sin habilitar, en calle Gilda Díaz. Proyectos ISAM 12</t>
        </is>
      </c>
      <c r="P169" s="1315" t="n"/>
    </row>
    <row r="170" hidden="1" ht="41.1" customHeight="1">
      <c r="A170" s="642" t="inlineStr">
        <is>
          <t>Buin, costado Bavaria</t>
        </is>
      </c>
      <c r="B170" s="643" t="inlineStr">
        <is>
          <t>RM</t>
        </is>
      </c>
      <c r="C170" s="643" t="inlineStr">
        <is>
          <t>Buin</t>
        </is>
      </c>
      <c r="D170" s="595" t="n">
        <v>60000</v>
      </c>
      <c r="E170" s="644">
        <f>F170*$H$2/1000</f>
        <v/>
      </c>
      <c r="F170" s="603" t="n">
        <v>120000</v>
      </c>
      <c r="G170" s="645" t="n">
        <v>43208</v>
      </c>
      <c r="H170" s="643" t="inlineStr">
        <is>
          <t>Oferta</t>
        </is>
      </c>
      <c r="I170" s="643" t="n"/>
      <c r="J170" s="643" t="n"/>
      <c r="K170" s="643" t="n"/>
      <c r="L170" s="603">
        <f>IF(H170="Oferta",F170*$F$229-(J170*K170),F170)</f>
        <v/>
      </c>
      <c r="M170" s="604">
        <f>L170/D170</f>
        <v/>
      </c>
      <c r="N170" s="649" t="inlineStr">
        <is>
          <t>http://www.economicos.cl/propiedades/vendo-6-hectareas-industrial-ruta-5-paine-codAAL4IKA.html</t>
        </is>
      </c>
      <c r="O170" s="647" t="inlineStr">
        <is>
          <t>Terreno agroindustrial, ubicado al costado de Bavaria</t>
        </is>
      </c>
      <c r="P170" s="1315" t="n"/>
    </row>
    <row r="171" hidden="1" ht="41.1" customHeight="1">
      <c r="A171" s="642" t="inlineStr">
        <is>
          <t>4 poniente 1012</t>
        </is>
      </c>
      <c r="B171" s="643" t="inlineStr">
        <is>
          <t>RM</t>
        </is>
      </c>
      <c r="C171" s="643" t="inlineStr">
        <is>
          <t>Buin</t>
        </is>
      </c>
      <c r="D171" s="595" t="n">
        <v>5600</v>
      </c>
      <c r="E171" s="644">
        <f>F171*$H$2/1000</f>
        <v/>
      </c>
      <c r="F171" s="603" t="n">
        <v>8157</v>
      </c>
      <c r="G171" s="645" t="n">
        <v>43201</v>
      </c>
      <c r="H171" s="643" t="inlineStr">
        <is>
          <t>Oferta</t>
        </is>
      </c>
      <c r="I171" s="643" t="n"/>
      <c r="J171" s="643" t="n"/>
      <c r="K171" s="643" t="n"/>
      <c r="L171" s="603">
        <f>IF(H171="Oferta",F171*$F$229-(J171*K171),F171)</f>
        <v/>
      </c>
      <c r="M171" s="604">
        <f>L171/D171</f>
        <v/>
      </c>
      <c r="N171" s="649" t="inlineStr">
        <is>
          <t>https://www.portalinmobiliario.com/venta/industrial/paine-metropolitana/3968834-calle-4-poniente-1012-uda?tp=8&amp;op=1&amp;iug=308&amp;ca=3&amp;ts=1&amp;mn=2&amp;or=&amp;sf=1&amp;sp=0&amp;at=0&amp;i=7</t>
        </is>
      </c>
      <c r="O171" s="647" t="inlineStr">
        <is>
          <t>Terreno norma ISAM 13, permite agroindustria no contaminante</t>
        </is>
      </c>
      <c r="P171" s="1315" t="n"/>
    </row>
    <row r="172" hidden="1" ht="41.1" customHeight="1">
      <c r="A172" s="642" t="inlineStr">
        <is>
          <t>Paine, Km 46 Ruta 5 Sur</t>
        </is>
      </c>
      <c r="B172" s="643" t="inlineStr">
        <is>
          <t>RM</t>
        </is>
      </c>
      <c r="C172" s="643" t="inlineStr">
        <is>
          <t>Buin</t>
        </is>
      </c>
      <c r="D172" s="595" t="n">
        <v>5700</v>
      </c>
      <c r="E172" s="644">
        <f>F172*$H$2/1000</f>
        <v/>
      </c>
      <c r="F172" s="603" t="n">
        <v>9500</v>
      </c>
      <c r="G172" s="645" t="n">
        <v>43147</v>
      </c>
      <c r="H172" s="643" t="inlineStr">
        <is>
          <t>Oferta</t>
        </is>
      </c>
      <c r="I172" s="643" t="n"/>
      <c r="J172" s="643" t="n"/>
      <c r="K172" s="643" t="n"/>
      <c r="L172" s="603">
        <f>IF(H172="Oferta",F172*$F$229-(J172*K172),F172)</f>
        <v/>
      </c>
      <c r="M172" s="604">
        <f>L172/D172</f>
        <v/>
      </c>
      <c r="N172" s="649" t="inlineStr">
        <is>
          <t>https://www.portalinmobiliario.com/venta/industrial/paine-metropolitana/3866642-sitio-agroindustrial-uda?tp=8&amp;op=1&amp;iug=308&amp;ca=3&amp;ts=1&amp;mn=2&amp;or=&amp;sf=1&amp;sp=0&amp;at=0&amp;i=8</t>
        </is>
      </c>
      <c r="O172" s="647" t="inlineStr">
        <is>
          <t>Suelos bajo norma ISAM 12</t>
        </is>
      </c>
      <c r="P172" s="1315" t="n"/>
    </row>
    <row r="173" hidden="1" ht="41.1" customHeight="1">
      <c r="A173" s="642" t="inlineStr">
        <is>
          <t>Agroindustrial mixto</t>
        </is>
      </c>
      <c r="B173" s="643" t="inlineStr">
        <is>
          <t>RM</t>
        </is>
      </c>
      <c r="C173" s="643" t="inlineStr">
        <is>
          <t>Buin</t>
        </is>
      </c>
      <c r="D173" s="595" t="n">
        <v>5700</v>
      </c>
      <c r="E173" s="644">
        <f>F173*$H$2/1000</f>
        <v/>
      </c>
      <c r="F173" s="603" t="n">
        <v>9750</v>
      </c>
      <c r="G173" s="645" t="n">
        <v>43159</v>
      </c>
      <c r="H173" s="643" t="inlineStr">
        <is>
          <t>Oferta</t>
        </is>
      </c>
      <c r="I173" s="643" t="n"/>
      <c r="J173" s="643" t="n"/>
      <c r="K173" s="643" t="n"/>
      <c r="L173" s="603">
        <f>IF(H173="Oferta",F173*$F$229-(J173*K173),F173)</f>
        <v/>
      </c>
      <c r="M173" s="604">
        <f>L173/D173</f>
        <v/>
      </c>
      <c r="N173" s="649" t="inlineStr">
        <is>
          <t>https://www.portalinmobiliario.com/venta/industrial/paine-metropolitana/3884669-terreno-orilla-de-carretera-1-uda?tp=8&amp;op=1&amp;iug=308&amp;ca=3&amp;ts=1&amp;mn=2&amp;or=&amp;sf=1&amp;sp=0&amp;at=0&amp;i=9</t>
        </is>
      </c>
      <c r="O173" s="647" t="inlineStr">
        <is>
          <t>Agroindustrial, orilla de ruta 5 sur</t>
        </is>
      </c>
      <c r="P173" s="1315" t="n"/>
    </row>
    <row r="174" hidden="1" ht="41.1" customHeight="1">
      <c r="A174" s="642" t="inlineStr">
        <is>
          <t>Orilla Ruta 5 Sur</t>
        </is>
      </c>
      <c r="B174" s="643" t="inlineStr">
        <is>
          <t>RM</t>
        </is>
      </c>
      <c r="C174" s="643" t="inlineStr">
        <is>
          <t>Buin</t>
        </is>
      </c>
      <c r="D174" s="595" t="n">
        <v>9870</v>
      </c>
      <c r="E174" s="644">
        <f>F174*$H$2/1000</f>
        <v/>
      </c>
      <c r="F174" s="603" t="n">
        <v>17766</v>
      </c>
      <c r="G174" s="645" t="n">
        <v>43185</v>
      </c>
      <c r="H174" s="643" t="inlineStr">
        <is>
          <t>Oferta</t>
        </is>
      </c>
      <c r="I174" s="643" t="n"/>
      <c r="J174" s="643" t="n"/>
      <c r="K174" s="643" t="n"/>
      <c r="L174" s="603">
        <f>IF(H174="Oferta",F174*$F$229-(J174*K174),F174)</f>
        <v/>
      </c>
      <c r="M174" s="604">
        <f>L174/D174</f>
        <v/>
      </c>
      <c r="N174" s="649" t="inlineStr">
        <is>
          <t>https://www.portalinmobiliario.com/venta/industrial/paine-metropolitana/3884669-terreno-orilla-de-carretera-1-uda?tp=8&amp;op=1&amp;iug=308&amp;ca=3&amp;ts=1&amp;mn=2&amp;or=&amp;sf=1&amp;sp=0&amp;at=0&amp;i=10</t>
        </is>
      </c>
      <c r="O174" s="647" t="inlineStr">
        <is>
          <t>Agroindustrial, orilla de ruta 5 sur</t>
        </is>
      </c>
      <c r="P174" s="1315" t="n"/>
    </row>
    <row r="175" hidden="1" ht="41.1" customHeight="1">
      <c r="A175" s="642" t="inlineStr">
        <is>
          <t xml:space="preserve">Buin </t>
        </is>
      </c>
      <c r="B175" s="643" t="inlineStr">
        <is>
          <t>RM</t>
        </is>
      </c>
      <c r="C175" s="643" t="inlineStr">
        <is>
          <t>Buin</t>
        </is>
      </c>
      <c r="D175" s="595" t="n">
        <v>20000</v>
      </c>
      <c r="E175" s="644">
        <f>F175*$H$2/1000</f>
        <v/>
      </c>
      <c r="F175" s="603" t="n">
        <v>50000</v>
      </c>
      <c r="G175" s="645" t="n">
        <v>43474</v>
      </c>
      <c r="H175" s="643" t="inlineStr">
        <is>
          <t>Oferta</t>
        </is>
      </c>
      <c r="I175" s="643" t="n"/>
      <c r="J175" s="643" t="n"/>
      <c r="K175" s="643" t="n"/>
      <c r="L175" s="603">
        <f>IF(H175="Oferta",F175*$F$229-(J175*K175),F175)</f>
        <v/>
      </c>
      <c r="M175" s="604">
        <f>L175/D175</f>
        <v/>
      </c>
      <c r="N175" s="649" t="inlineStr">
        <is>
          <t>https://www.toctoc.com/propiedades/compracorredorasr/terreno/buin/industrial-comercial-o-residencial-20-000-mt2/1061852?o=mapa</t>
        </is>
      </c>
      <c r="O175" s="647" t="inlineStr">
        <is>
          <t>frente al colegio San Isidro, Strip Center y Condominio de casa.</t>
        </is>
      </c>
      <c r="P175" s="1315" t="n"/>
    </row>
    <row r="176" hidden="1" ht="41.1" customHeight="1">
      <c r="A176" s="642" t="inlineStr">
        <is>
          <t>Isla de Maipo</t>
        </is>
      </c>
      <c r="B176" s="643" t="inlineStr">
        <is>
          <t>RM</t>
        </is>
      </c>
      <c r="C176" s="643" t="inlineStr">
        <is>
          <t>Isla de Maipo</t>
        </is>
      </c>
      <c r="D176" s="595" t="n">
        <v>21000</v>
      </c>
      <c r="E176" s="644">
        <f>F176*$H$2/1000</f>
        <v/>
      </c>
      <c r="F176" s="603" t="n">
        <v>52000</v>
      </c>
      <c r="G176" s="645" t="n">
        <v>43419</v>
      </c>
      <c r="H176" s="643" t="inlineStr">
        <is>
          <t>Oferta</t>
        </is>
      </c>
      <c r="I176" s="643" t="n"/>
      <c r="J176" s="643" t="n"/>
      <c r="K176" s="643" t="n"/>
      <c r="L176" s="603">
        <f>IF(H176="Oferta",F176*$F$229-(J176*K176),F176)</f>
        <v/>
      </c>
      <c r="M176" s="604">
        <f>L176/D176</f>
        <v/>
      </c>
      <c r="N176" s="649" t="inlineStr">
        <is>
          <t>https://www.toctoc.com/propiedades/compracorredorasr/terreno/isla-de-maipo/terreno-urbano-isla-de-maipo/1115799?o=listado_caluga_info</t>
        </is>
      </c>
      <c r="O176" s="647" t="inlineStr">
        <is>
          <t>Terreno dentro de radio urbano, colindante con condominios.</t>
        </is>
      </c>
      <c r="P176" s="1315" t="n"/>
    </row>
    <row r="177" hidden="1" ht="41.1" customHeight="1">
      <c r="A177" s="642" t="inlineStr">
        <is>
          <t>La Islita</t>
        </is>
      </c>
      <c r="B177" s="643" t="inlineStr">
        <is>
          <t>RM</t>
        </is>
      </c>
      <c r="C177" s="643" t="inlineStr">
        <is>
          <t>Isla de Maipo</t>
        </is>
      </c>
      <c r="D177" s="595" t="n">
        <v>4000</v>
      </c>
      <c r="E177" s="644">
        <f>F177*$H$2/1000</f>
        <v/>
      </c>
      <c r="F177" s="603" t="n">
        <v>4200</v>
      </c>
      <c r="G177" s="645" t="n">
        <v>43767</v>
      </c>
      <c r="H177" s="643" t="inlineStr">
        <is>
          <t>Oferta</t>
        </is>
      </c>
      <c r="I177" s="643" t="n"/>
      <c r="J177" s="643" t="n"/>
      <c r="K177" s="643" t="n"/>
      <c r="L177" s="603">
        <f>IF(H177="Oferta",F177*$F$229-(J177*K177),F177)</f>
        <v/>
      </c>
      <c r="M177" s="604">
        <f>L177/D177</f>
        <v/>
      </c>
      <c r="N177" s="649" t="inlineStr">
        <is>
          <t>https://www.toctoc.com/propiedades/compracorredorasr/terreno/isla-de-maipo/oportunidad-terreno-urbano-para-loteo/1345413?o=mapa</t>
        </is>
      </c>
      <c r="O177" s="647" t="inlineStr">
        <is>
          <t>Terreno urbano de 21.5 metros de frente por 183 metros de fondo, ubicado en Gálvez, tranquila calle de Isla de Maipo. Cuenta con factibilidad de agua potable y luz eléctrica.</t>
        </is>
      </c>
      <c r="P177" s="1315" t="n"/>
    </row>
    <row r="178" hidden="1" ht="41.1" customHeight="1">
      <c r="A178" s="642" t="inlineStr">
        <is>
          <t>Isla de Maipo</t>
        </is>
      </c>
      <c r="B178" s="643" t="inlineStr">
        <is>
          <t>RM</t>
        </is>
      </c>
      <c r="C178" s="643" t="inlineStr">
        <is>
          <t>Isla de Maipo</t>
        </is>
      </c>
      <c r="D178" s="595" t="n">
        <v>8900</v>
      </c>
      <c r="E178" s="644">
        <f>F178*$H$2/1000</f>
        <v/>
      </c>
      <c r="F178" s="603" t="n">
        <v>10000</v>
      </c>
      <c r="G178" s="645" t="n">
        <v>43714</v>
      </c>
      <c r="H178" s="643" t="inlineStr">
        <is>
          <t>Oferta</t>
        </is>
      </c>
      <c r="I178" s="643" t="n"/>
      <c r="J178" s="643" t="n"/>
      <c r="K178" s="643" t="n"/>
      <c r="L178" s="603">
        <f>IF(H178="Oferta",F178*$F$229-(J178*K178),F178)</f>
        <v/>
      </c>
      <c r="M178" s="604">
        <f>L178/D178</f>
        <v/>
      </c>
      <c r="N178" s="649" t="inlineStr">
        <is>
          <t>https://www.toctoc.com/propiedades/compracorredorasr/terreno/isla-de-maipo/terreno-urbano-y-comercial-8-900-m2-isla-de-maipo/1311615?o=mapa</t>
        </is>
      </c>
      <c r="O178" s="647" t="inlineStr">
        <is>
          <t>Central, con casa de 120 m2, sitio urbano y comercial.</t>
        </is>
      </c>
      <c r="P178" s="1315" t="n"/>
    </row>
    <row r="179" hidden="1" ht="41.1" customHeight="1">
      <c r="A179" s="642" t="inlineStr">
        <is>
          <t>Callejón Lo Perez</t>
        </is>
      </c>
      <c r="B179" s="643" t="inlineStr">
        <is>
          <t>RM</t>
        </is>
      </c>
      <c r="C179" s="643" t="inlineStr">
        <is>
          <t>Isla de Maipo</t>
        </is>
      </c>
      <c r="D179" s="595" t="n">
        <v>20000</v>
      </c>
      <c r="E179" s="644">
        <f>F179*$H$2/1000</f>
        <v/>
      </c>
      <c r="F179" s="603" t="n">
        <v>50000</v>
      </c>
      <c r="G179" s="645" t="n">
        <v>43712</v>
      </c>
      <c r="H179" s="643" t="inlineStr">
        <is>
          <t>Oferta</t>
        </is>
      </c>
      <c r="I179" s="643" t="n"/>
      <c r="J179" s="643" t="n"/>
      <c r="K179" s="643" t="n"/>
      <c r="L179" s="603">
        <f>IF(H179="Oferta",F179*$F$229-(J179*K179),F179)</f>
        <v/>
      </c>
      <c r="M179" s="604">
        <f>L179/D179</f>
        <v/>
      </c>
      <c r="N179" s="649" t="inlineStr">
        <is>
          <t>https://www.toctoc.com/propiedades/compraparticularsr/terreno/isla-de-maipo/lo-perez-397-isla-de-maipo/1308341?o=listado_caluga_img</t>
        </is>
      </c>
      <c r="O179" s="647" t="inlineStr">
        <is>
          <t xml:space="preserve">propiedad emplazada en zona urbana, calle secundaria, tendido eléctrico aéreo, agua potable, alcantarillado.Ubicada en un sector en expansión con proyección inmobiliaria. </t>
        </is>
      </c>
      <c r="P179" s="1315" t="n"/>
    </row>
    <row r="180" hidden="1" ht="41.1" customHeight="1">
      <c r="A180" s="642" t="inlineStr">
        <is>
          <t>Peñaflor</t>
        </is>
      </c>
      <c r="B180" s="643" t="inlineStr">
        <is>
          <t>RM</t>
        </is>
      </c>
      <c r="C180" s="643" t="inlineStr">
        <is>
          <t>Peñaflor</t>
        </is>
      </c>
      <c r="D180" s="595" t="n">
        <v>43000</v>
      </c>
      <c r="E180" s="644">
        <f>F180*$H$2/1000</f>
        <v/>
      </c>
      <c r="F180" s="603" t="n">
        <v>51600</v>
      </c>
      <c r="G180" s="645" t="n">
        <v>43838</v>
      </c>
      <c r="H180" s="643" t="inlineStr">
        <is>
          <t>Oferta</t>
        </is>
      </c>
      <c r="I180" s="643" t="n"/>
      <c r="J180" s="643" t="n"/>
      <c r="K180" s="643" t="n"/>
      <c r="L180" s="603">
        <f>IF(H180="Oferta",F180*$F$229-(J180*K180),F180)</f>
        <v/>
      </c>
      <c r="M180" s="604">
        <f>L180/D180</f>
        <v/>
      </c>
      <c r="N180" s="649" t="inlineStr">
        <is>
          <t>https://www.toctoc.com/propiedades/compracorredorasr/terreno/penaflor/avenida-central-penaflor/1246888?o=mapa</t>
        </is>
      </c>
      <c r="O180" s="647" t="inlineStr">
        <is>
          <t>terreno  con acceso directo a avenida central de Peñaflor. Permitidas actividades comercial y agropecuarias.</t>
        </is>
      </c>
      <c r="P180" s="1315" t="n"/>
    </row>
    <row r="181" hidden="1" ht="41.1" customHeight="1">
      <c r="A181" s="642" t="inlineStr">
        <is>
          <t>Malloco</t>
        </is>
      </c>
      <c r="B181" s="643" t="inlineStr">
        <is>
          <t>RM</t>
        </is>
      </c>
      <c r="C181" s="643" t="inlineStr">
        <is>
          <t>Peñaflor</t>
        </is>
      </c>
      <c r="D181" s="595" t="n">
        <v>44000</v>
      </c>
      <c r="E181" s="644">
        <f>F181*$H$2/1000</f>
        <v/>
      </c>
      <c r="F181" s="603" t="n">
        <v>42960</v>
      </c>
      <c r="G181" s="645" t="n">
        <v>43580</v>
      </c>
      <c r="H181" s="643" t="inlineStr">
        <is>
          <t>Oferta</t>
        </is>
      </c>
      <c r="I181" s="643" t="n"/>
      <c r="J181" s="643" t="n"/>
      <c r="K181" s="643" t="n"/>
      <c r="L181" s="603">
        <f>IF(H181="Oferta",F181*$F$229-(J181*K181),F181)</f>
        <v/>
      </c>
      <c r="M181" s="604">
        <f>L181/D181</f>
        <v/>
      </c>
      <c r="N181" s="649" t="inlineStr">
        <is>
          <t>https://www.toctoc.com/propiedades/compracorredorasr/terreno/penaflor/terreno-agricola-en-malloco/1220744?o=mapa</t>
        </is>
      </c>
      <c r="O181" s="647" t="inlineStr">
        <is>
          <t>ideal para proyecto inmobiliario o comercial, aledaño condominio Algarrobal, cercano a colegio y centros comerciales, muy próximo a autopista del sol</t>
        </is>
      </c>
      <c r="P181" s="1315" t="n"/>
    </row>
    <row r="182" hidden="1" ht="41.1" customHeight="1">
      <c r="A182" s="642" t="inlineStr">
        <is>
          <t>Lo Chacón</t>
        </is>
      </c>
      <c r="B182" s="643" t="inlineStr">
        <is>
          <t>RM</t>
        </is>
      </c>
      <c r="C182" s="643" t="inlineStr">
        <is>
          <t>El Monte</t>
        </is>
      </c>
      <c r="D182" s="595" t="n">
        <v>17894</v>
      </c>
      <c r="E182" s="644">
        <f>F182*$H$2/1000</f>
        <v/>
      </c>
      <c r="F182" s="603" t="n">
        <v>35788</v>
      </c>
      <c r="G182" s="645" t="n">
        <v>43545</v>
      </c>
      <c r="H182" s="643" t="inlineStr">
        <is>
          <t>Oferta</t>
        </is>
      </c>
      <c r="I182" s="643" t="n"/>
      <c r="J182" s="643" t="n"/>
      <c r="K182" s="643" t="n"/>
      <c r="L182" s="603">
        <f>IF(H182="Oferta",F182*$F$229-(J182*K182),F182)</f>
        <v/>
      </c>
      <c r="M182" s="604">
        <f>L182/D182</f>
        <v/>
      </c>
      <c r="N182" s="649" t="inlineStr">
        <is>
          <t>https://www.toctoc.com/propiedades/compracorredorasr/terreno/el-monte/sector-lo-chacon-entre-el-monte-y-el-paico-antigua-montina/1198105?o=mapa</t>
        </is>
      </c>
      <c r="O182" s="647" t="inlineStr">
        <is>
          <t>gran frente a los libertadores, antiguo camino a la costa. Cercano a centro de el monte en sector de casas en condominio o conjuntos</t>
        </is>
      </c>
      <c r="P182" s="1315" t="n"/>
    </row>
    <row r="183" hidden="1" ht="41.1" customHeight="1">
      <c r="A183" s="642" t="inlineStr">
        <is>
          <t xml:space="preserve">El Monte </t>
        </is>
      </c>
      <c r="B183" s="643" t="inlineStr">
        <is>
          <t>RM</t>
        </is>
      </c>
      <c r="C183" s="643" t="inlineStr">
        <is>
          <t>El Monte</t>
        </is>
      </c>
      <c r="D183" s="595" t="n">
        <v>31930</v>
      </c>
      <c r="E183" s="644">
        <f>F183*$H$2/1000</f>
        <v/>
      </c>
      <c r="F183" s="603" t="n">
        <v>42159</v>
      </c>
      <c r="G183" s="645" t="n">
        <v>43539</v>
      </c>
      <c r="H183" s="643" t="inlineStr">
        <is>
          <t>Oferta</t>
        </is>
      </c>
      <c r="I183" s="643" t="n"/>
      <c r="J183" s="643" t="n"/>
      <c r="K183" s="643" t="n"/>
      <c r="L183" s="603">
        <f>IF(H183="Oferta",F183*$F$229-(J183*K183),F183)</f>
        <v/>
      </c>
      <c r="M183" s="604">
        <f>L183/D183</f>
        <v/>
      </c>
      <c r="N183" s="649" t="inlineStr">
        <is>
          <t>https://www.toctoc.com/propiedades/compraparticularsr/terreno/el-monte/terreno-urbano-en-el-monte/1194436?o=mapa</t>
        </is>
      </c>
      <c r="O183" s="647" t="inlineStr">
        <is>
          <t>erreno central, acceso a dos calles, red eléctrica, agua, alcantarillado, calles circundantes asfaltadas, uso comercial y habitacional, derechos de agua, subdivisión en varios lotes aprobada por la DOM</t>
        </is>
      </c>
      <c r="P183" s="1315" t="n"/>
    </row>
    <row r="184" hidden="1" ht="41.1" customHeight="1">
      <c r="A184" s="642" t="inlineStr">
        <is>
          <t xml:space="preserve">El Monte </t>
        </is>
      </c>
      <c r="B184" s="643" t="inlineStr">
        <is>
          <t>RM</t>
        </is>
      </c>
      <c r="C184" s="643" t="inlineStr">
        <is>
          <t>El Monte</t>
        </is>
      </c>
      <c r="D184" s="595" t="n">
        <v>15876</v>
      </c>
      <c r="E184" s="644">
        <f>F184*$H$2/1000</f>
        <v/>
      </c>
      <c r="F184" s="603" t="n">
        <v>18795.89</v>
      </c>
      <c r="G184" s="645" t="n">
        <v>43937</v>
      </c>
      <c r="H184" s="643" t="inlineStr">
        <is>
          <t>Oferta</t>
        </is>
      </c>
      <c r="I184" s="643" t="n"/>
      <c r="J184" s="643" t="n"/>
      <c r="K184" s="643" t="n"/>
      <c r="L184" s="603">
        <f>IF(H184="Oferta",F184*$F$229-(J184*K184),F184)</f>
        <v/>
      </c>
      <c r="M184" s="604">
        <f>L184/D184</f>
        <v/>
      </c>
      <c r="N184" s="649" t="inlineStr">
        <is>
          <t>https://www.toctoc.com/propiedades/compraparticularsr/terreno/el-monte/atencion-inmobiliarias-terreno-en-comuna-el-monte-15-876m2/1461196?o=listado_caluga_img</t>
        </is>
      </c>
      <c r="O184" s="647" t="inlineStr">
        <is>
          <t>Propiedad ubicada en calle principal, cercana a locomoción colectiva y centro comercial.</t>
        </is>
      </c>
      <c r="P184" s="1315" t="n"/>
    </row>
    <row r="185" hidden="1" ht="41.1" customHeight="1">
      <c r="A185" s="642" t="inlineStr">
        <is>
          <t>Ruta 5</t>
        </is>
      </c>
      <c r="B185" s="643" t="inlineStr">
        <is>
          <t>VII</t>
        </is>
      </c>
      <c r="C185" s="643" t="inlineStr">
        <is>
          <t>Linares</t>
        </is>
      </c>
      <c r="D185" s="595" t="n">
        <v>10000</v>
      </c>
      <c r="E185" s="644">
        <f>F185*$H$2/1000</f>
        <v/>
      </c>
      <c r="F185" s="603" t="n">
        <v>18403</v>
      </c>
      <c r="G185" s="645" t="n">
        <v>43763</v>
      </c>
      <c r="H185" s="643" t="inlineStr">
        <is>
          <t>Oferta</t>
        </is>
      </c>
      <c r="I185" s="643" t="n"/>
      <c r="J185" s="651" t="n">
        <v>0</v>
      </c>
      <c r="K185" s="643" t="n"/>
      <c r="L185" s="603">
        <f>IF(H185="Oferta",F185*$F$229-(J185*K185),F185)</f>
        <v/>
      </c>
      <c r="M185" s="604">
        <f>L185/D185</f>
        <v/>
      </c>
      <c r="N185" s="649" t="inlineStr">
        <is>
          <t>https://www.toctoc.com/propiedades/compracorredorasr/terrenoindustrial/linares/leon-bustos-ruta-5/1343444?o=listado_caluga_img</t>
        </is>
      </c>
      <c r="O185" s="647" t="inlineStr">
        <is>
          <t>Oficinas administrativas, recepcion de materias primas, bodegas, servicios higiénicos, Casino ademas cuenta con acceso para camiones.</t>
        </is>
      </c>
      <c r="P185" s="1315" t="n"/>
    </row>
    <row r="186" hidden="1" ht="41.1" customHeight="1">
      <c r="A186" s="601" t="inlineStr">
        <is>
          <t>Frenta a Ruta 5 Sur, Km 267</t>
        </is>
      </c>
      <c r="B186" s="957" t="inlineStr">
        <is>
          <t>VII</t>
        </is>
      </c>
      <c r="C186" s="957" t="inlineStr">
        <is>
          <t>Talca</t>
        </is>
      </c>
      <c r="D186" s="958" t="n">
        <v>54497</v>
      </c>
      <c r="E186" s="959">
        <f>F186*$H$2/1000</f>
        <v/>
      </c>
      <c r="F186" s="602">
        <f>D186*1.1</f>
        <v/>
      </c>
      <c r="G186" s="960" t="n">
        <v>45858</v>
      </c>
      <c r="H186" s="957" t="inlineStr">
        <is>
          <t>Oferta</t>
        </is>
      </c>
      <c r="I186" s="957" t="n"/>
      <c r="J186" s="991" t="n">
        <v>0</v>
      </c>
      <c r="K186" s="991" t="n"/>
      <c r="L186" s="602">
        <f>IF(H186="Oferta",F186*$F$229-(J186*K186),F186)</f>
        <v/>
      </c>
      <c r="M186" s="629">
        <f>L186/D186</f>
        <v/>
      </c>
      <c r="N186" s="652" t="inlineStr">
        <is>
          <t>https://tattersallgda.cl/lots/21461</t>
        </is>
      </c>
      <c r="O186" s="606" t="inlineStr">
        <is>
          <t>frente a la Ruta 5 Sur entre la ciudad de Talca y la comuna de Maule en el kilometro 267,se emplaza en un sector industrial</t>
        </is>
      </c>
      <c r="P186" s="1315" t="n"/>
    </row>
    <row r="187" hidden="1" ht="41.1" customHeight="1">
      <c r="A187" s="601" t="inlineStr">
        <is>
          <t>Ruta 5 Sur, Km 267 interior</t>
        </is>
      </c>
      <c r="B187" s="957" t="inlineStr">
        <is>
          <t>VII</t>
        </is>
      </c>
      <c r="C187" s="957" t="inlineStr">
        <is>
          <t>Talca</t>
        </is>
      </c>
      <c r="D187" s="958" t="n">
        <v>15153</v>
      </c>
      <c r="E187" s="959">
        <f>F187*$H$2/1000</f>
        <v/>
      </c>
      <c r="F187" s="602" t="n">
        <v>16668</v>
      </c>
      <c r="G187" s="960" t="n">
        <v>45858</v>
      </c>
      <c r="H187" s="957" t="inlineStr">
        <is>
          <t>Oferta</t>
        </is>
      </c>
      <c r="I187" s="957" t="n"/>
      <c r="J187" s="991" t="n">
        <v>0</v>
      </c>
      <c r="K187" s="991" t="n"/>
      <c r="L187" s="602">
        <f>IF(H187="Oferta",F187*$F$229-(J187*K187),F187)</f>
        <v/>
      </c>
      <c r="M187" s="629">
        <f>L187/D187</f>
        <v/>
      </c>
      <c r="N187" s="652" t="inlineStr">
        <is>
          <t>https://tattersallgda.cl/lots/9540</t>
        </is>
      </c>
      <c r="O187" s="606" t="inlineStr">
        <is>
          <t>Lote 16C le da acceso por servidumbre, conecta con Ruta 5 Sur</t>
        </is>
      </c>
      <c r="P187" s="1315" t="n"/>
    </row>
    <row r="188" hidden="1" ht="41.1" customHeight="1">
      <c r="A188" s="601" t="inlineStr">
        <is>
          <t>Ruta 5 Sur, Km 267 interior</t>
        </is>
      </c>
      <c r="B188" s="957" t="inlineStr">
        <is>
          <t>VII</t>
        </is>
      </c>
      <c r="C188" s="957" t="inlineStr">
        <is>
          <t>Talca</t>
        </is>
      </c>
      <c r="D188" s="958" t="n">
        <v>19859</v>
      </c>
      <c r="E188" s="959">
        <f>F188*$H$2/1000</f>
        <v/>
      </c>
      <c r="F188" s="602" t="n">
        <v>21845</v>
      </c>
      <c r="G188" s="960" t="n">
        <v>45858</v>
      </c>
      <c r="H188" s="957" t="inlineStr">
        <is>
          <t>Oferta</t>
        </is>
      </c>
      <c r="I188" s="957" t="n"/>
      <c r="J188" s="991" t="n">
        <v>0</v>
      </c>
      <c r="K188" s="991" t="n"/>
      <c r="L188" s="602">
        <f>IF(H188="Oferta",F188*$F$229-(J188*K188),F188)</f>
        <v/>
      </c>
      <c r="M188" s="629">
        <f>L188/D188</f>
        <v/>
      </c>
      <c r="N188" s="652" t="inlineStr">
        <is>
          <t>https://tattersallgda.cl/lots/9539</t>
        </is>
      </c>
      <c r="O188" s="606" t="inlineStr">
        <is>
          <t>acceso por servidumbre, ubicada en sector rural, sin cambio de uso suelos, entorno uso industrial</t>
        </is>
      </c>
      <c r="P188" s="1315" t="n"/>
    </row>
    <row r="189" hidden="1" ht="41.1" customHeight="1">
      <c r="A189" s="601" t="inlineStr">
        <is>
          <t>Frenta a Ruta 5 Sur, Km 267</t>
        </is>
      </c>
      <c r="B189" s="957" t="inlineStr">
        <is>
          <t>VII</t>
        </is>
      </c>
      <c r="C189" s="957" t="inlineStr">
        <is>
          <t>Talca</t>
        </is>
      </c>
      <c r="D189" s="958" t="n">
        <v>19484</v>
      </c>
      <c r="E189" s="959">
        <f>F189*$H$2/1000</f>
        <v/>
      </c>
      <c r="F189" s="602" t="n">
        <v>21432</v>
      </c>
      <c r="G189" s="960" t="n">
        <v>45858</v>
      </c>
      <c r="H189" s="957" t="inlineStr">
        <is>
          <t>Oferta</t>
        </is>
      </c>
      <c r="I189" s="957" t="n"/>
      <c r="J189" s="991" t="n">
        <v>0</v>
      </c>
      <c r="K189" s="991" t="n"/>
      <c r="L189" s="602">
        <f>IF(H189="Oferta",F189*$F$229-(J189*K189),F189)</f>
        <v/>
      </c>
      <c r="M189" s="629">
        <f>L189/D189</f>
        <v/>
      </c>
      <c r="N189" s="652" t="inlineStr">
        <is>
          <t>https://tattersallgda.cl/lots/9538</t>
        </is>
      </c>
      <c r="O189" s="606" t="inlineStr">
        <is>
          <t>terreno industrial, frente a Ruta 5 Sur</t>
        </is>
      </c>
      <c r="P189" s="1315" t="n"/>
    </row>
    <row r="190" hidden="1" ht="41.1" customHeight="1">
      <c r="A190" s="601" t="inlineStr">
        <is>
          <t>Propiedad industrial, Ruta 5 Km 335</t>
        </is>
      </c>
      <c r="B190" s="957" t="inlineStr">
        <is>
          <t>VII</t>
        </is>
      </c>
      <c r="C190" s="957" t="inlineStr">
        <is>
          <t>Retiro</t>
        </is>
      </c>
      <c r="D190" s="958" t="n">
        <v>10000</v>
      </c>
      <c r="E190" s="959">
        <f>F190*H2/1000</f>
        <v/>
      </c>
      <c r="F190" s="602" t="n">
        <v>43026</v>
      </c>
      <c r="G190" s="960" t="n">
        <v>45858</v>
      </c>
      <c r="H190" s="957" t="inlineStr">
        <is>
          <t>Oferta</t>
        </is>
      </c>
      <c r="I190" s="957" t="n"/>
      <c r="J190" s="991" t="n">
        <v>3307</v>
      </c>
      <c r="K190" s="991" t="n">
        <v>6</v>
      </c>
      <c r="L190" s="602">
        <f>IF(H190="Oferta",F190*$F$229-(J190*K190),F190)</f>
        <v/>
      </c>
      <c r="M190" s="629">
        <f>L190/D190</f>
        <v/>
      </c>
      <c r="N190" s="652" t="inlineStr">
        <is>
          <t>https://tattersallgda.cl/lots/31183</t>
        </is>
      </c>
      <c r="O190" s="606" t="inlineStr">
        <is>
          <t>oficinas, packing, baños entre otras construcciones</t>
        </is>
      </c>
      <c r="P190" s="1315" t="n"/>
    </row>
    <row r="191" hidden="1" ht="41.1" customHeight="1">
      <c r="A191" s="601" t="inlineStr">
        <is>
          <t>Terreno en Panguilemo</t>
        </is>
      </c>
      <c r="B191" s="957" t="inlineStr">
        <is>
          <t>VII</t>
        </is>
      </c>
      <c r="C191" s="957" t="inlineStr">
        <is>
          <t>Talca</t>
        </is>
      </c>
      <c r="D191" s="958" t="n">
        <v>5000</v>
      </c>
      <c r="E191" s="959" t="n">
        <v>140000</v>
      </c>
      <c r="F191" s="602">
        <f>E191*1000/H2</f>
        <v/>
      </c>
      <c r="G191" s="960" t="n">
        <v>45858</v>
      </c>
      <c r="H191" s="957" t="inlineStr">
        <is>
          <t>Oferta</t>
        </is>
      </c>
      <c r="I191" s="957" t="n"/>
      <c r="J191" s="991" t="n">
        <v>0</v>
      </c>
      <c r="K191" s="991" t="n"/>
      <c r="L191" s="602">
        <f>IF(H191="Oferta",F191*$F$229-(J191*K191),F191)</f>
        <v/>
      </c>
      <c r="M191" s="629">
        <f>L191/D191</f>
        <v/>
      </c>
      <c r="N191" s="652" t="inlineStr">
        <is>
          <t>https://www.economicos.cl/propiedades/se-vende-o-arrienda-terreno-talca-codAAUYW2I.html</t>
        </is>
      </c>
      <c r="O191" s="606" t="inlineStr">
        <is>
          <t>terreno rural sin construcciones , acceso por caletera</t>
        </is>
      </c>
      <c r="P191" s="1315" t="n"/>
    </row>
    <row r="192" hidden="1" ht="41.1" customHeight="1">
      <c r="A192" s="601" t="inlineStr">
        <is>
          <t>Terreno industrial</t>
        </is>
      </c>
      <c r="B192" s="957" t="inlineStr">
        <is>
          <t>VII</t>
        </is>
      </c>
      <c r="C192" s="957" t="inlineStr">
        <is>
          <t>Curicó</t>
        </is>
      </c>
      <c r="D192" s="958" t="n">
        <v>52800</v>
      </c>
      <c r="E192" s="959">
        <f>F192*H2/1000</f>
        <v/>
      </c>
      <c r="F192" s="602" t="n">
        <v>70000</v>
      </c>
      <c r="G192" s="960" t="n">
        <v>45715</v>
      </c>
      <c r="H192" s="957" t="inlineStr">
        <is>
          <t>Oferta</t>
        </is>
      </c>
      <c r="I192" s="957" t="n"/>
      <c r="J192" s="991" t="n">
        <v>0</v>
      </c>
      <c r="K192" s="991" t="n">
        <v>0</v>
      </c>
      <c r="L192" s="602">
        <f>IF(H192="Oferta",F192*$F$229-(J192*K192),F192)</f>
        <v/>
      </c>
      <c r="M192" s="629">
        <f>L192/D192</f>
        <v/>
      </c>
      <c r="N192" s="652" t="inlineStr">
        <is>
          <t>https://www.toctoc.com/propiedades/compracorredorasr/terrenoindustrial/curico/industrial-en-venta-en-ruta-5-sur-curico/3734784</t>
        </is>
      </c>
      <c r="O192" s="606" t="inlineStr">
        <is>
          <t>con acceso directo a través de la Ruta 5 sur, cercano a   supermercados, colegios y centros de salud.</t>
        </is>
      </c>
      <c r="P192" s="1315" t="n"/>
    </row>
    <row r="193" hidden="1" ht="41.1" customHeight="1">
      <c r="A193" s="601" t="inlineStr">
        <is>
          <t>Km 182 Ruta 5 Sur</t>
        </is>
      </c>
      <c r="B193" s="957" t="inlineStr">
        <is>
          <t>VII</t>
        </is>
      </c>
      <c r="C193" s="957" t="inlineStr">
        <is>
          <t>Romeral</t>
        </is>
      </c>
      <c r="D193" s="958">
        <f>40000</f>
        <v/>
      </c>
      <c r="E193" s="959">
        <f>F193*H2/1000</f>
        <v/>
      </c>
      <c r="F193" s="602">
        <f>1.8*D193</f>
        <v/>
      </c>
      <c r="G193" s="960" t="n">
        <v>45701</v>
      </c>
      <c r="H193" s="957" t="inlineStr">
        <is>
          <t>Oferta</t>
        </is>
      </c>
      <c r="I193" s="957" t="n"/>
      <c r="J193" s="991" t="n">
        <v>440</v>
      </c>
      <c r="K193" s="991" t="n">
        <v>14</v>
      </c>
      <c r="L193" s="602">
        <f>IF(H193="Oferta",F193*$F$229-(J193*K193),F193)</f>
        <v/>
      </c>
      <c r="M193" s="629">
        <f>L193/D193</f>
        <v/>
      </c>
      <c r="N193" s="652" t="inlineStr">
        <is>
          <t>https://www.toctoc.com/propiedades/compracorredorasr/terrenoindustrial/romeral/terreno-industrial-en-venta-en-romeral/3543351</t>
        </is>
      </c>
      <c r="O193" s="606" t="inlineStr">
        <is>
          <t xml:space="preserve"> terreno, rectangular y plano, a orilla de carretera, casa de 440 m2</t>
        </is>
      </c>
      <c r="P193" s="1315" t="n"/>
    </row>
    <row r="194" hidden="1" ht="41.1" customHeight="1">
      <c r="A194" s="601" t="inlineStr">
        <is>
          <t>Ruta 5 Sur, zona ZI</t>
        </is>
      </c>
      <c r="B194" s="957" t="inlineStr">
        <is>
          <t>VII</t>
        </is>
      </c>
      <c r="C194" s="957" t="inlineStr">
        <is>
          <t>Romeral</t>
        </is>
      </c>
      <c r="D194" s="958" t="n">
        <v>52375</v>
      </c>
      <c r="E194" s="959">
        <f>F194*$H$2/1000</f>
        <v/>
      </c>
      <c r="F194" s="602" t="n">
        <v>73325</v>
      </c>
      <c r="G194" s="960" t="n">
        <v>45814</v>
      </c>
      <c r="H194" s="957" t="inlineStr">
        <is>
          <t>Oferta</t>
        </is>
      </c>
      <c r="I194" s="957" t="n"/>
      <c r="J194" s="991" t="n">
        <v>0</v>
      </c>
      <c r="K194" s="991" t="n">
        <v>0</v>
      </c>
      <c r="L194" s="602">
        <f>IF(H194="Oferta",F194*$F$229-(J194*K194),F194)</f>
        <v/>
      </c>
      <c r="M194" s="629">
        <f>L194/D194</f>
        <v/>
      </c>
      <c r="N194" s="652" t="inlineStr">
        <is>
          <t>https://www.toctoc.com/propiedades/compracorredorasr/terrenoindustrial/curico/sector-cruce-romeral/3657157</t>
        </is>
      </c>
      <c r="O194" s="606" t="inlineStr">
        <is>
          <t>Zona industrial, subidivisión mínima 700 m2 y coeficiente de constructibilidad 1,3</t>
        </is>
      </c>
      <c r="P194" s="1315" t="n"/>
    </row>
    <row r="195" hidden="1" ht="41.1" customHeight="1">
      <c r="A195" s="601" t="inlineStr">
        <is>
          <t>Terreno industrial</t>
        </is>
      </c>
      <c r="B195" s="957" t="inlineStr">
        <is>
          <t>VII</t>
        </is>
      </c>
      <c r="C195" s="957" t="inlineStr">
        <is>
          <t>Linares</t>
        </is>
      </c>
      <c r="D195" s="958" t="n">
        <v>9960</v>
      </c>
      <c r="E195" s="959">
        <f>F195*$H$2/1000</f>
        <v/>
      </c>
      <c r="F195" s="602" t="n">
        <v>27000</v>
      </c>
      <c r="G195" s="960" t="n">
        <v>45866</v>
      </c>
      <c r="H195" s="957" t="inlineStr">
        <is>
          <t>Oferta</t>
        </is>
      </c>
      <c r="I195" s="957" t="n"/>
      <c r="J195" s="991" t="n">
        <v>0</v>
      </c>
      <c r="K195" s="991" t="n">
        <v>0</v>
      </c>
      <c r="L195" s="602">
        <f>IF(H195="Oferta",F195*$F$229-(J195*K195),F195)</f>
        <v/>
      </c>
      <c r="M195" s="629">
        <f>L195/D195</f>
        <v/>
      </c>
      <c r="N195" s="652" t="inlineStr">
        <is>
          <t>https://www.toctoc.com/propiedades/compracorredorasr/terrenoindustrial/linares/terreno-industrial-en-venta-por-entrada-de-linares/3901135</t>
        </is>
      </c>
      <c r="O195" s="606" t="inlineStr">
        <is>
          <t>ubicado en calle Anibal  León, entrada a Linares</t>
        </is>
      </c>
      <c r="P195" s="1315" t="n"/>
    </row>
    <row r="196" hidden="1" ht="41.1" customHeight="1">
      <c r="A196" s="601" t="inlineStr">
        <is>
          <t>Terreno industrial, acceso por caletera Ruta 5 Sur</t>
        </is>
      </c>
      <c r="B196" s="957" t="inlineStr">
        <is>
          <t>VII</t>
        </is>
      </c>
      <c r="C196" s="957" t="inlineStr">
        <is>
          <t>Curicó</t>
        </is>
      </c>
      <c r="D196" s="958" t="n">
        <v>102600</v>
      </c>
      <c r="E196" s="959">
        <f>F196*$H$2/1000</f>
        <v/>
      </c>
      <c r="F196" s="602" t="n">
        <v>102600</v>
      </c>
      <c r="G196" s="960" t="n">
        <v>45783</v>
      </c>
      <c r="H196" s="957" t="inlineStr">
        <is>
          <t>Oferta</t>
        </is>
      </c>
      <c r="I196" s="957" t="n"/>
      <c r="J196" s="991" t="n">
        <v>0</v>
      </c>
      <c r="K196" s="991" t="n">
        <v>0</v>
      </c>
      <c r="L196" s="602">
        <f>IF(H196="Oferta",F196*$F$229-(J196*K196),F196)</f>
        <v/>
      </c>
      <c r="M196" s="629">
        <f>L196/D196</f>
        <v/>
      </c>
      <c r="N196" s="652" t="inlineStr">
        <is>
          <t>https://www.toctoc.com/propiedades/compracorredorasr/terrenoindustrial/curico/industrial-en-venta-en-curico/3390651</t>
        </is>
      </c>
      <c r="O196" s="606" t="inlineStr">
        <is>
          <t>acceso por cruce Sarmiento, terreno plano, industrial</t>
        </is>
      </c>
      <c r="P196" s="1315" t="n"/>
    </row>
    <row r="197" hidden="1" ht="41.1" customHeight="1">
      <c r="A197" s="601" t="inlineStr">
        <is>
          <t>Entrada Sur Talca</t>
        </is>
      </c>
      <c r="B197" s="957" t="inlineStr">
        <is>
          <t>VII</t>
        </is>
      </c>
      <c r="C197" s="957" t="inlineStr">
        <is>
          <t>Talca</t>
        </is>
      </c>
      <c r="D197" s="958" t="n">
        <v>12900</v>
      </c>
      <c r="E197" s="959">
        <f>F197*$H$2/1000</f>
        <v/>
      </c>
      <c r="F197" s="602" t="n">
        <v>7758.25</v>
      </c>
      <c r="G197" s="960" t="n">
        <v>45839</v>
      </c>
      <c r="H197" s="957" t="inlineStr">
        <is>
          <t>Oferta</t>
        </is>
      </c>
      <c r="I197" s="957" t="n"/>
      <c r="J197" s="991" t="n">
        <v>0</v>
      </c>
      <c r="K197" s="991" t="n">
        <v>0</v>
      </c>
      <c r="L197" s="602">
        <f>IF(H197="Oferta",F197*$F$229-(J197*K197),F197)</f>
        <v/>
      </c>
      <c r="M197" s="629">
        <f>L197/D197</f>
        <v/>
      </c>
      <c r="N197" s="652" t="inlineStr">
        <is>
          <t>https://www.toctoc.com/propiedades/compracorredorasr/terrenoindustrial/maule/industrial-propiedad-de-1-29-has-entrada-sur-talca/3872742</t>
        </is>
      </c>
      <c r="O197" s="606" t="inlineStr">
        <is>
          <t>Propiedad Comercial Industrial,  frente camino pavimentado K-630</t>
        </is>
      </c>
      <c r="P197" s="1315" t="n"/>
    </row>
    <row r="198" hidden="1" ht="41.1" customHeight="1">
      <c r="A198" s="601" t="inlineStr">
        <is>
          <t>A 4 Km de Ruta 5</t>
        </is>
      </c>
      <c r="B198" s="957" t="inlineStr">
        <is>
          <t>VII</t>
        </is>
      </c>
      <c r="C198" s="957" t="inlineStr">
        <is>
          <t>Romeral</t>
        </is>
      </c>
      <c r="D198" s="958" t="n">
        <v>16000</v>
      </c>
      <c r="E198" s="959">
        <f>F198*$H$2/1000</f>
        <v/>
      </c>
      <c r="F198" s="602" t="n">
        <v>7656</v>
      </c>
      <c r="G198" s="960" t="n">
        <v>45491</v>
      </c>
      <c r="H198" s="957" t="inlineStr">
        <is>
          <t>Oferta</t>
        </is>
      </c>
      <c r="I198" s="957" t="n"/>
      <c r="J198" s="991" t="n">
        <v>0</v>
      </c>
      <c r="K198" s="991" t="n">
        <v>0</v>
      </c>
      <c r="L198" s="602">
        <f>IF(H198="Oferta",F198*$F$229-(J198*K198),F198)</f>
        <v/>
      </c>
      <c r="M198" s="629">
        <f>L198/D198</f>
        <v/>
      </c>
      <c r="N198" s="652" t="inlineStr">
        <is>
          <t>https://www.toctoc.com/propiedades/compracorredorasr/terrenoindustrial/romeral/terreno-industrial-en-venta-en-romeral/3390847</t>
        </is>
      </c>
      <c r="O198" s="606" t="inlineStr">
        <is>
          <t>terreno plano, compactado, con cerco perimetral y servicios básicos</t>
        </is>
      </c>
      <c r="P198" s="1315" t="n"/>
    </row>
    <row r="199" hidden="1" ht="41.1" customHeight="1">
      <c r="A199" s="601" t="inlineStr">
        <is>
          <t>Orilla de Ruta 5 Sur</t>
        </is>
      </c>
      <c r="B199" s="957" t="inlineStr">
        <is>
          <t>VII</t>
        </is>
      </c>
      <c r="C199" s="957" t="inlineStr">
        <is>
          <t>Curicó</t>
        </is>
      </c>
      <c r="D199" s="958" t="n">
        <v>25000</v>
      </c>
      <c r="E199" s="959">
        <f>F199*$H$2/1000</f>
        <v/>
      </c>
      <c r="F199" s="602" t="n">
        <v>42500</v>
      </c>
      <c r="G199" s="960" t="n">
        <v>45491</v>
      </c>
      <c r="H199" s="957" t="inlineStr">
        <is>
          <t>Oferta</t>
        </is>
      </c>
      <c r="I199" s="957" t="n"/>
      <c r="J199" s="991" t="n">
        <v>0</v>
      </c>
      <c r="K199" s="991" t="n">
        <v>0</v>
      </c>
      <c r="L199" s="602">
        <f>IF(H199="Oferta",F199*$F$229-(J199*K199),F199)</f>
        <v/>
      </c>
      <c r="M199" s="629">
        <f>L199/D199</f>
        <v/>
      </c>
      <c r="N199" s="652" t="inlineStr">
        <is>
          <t>https://www.toctoc.com/propiedades/compracorredorasr/terrenoindustrial/curico/industrial-en-venta-en-curico-orilla-5-sur/3390649</t>
        </is>
      </c>
      <c r="O199" s="606" t="inlineStr">
        <is>
          <t>plano, con cercos y servicios, frente a Ruta 5 Sur</t>
        </is>
      </c>
      <c r="P199" s="1315" t="n"/>
    </row>
    <row r="200" hidden="1" ht="41.1" customHeight="1">
      <c r="A200" s="601" t="inlineStr">
        <is>
          <t>Terreno industrial</t>
        </is>
      </c>
      <c r="B200" s="957" t="inlineStr">
        <is>
          <t>VII</t>
        </is>
      </c>
      <c r="C200" s="957" t="inlineStr">
        <is>
          <t>Talca</t>
        </is>
      </c>
      <c r="D200" s="958" t="n">
        <v>40500</v>
      </c>
      <c r="E200" s="959">
        <f>F200*$H$2/1000</f>
        <v/>
      </c>
      <c r="F200" s="602" t="n">
        <v>54000</v>
      </c>
      <c r="G200" s="960" t="n">
        <v>45491</v>
      </c>
      <c r="H200" s="957" t="inlineStr">
        <is>
          <t>Oferta</t>
        </is>
      </c>
      <c r="I200" s="957" t="n"/>
      <c r="J200" s="991" t="n">
        <v>0</v>
      </c>
      <c r="K200" s="991" t="n">
        <v>0</v>
      </c>
      <c r="L200" s="602">
        <f>IF(H200="Oferta",F200*$F$229-(J200*K200),F200)</f>
        <v/>
      </c>
      <c r="M200" s="629">
        <f>L200/D200</f>
        <v/>
      </c>
      <c r="N200" s="652" t="inlineStr">
        <is>
          <t>https://www.toctoc.com/propiedades/compracorredorasr/terrenoindustrial/talca/se-vende-terreno-industrial-en-talca/3390445</t>
        </is>
      </c>
      <c r="O200" s="606" t="inlineStr">
        <is>
          <t xml:space="preserve">camino a San Clemente, orilla carretera, </t>
        </is>
      </c>
      <c r="P200" s="1315" t="n"/>
    </row>
    <row r="201" hidden="1" ht="41.1" customHeight="1">
      <c r="A201" s="601" t="inlineStr">
        <is>
          <t>Terreno urbano, acceso Lircay, orilla Ruta 5 Sur</t>
        </is>
      </c>
      <c r="B201" s="957" t="inlineStr">
        <is>
          <t>VII</t>
        </is>
      </c>
      <c r="C201" s="957" t="inlineStr">
        <is>
          <t>Talca</t>
        </is>
      </c>
      <c r="D201" s="958" t="n">
        <v>113200</v>
      </c>
      <c r="E201" s="959">
        <f>F201*H2/1000</f>
        <v/>
      </c>
      <c r="F201" s="602" t="n">
        <v>113200</v>
      </c>
      <c r="G201" s="960" t="n">
        <v>45858</v>
      </c>
      <c r="H201" s="957" t="inlineStr">
        <is>
          <t>Oferta</t>
        </is>
      </c>
      <c r="I201" s="957" t="n"/>
      <c r="J201" s="991" t="n">
        <v>0</v>
      </c>
      <c r="K201" s="991" t="n"/>
      <c r="L201" s="602">
        <f>IF(H201="Oferta",F201*$F$229-(J201*K201),F201)</f>
        <v/>
      </c>
      <c r="M201" s="629">
        <f>L201/D201</f>
        <v/>
      </c>
      <c r="N201" s="652" t="inlineStr">
        <is>
          <t>https://www.economicos.cl/propiedades/terreno-en-talca-codAAUW4SA.html</t>
        </is>
      </c>
      <c r="O201" s="606" t="inlineStr">
        <is>
          <t>acceso Lircay, terreno urbano de 11,32 hectáreas, ideal para proyecto inmobiliario, zona en expansión y con crecimiento habitacional</t>
        </is>
      </c>
      <c r="P201" s="1315" t="n"/>
    </row>
    <row r="202" hidden="1" ht="41.1" customHeight="1">
      <c r="A202" s="601" t="n"/>
      <c r="B202" s="957" t="n"/>
      <c r="C202" s="957" t="n"/>
      <c r="D202" s="958" t="n"/>
      <c r="E202" s="959" t="n"/>
      <c r="F202" s="602" t="n"/>
      <c r="G202" s="960" t="n"/>
      <c r="H202" s="957" t="n"/>
      <c r="I202" s="957" t="n"/>
      <c r="J202" s="991" t="n"/>
      <c r="K202" s="991" t="n"/>
      <c r="L202" s="602" t="n"/>
      <c r="M202" s="629" t="n"/>
      <c r="N202" s="992" t="n"/>
      <c r="O202" s="606" t="n"/>
      <c r="P202" s="1315" t="n"/>
    </row>
    <row r="203" hidden="1" ht="41.1" customHeight="1">
      <c r="A203" s="642" t="inlineStr">
        <is>
          <t>Ruta 5 , km 305, Linares</t>
        </is>
      </c>
      <c r="B203" s="643" t="inlineStr">
        <is>
          <t>VII</t>
        </is>
      </c>
      <c r="C203" s="643" t="inlineStr">
        <is>
          <t>Linares</t>
        </is>
      </c>
      <c r="D203" s="595" t="n">
        <v>66000</v>
      </c>
      <c r="E203" s="644">
        <f>F203*$H$2/1000</f>
        <v/>
      </c>
      <c r="F203" s="603" t="n">
        <v>17462</v>
      </c>
      <c r="G203" s="645" t="n">
        <v>43871</v>
      </c>
      <c r="H203" s="643" t="inlineStr">
        <is>
          <t>Oferta</t>
        </is>
      </c>
      <c r="I203" s="643" t="n"/>
      <c r="J203" s="651" t="n"/>
      <c r="K203" s="651" t="n"/>
      <c r="L203" s="603">
        <f>IF(H203="Oferta",F203*$F$229-(J203*K203),F203)</f>
        <v/>
      </c>
      <c r="M203" s="604">
        <f>L203/D203</f>
        <v/>
      </c>
      <c r="N203" s="649" t="inlineStr">
        <is>
          <t>https://www.toctoc.com/propiedades/compracorredorasr/terrenoindustrial/linares/km-305-ruta-5-sur-salida-a-linares-vereda-oriente/1419001?o=listado_caluga_img</t>
        </is>
      </c>
      <c r="O203" s="647" t="inlineStr">
        <is>
          <t>Terreno a Orilla de Carretera, en la vereda oriente, se Sur a Norte casi en la Salida hacia Linares, en la Región del Maule.</t>
        </is>
      </c>
      <c r="P203" s="1315" t="n"/>
    </row>
    <row r="204" hidden="1" ht="41.1" customHeight="1">
      <c r="A204" s="642" t="inlineStr">
        <is>
          <t>Circunvalación Norte</t>
        </is>
      </c>
      <c r="B204" s="643" t="inlineStr">
        <is>
          <t>VII</t>
        </is>
      </c>
      <c r="C204" s="643" t="inlineStr">
        <is>
          <t>Linares</t>
        </is>
      </c>
      <c r="D204" s="595" t="n">
        <v>16000</v>
      </c>
      <c r="E204" s="644">
        <f>F204*$H$2/1000</f>
        <v/>
      </c>
      <c r="F204" s="603" t="n">
        <v>37698.32</v>
      </c>
      <c r="G204" s="645" t="n">
        <v>43475</v>
      </c>
      <c r="H204" s="643" t="inlineStr">
        <is>
          <t>Oferta</t>
        </is>
      </c>
      <c r="I204" s="643" t="n"/>
      <c r="J204" s="651" t="n"/>
      <c r="K204" s="651" t="n"/>
      <c r="L204" s="603">
        <f>IF(H204="Oferta",F204*$F$229-(J204*K204),F204)</f>
        <v/>
      </c>
      <c r="M204" s="604">
        <f>L204/D204</f>
        <v/>
      </c>
      <c r="N204" s="649" t="inlineStr">
        <is>
          <t>https://www.toctoc.com/propiedades/compracorredorasr/terrenoindustrial/linares/circunvalacion-norte/670276?o=listado_caluga_img</t>
        </is>
      </c>
      <c r="O204" s="647" t="inlineStr">
        <is>
          <t>Sector industrial Linares. frente de 70 mts para la entrada de camiones y maquinaria en general.</t>
        </is>
      </c>
      <c r="P204" s="1315" t="n"/>
    </row>
    <row r="205" hidden="1" ht="41.1" customHeight="1">
      <c r="A205" s="642" t="inlineStr">
        <is>
          <t>Ruta 5 sur a 7,5 km Talca</t>
        </is>
      </c>
      <c r="B205" s="643" t="inlineStr">
        <is>
          <t>VII</t>
        </is>
      </c>
      <c r="C205" s="643" t="inlineStr">
        <is>
          <t>Talca</t>
        </is>
      </c>
      <c r="D205" s="595" t="n">
        <v>42000</v>
      </c>
      <c r="E205" s="644">
        <f>F205*$H$2/1000</f>
        <v/>
      </c>
      <c r="F205" s="603" t="n">
        <v>22830</v>
      </c>
      <c r="G205" s="645" t="n">
        <v>43896</v>
      </c>
      <c r="H205" s="643" t="inlineStr">
        <is>
          <t>Oferta</t>
        </is>
      </c>
      <c r="I205" s="643" t="n"/>
      <c r="J205" s="651" t="n"/>
      <c r="K205" s="651" t="n"/>
      <c r="L205" s="603">
        <f>IF(H205="Oferta",F205*$F$229-(J205*K205),F205)</f>
        <v/>
      </c>
      <c r="M205" s="604">
        <f>L205/D205</f>
        <v/>
      </c>
      <c r="N205" s="649" t="inlineStr">
        <is>
          <t>https://www.fernandoflores.cl/detalle/1336833_venta-parcela-maule</t>
        </is>
      </c>
      <c r="O205" s="647" t="inlineStr">
        <is>
          <t xml:space="preserve">Terreno a Orilla de Carretera (ruta 5 Sur) con salida a dos calles, a 7,5 kilómetros de la entrada a la ciudad de Talca y a 800mts de enlace Unihue/Duao, 75mts frente a carretera. </t>
        </is>
      </c>
      <c r="P205" s="1315" t="n"/>
    </row>
    <row r="206" hidden="1" ht="41.1" customHeight="1">
      <c r="A206" s="642" t="inlineStr">
        <is>
          <t>Salida sur de Talca</t>
        </is>
      </c>
      <c r="B206" s="643" t="inlineStr">
        <is>
          <t>VII</t>
        </is>
      </c>
      <c r="C206" s="643" t="inlineStr">
        <is>
          <t>Talca</t>
        </is>
      </c>
      <c r="D206" s="595" t="n">
        <v>43000</v>
      </c>
      <c r="E206" s="644">
        <f>F206*$H$2/1000</f>
        <v/>
      </c>
      <c r="F206" s="603" t="n">
        <v>27225</v>
      </c>
      <c r="G206" s="645" t="n">
        <v>43819</v>
      </c>
      <c r="H206" s="643" t="inlineStr">
        <is>
          <t>Oferta</t>
        </is>
      </c>
      <c r="I206" s="643" t="n"/>
      <c r="J206" s="651" t="n"/>
      <c r="K206" s="651" t="n"/>
      <c r="L206" s="603">
        <f>IF(H206="Oferta",F206*$F$229-(J206*K206),F206)</f>
        <v/>
      </c>
      <c r="M206" s="604">
        <f>L206/D206</f>
        <v/>
      </c>
      <c r="N206" s="649" t="inlineStr">
        <is>
          <t>https://www.toctoc.com/propiedades/compracorredorasr/terrenoindustrial/maule/extenso-terreno-industrial-en-caletera/1384568?o=listado_caluga_img</t>
        </is>
      </c>
      <c r="O206" s="647" t="inlineStr">
        <is>
          <t>en la caletera que une Talca y Maule. Cuenta con una excelente ubicación y muy buena conectividad a la zona industrial del lugar.</t>
        </is>
      </c>
      <c r="P206" s="1315" t="n"/>
    </row>
    <row r="207" hidden="1" ht="41.1" customHeight="1">
      <c r="A207" s="642" t="inlineStr">
        <is>
          <t>Romeral a los Queñes</t>
        </is>
      </c>
      <c r="B207" s="643" t="inlineStr">
        <is>
          <t>VII</t>
        </is>
      </c>
      <c r="C207" s="643" t="inlineStr">
        <is>
          <t xml:space="preserve"> Romeral</t>
        </is>
      </c>
      <c r="D207" s="595" t="n">
        <v>10028</v>
      </c>
      <c r="E207" s="644">
        <f>F207*$H$2/1000</f>
        <v/>
      </c>
      <c r="F207" s="603" t="n">
        <v>9500</v>
      </c>
      <c r="G207" s="645" t="n">
        <v>43902</v>
      </c>
      <c r="H207" s="643" t="inlineStr">
        <is>
          <t>Oferta</t>
        </is>
      </c>
      <c r="I207" s="643" t="n"/>
      <c r="J207" s="651" t="n"/>
      <c r="K207" s="651" t="n"/>
      <c r="L207" s="603">
        <f>IF(H207="Oferta",F207*$F$229-(J207*K207),F207)</f>
        <v/>
      </c>
      <c r="M207" s="604">
        <f>L207/D207</f>
        <v/>
      </c>
      <c r="N207" s="649" t="inlineStr">
        <is>
          <t>https://www.portalinmobiliario.com/MLC-521931534-industrial-en-venta-en-romeral-_JM#position=3&amp;type=item&amp;tracking_id=27d547cd-d2d0-463a-80e1-f820e8e5310a</t>
        </is>
      </c>
      <c r="O207" s="647" t="inlineStr">
        <is>
          <t>Galpón 558 m2, frigorífico 350 m2, casino, baño operarios, Ruta J-55 S/N.</t>
        </is>
      </c>
      <c r="P207" s="1315" t="n"/>
    </row>
    <row r="208" hidden="1" ht="41.1" customHeight="1">
      <c r="A208" s="642" t="inlineStr">
        <is>
          <t>Ruta 5, cruce Morza</t>
        </is>
      </c>
      <c r="B208" s="643" t="inlineStr">
        <is>
          <t>VII</t>
        </is>
      </c>
      <c r="C208" s="643" t="inlineStr">
        <is>
          <t>Teno</t>
        </is>
      </c>
      <c r="D208" s="595" t="n">
        <v>5500</v>
      </c>
      <c r="E208" s="644" t="n">
        <v>90000</v>
      </c>
      <c r="F208" s="603">
        <f>90000000/H2</f>
        <v/>
      </c>
      <c r="G208" s="645" t="n">
        <v>43902</v>
      </c>
      <c r="H208" s="643" t="inlineStr">
        <is>
          <t>Oferta</t>
        </is>
      </c>
      <c r="I208" s="643" t="n"/>
      <c r="J208" s="651" t="n"/>
      <c r="K208" s="651" t="n"/>
      <c r="L208" s="603">
        <f>IF(H208="Oferta",F208*$F$229-(J208*K208),F208)</f>
        <v/>
      </c>
      <c r="M208" s="604">
        <f>L208/D208</f>
        <v/>
      </c>
      <c r="N208" s="649" t="inlineStr">
        <is>
          <t>https://www.portalinmobiliario.com/MLC-521931041-industrial-en-venta-en-teno-_JM#position=17&amp;type=item&amp;tracking_id=27d547cd-d2d0-463a-80e1-f820e8e5310a</t>
        </is>
      </c>
      <c r="O208" s="647" t="inlineStr">
        <is>
          <t>orilla de ruta 5 sur, terreno totalmente plano y limpio, muy buen acceso, luz y agua a solo metros.</t>
        </is>
      </c>
      <c r="P208" s="1315" t="n"/>
    </row>
    <row r="209" hidden="1" ht="41.1" customHeight="1">
      <c r="A209" s="642" t="inlineStr">
        <is>
          <t>Teno a metros de Ruta 5</t>
        </is>
      </c>
      <c r="B209" s="643" t="inlineStr">
        <is>
          <t>VII</t>
        </is>
      </c>
      <c r="C209" s="643" t="inlineStr">
        <is>
          <t>Teno</t>
        </is>
      </c>
      <c r="D209" s="595" t="n">
        <v>99600</v>
      </c>
      <c r="E209" s="644">
        <f>F209*$H$2/1000</f>
        <v/>
      </c>
      <c r="F209" s="603" t="n">
        <v>17920</v>
      </c>
      <c r="G209" s="645" t="n">
        <v>43902</v>
      </c>
      <c r="H209" s="643" t="inlineStr">
        <is>
          <t>Oferta</t>
        </is>
      </c>
      <c r="I209" s="643" t="n"/>
      <c r="J209" s="651" t="n"/>
      <c r="K209" s="651" t="n"/>
      <c r="L209" s="603">
        <f>IF(H209="Oferta",F209*$F$229-(J209*K209),F209)</f>
        <v/>
      </c>
      <c r="M209" s="604">
        <f>L209/D209</f>
        <v/>
      </c>
      <c r="N209" s="649" t="inlineStr">
        <is>
          <t>https://www.portalinmobiliario.com/MLC-521931729-industrial-en-venta-en-teno-_JM#position=13&amp;type=item&amp;tracking_id=d17a8610-5e83-4dcd-880c-4d41c2f56a97</t>
        </is>
      </c>
      <c r="O209" s="647" t="inlineStr">
        <is>
          <t>Parte de su superficie es rural y una parte menor se encuentra en el radio urbano de la comuna. Amplio acceso por su deslinde norte con avenida Bellavista, sector mixto</t>
        </is>
      </c>
      <c r="P209" s="1315" t="n"/>
    </row>
    <row r="210" hidden="1" ht="41.1" customHeight="1">
      <c r="A210" s="642" t="inlineStr">
        <is>
          <t>Teno, orilla ruta 5</t>
        </is>
      </c>
      <c r="B210" s="643" t="inlineStr">
        <is>
          <t>VII</t>
        </is>
      </c>
      <c r="C210" s="643" t="inlineStr">
        <is>
          <t>Teno</t>
        </is>
      </c>
      <c r="D210" s="595" t="n">
        <v>30000</v>
      </c>
      <c r="E210" s="644">
        <f>F210*$H$2/1000</f>
        <v/>
      </c>
      <c r="F210" s="603" t="n">
        <v>7950</v>
      </c>
      <c r="G210" s="645" t="n">
        <v>43902</v>
      </c>
      <c r="H210" s="643" t="inlineStr">
        <is>
          <t>Oferta</t>
        </is>
      </c>
      <c r="I210" s="643" t="n"/>
      <c r="J210" s="651" t="n"/>
      <c r="K210" s="651" t="n"/>
      <c r="L210" s="603">
        <f>IF(H210="Oferta",F210*$F$229-(J210*K210),F210)</f>
        <v/>
      </c>
      <c r="M210" s="604">
        <f>L210/D210</f>
        <v/>
      </c>
      <c r="N210" s="649" t="inlineStr">
        <is>
          <t>https://www.portalinmobiliario.com/MLC-523326292-industrial-en-venta-en-teno-_JM#position=20&amp;type=item&amp;tracking_id=d17a8610-5e83-4dcd-880c-4d41c2f56a97</t>
        </is>
      </c>
      <c r="O210" s="647" t="inlineStr">
        <is>
          <t>acceso por Caletera Poniente de la ruta 5 Sur</t>
        </is>
      </c>
      <c r="P210" s="1315" t="n"/>
    </row>
    <row r="211" hidden="1" ht="41.1" customHeight="1">
      <c r="A211" s="642" t="inlineStr">
        <is>
          <t>Vista Hermosa, orilla ruta 5</t>
        </is>
      </c>
      <c r="B211" s="643" t="inlineStr">
        <is>
          <t>VII</t>
        </is>
      </c>
      <c r="C211" s="643" t="inlineStr">
        <is>
          <t>Curicó</t>
        </is>
      </c>
      <c r="D211" s="595" t="n">
        <v>5000</v>
      </c>
      <c r="E211" s="644" t="n">
        <v>120000</v>
      </c>
      <c r="F211" s="603">
        <f>+E211*1000/H2</f>
        <v/>
      </c>
      <c r="G211" s="645" t="n">
        <v>43902</v>
      </c>
      <c r="H211" s="643" t="inlineStr">
        <is>
          <t>Oferta</t>
        </is>
      </c>
      <c r="I211" s="643" t="n"/>
      <c r="J211" s="651" t="n"/>
      <c r="K211" s="651" t="n"/>
      <c r="L211" s="603">
        <f>IF(H211="Oferta",F211*$F$229-(J211*K211),F211)</f>
        <v/>
      </c>
      <c r="M211" s="604">
        <f>L211/D211</f>
        <v/>
      </c>
      <c r="N211" s="649" t="inlineStr">
        <is>
          <t>https://www.portalinmobiliario.com/MLC-521931229-industrial-en-venta-en-curico-_JM#position=14&amp;type=item&amp;tracking_id=d17a8610-5e83-4dcd-880c-4d41c2f56a97</t>
        </is>
      </c>
      <c r="O211" s="647" t="inlineStr">
        <is>
          <t>Ubicado en caletera Norponiente, Sector Vista Hermosa</t>
        </is>
      </c>
      <c r="P211" s="1315" t="n"/>
    </row>
    <row r="212" hidden="1" ht="41.1" customHeight="1">
      <c r="A212" s="642" t="inlineStr">
        <is>
          <t>San Javier, 5 sur</t>
        </is>
      </c>
      <c r="B212" s="643" t="inlineStr">
        <is>
          <t>VII</t>
        </is>
      </c>
      <c r="C212" s="643" t="inlineStr">
        <is>
          <t>San Javier</t>
        </is>
      </c>
      <c r="D212" s="595" t="n">
        <v>9684</v>
      </c>
      <c r="E212" s="644">
        <f>+F212*H2/1000</f>
        <v/>
      </c>
      <c r="F212" s="603" t="n">
        <v>9680</v>
      </c>
      <c r="G212" s="645" t="n">
        <v>43381</v>
      </c>
      <c r="H212" s="643" t="inlineStr">
        <is>
          <t>Oferta</t>
        </is>
      </c>
      <c r="I212" s="643" t="n"/>
      <c r="J212" s="651" t="n"/>
      <c r="K212" s="651" t="n"/>
      <c r="L212" s="603">
        <f>IF(H212="Oferta",F212*$F$229-(J212*K212),F212)</f>
        <v/>
      </c>
      <c r="M212" s="604">
        <f>L212/D212</f>
        <v/>
      </c>
      <c r="N212" s="649" t="inlineStr">
        <is>
          <t>https://www.portalinmobiliario.com/venta/industrial/san-javier-maule/4283445-5-sur-273-uda#position=18&amp;type=item&amp;tracking_id=d17a8610-5e83-4dcd-880c-4d41c2f56a97</t>
        </is>
      </c>
      <c r="O212" s="647" t="inlineStr">
        <is>
          <t>Salida sur San Javier, acceso por caletera, frente 13,5 m.</t>
        </is>
      </c>
      <c r="P212" s="1315" t="n"/>
    </row>
    <row r="213" hidden="1" ht="41.1" customHeight="1">
      <c r="A213" s="642" t="inlineStr">
        <is>
          <t>Ruta 5 sur, cruce Morza</t>
        </is>
      </c>
      <c r="B213" s="643" t="inlineStr">
        <is>
          <t>VII</t>
        </is>
      </c>
      <c r="C213" s="643" t="inlineStr">
        <is>
          <t>Teno</t>
        </is>
      </c>
      <c r="D213" s="595" t="n">
        <v>43800</v>
      </c>
      <c r="E213" s="644" t="n">
        <v>480000</v>
      </c>
      <c r="F213" s="603">
        <f>+E213*1000/H2</f>
        <v/>
      </c>
      <c r="G213" s="645" t="n">
        <v>43902</v>
      </c>
      <c r="H213" s="643" t="inlineStr">
        <is>
          <t>Oferta</t>
        </is>
      </c>
      <c r="I213" s="643" t="n"/>
      <c r="J213" s="651" t="n"/>
      <c r="K213" s="651" t="n"/>
      <c r="L213" s="603">
        <f>IF(H213="Oferta",F213*$F$229-(J213*K213),F213)</f>
        <v/>
      </c>
      <c r="M213" s="604">
        <f>L213/D213</f>
        <v/>
      </c>
      <c r="N213" s="649" t="inlineStr">
        <is>
          <t>https://www.portalinmobiliario.com/MLC-521931025-industrial-en-venta-en-teno-_JM#position=22&amp;type=item&amp;tracking_id=d17a8610-5e83-4dcd-880c-4d41c2f56a97</t>
        </is>
      </c>
      <c r="O213" s="647" t="inlineStr">
        <is>
          <t>orilla de ruta 5 sur, acceso directo a luz y agua potable, totalmente plano y limpio</t>
        </is>
      </c>
      <c r="P213" s="1315" t="n"/>
    </row>
    <row r="214" hidden="1" ht="41.1" customHeight="1">
      <c r="A214" s="642" t="inlineStr">
        <is>
          <t>Ruta 5 Sur</t>
        </is>
      </c>
      <c r="B214" s="643" t="inlineStr">
        <is>
          <t>VII</t>
        </is>
      </c>
      <c r="C214" s="643" t="inlineStr">
        <is>
          <t>Talca</t>
        </is>
      </c>
      <c r="D214" s="595" t="n">
        <v>24073</v>
      </c>
      <c r="E214" s="644">
        <f>+F214*H2/1000</f>
        <v/>
      </c>
      <c r="F214" s="603" t="n">
        <v>65000</v>
      </c>
      <c r="G214" s="645" t="n">
        <v>43648</v>
      </c>
      <c r="H214" s="643" t="inlineStr">
        <is>
          <t>Oferta</t>
        </is>
      </c>
      <c r="I214" s="643" t="n"/>
      <c r="J214" s="651" t="n"/>
      <c r="K214" s="651" t="n"/>
      <c r="L214" s="603">
        <f>IF(H214="Oferta",F214*$F$229-(J214*K214),F214)</f>
        <v/>
      </c>
      <c r="M214" s="604">
        <f>L214/D214</f>
        <v/>
      </c>
      <c r="N214" s="649" t="inlineStr">
        <is>
          <t>https://www.portalinmobiliario.com/venta/industrial/talca-maule/3699341-ruta-5-sur-talca-uda#position=25&amp;type=item&amp;tracking_id=d17a8610-5e83-4dcd-880c-4d41c2f56a97</t>
        </is>
      </c>
      <c r="O214" s="647" t="inlineStr">
        <is>
          <t>A orilla ruta 5 sur, sector industria inofensiva, cuenta con galpón y oficina.</t>
        </is>
      </c>
      <c r="P214" s="1315" t="n"/>
    </row>
    <row r="215" hidden="1" ht="41.1" customHeight="1">
      <c r="A215" s="642" t="inlineStr">
        <is>
          <t>Ruta 5 Sur con camino Los Patos</t>
        </is>
      </c>
      <c r="B215" s="643" t="inlineStr">
        <is>
          <t>VII</t>
        </is>
      </c>
      <c r="C215" s="643" t="inlineStr">
        <is>
          <t>Talca</t>
        </is>
      </c>
      <c r="D215" s="595" t="n">
        <v>20000</v>
      </c>
      <c r="E215" s="644">
        <f>+F215*H2/1000</f>
        <v/>
      </c>
      <c r="F215" s="603" t="n">
        <v>50000</v>
      </c>
      <c r="G215" s="645" t="n">
        <v>43649</v>
      </c>
      <c r="H215" s="643" t="inlineStr">
        <is>
          <t>Oferta</t>
        </is>
      </c>
      <c r="I215" s="643" t="n"/>
      <c r="J215" s="651" t="n"/>
      <c r="K215" s="651" t="n"/>
      <c r="L215" s="603">
        <f>IF(H215="Oferta",F215*$F$229-(J215*K215),F215)</f>
        <v/>
      </c>
      <c r="M215" s="604">
        <f>L215/D215</f>
        <v/>
      </c>
      <c r="N215" s="649" t="inlineStr">
        <is>
          <t>https://www.portalinmobiliario.com/venta/industrial/talca-maule/4299439-panamericana-sur-con-camino-publico-los-uda#position=32&amp;type=item&amp;tracking_id=d17a8610-5e83-4dcd-880c-4d41c2f56a97</t>
        </is>
      </c>
      <c r="O215" s="647" t="inlineStr">
        <is>
          <t>Caletera de la Panamericana Sur km 260. Frente de 200 m</t>
        </is>
      </c>
      <c r="P215" s="1315" t="n"/>
    </row>
    <row r="216" hidden="1" ht="41.1" customHeight="1">
      <c r="A216" s="642" t="inlineStr">
        <is>
          <t>Acceso sur Curicó</t>
        </is>
      </c>
      <c r="B216" s="643" t="inlineStr">
        <is>
          <t>VII</t>
        </is>
      </c>
      <c r="C216" s="643" t="inlineStr">
        <is>
          <t>Curicó</t>
        </is>
      </c>
      <c r="D216" s="595" t="n">
        <v>10000</v>
      </c>
      <c r="E216" s="644" t="n">
        <v>650000</v>
      </c>
      <c r="F216" s="603">
        <f>+E216*1000/H2</f>
        <v/>
      </c>
      <c r="G216" s="645" t="n">
        <v>43704</v>
      </c>
      <c r="H216" s="643" t="inlineStr">
        <is>
          <t>Oferta</t>
        </is>
      </c>
      <c r="I216" s="643" t="n"/>
      <c r="J216" s="651" t="n"/>
      <c r="K216" s="651" t="n"/>
      <c r="L216" s="603">
        <f>IF(H216="Oferta",F216*$F$229-(J216*K216),F216)</f>
        <v/>
      </c>
      <c r="M216" s="604">
        <f>L216/D216</f>
        <v/>
      </c>
      <c r="N216" s="649" t="inlineStr">
        <is>
          <t>https://www.portalinmobiliario.com/venta/industrial/curico-maule/5035135-sitio-industriial-acceso-sur-uda#position=47&amp;type=item&amp;tracking_id=d17a8610-5e83-4dcd-880c-4d41c2f56a97</t>
        </is>
      </c>
      <c r="O216" s="647" t="inlineStr">
        <is>
          <t>a orilla de carretera, entrada Sur de Curicó, acceso por ex camino a Iansa,  3 galpones y oficinas generales</t>
        </is>
      </c>
      <c r="P216" s="1315" t="n"/>
    </row>
    <row r="217" hidden="1" ht="41.1" customHeight="1">
      <c r="A217" s="642" t="inlineStr">
        <is>
          <t>Panguilemo, km 244 Talca</t>
        </is>
      </c>
      <c r="B217" s="643" t="inlineStr">
        <is>
          <t>VII</t>
        </is>
      </c>
      <c r="C217" s="643" t="inlineStr">
        <is>
          <t>Talca</t>
        </is>
      </c>
      <c r="D217" s="595" t="n">
        <v>36000</v>
      </c>
      <c r="E217" s="644">
        <f>+F217*H2/1000</f>
        <v/>
      </c>
      <c r="F217" s="603" t="n">
        <v>90000</v>
      </c>
      <c r="G217" s="645" t="n">
        <v>43917</v>
      </c>
      <c r="H217" s="643" t="inlineStr">
        <is>
          <t>Oferta</t>
        </is>
      </c>
      <c r="I217" s="643" t="n"/>
      <c r="J217" s="651" t="n"/>
      <c r="K217" s="651" t="n"/>
      <c r="L217" s="603">
        <f>IF(H217="Oferta",F217*$F$229-(J217*K217),F217)</f>
        <v/>
      </c>
      <c r="M217" s="604">
        <f>L217/D217</f>
        <v/>
      </c>
      <c r="N217" s="649" t="inlineStr">
        <is>
          <t>https://calvacindustrial.cl/propiedad/venta-de-terreno-industrial-inofensivo-3-6-hectareas-en-talca/</t>
        </is>
      </c>
      <c r="O217" s="647" t="inlineStr">
        <is>
          <t xml:space="preserve"> a 4 km al sur de Talca, zona U-19.</t>
        </is>
      </c>
      <c r="P217" s="1315" t="n"/>
    </row>
    <row r="218" hidden="1" ht="41.1" customHeight="1">
      <c r="A218" s="642" t="inlineStr">
        <is>
          <t>Maule, orilla ruta 5 Sur</t>
        </is>
      </c>
      <c r="B218" s="643" t="inlineStr">
        <is>
          <t>VII</t>
        </is>
      </c>
      <c r="C218" s="643" t="inlineStr">
        <is>
          <t>Maule</t>
        </is>
      </c>
      <c r="D218" s="595" t="n">
        <v>125000</v>
      </c>
      <c r="E218" s="644">
        <f>+F218*$H$2/1000</f>
        <v/>
      </c>
      <c r="F218" s="603" t="n">
        <v>62500</v>
      </c>
      <c r="G218" s="645" t="n">
        <v>43948</v>
      </c>
      <c r="H218" s="643" t="inlineStr">
        <is>
          <t>Oferta</t>
        </is>
      </c>
      <c r="I218" s="643" t="n"/>
      <c r="J218" s="651" t="n"/>
      <c r="K218" s="651" t="n"/>
      <c r="L218" s="603">
        <f>IF(H218="Oferta",F218*$F$229-(J218*K218),F218)</f>
        <v/>
      </c>
      <c r="M218" s="604">
        <f>L218/D218</f>
        <v/>
      </c>
      <c r="N218" s="649" t="inlineStr">
        <is>
          <t>https://calvacindustrial.cl/propiedad/venta-de-propiedad-agricola-12-5-hectareas-en-maule/</t>
        </is>
      </c>
      <c r="O218" s="647" t="inlineStr">
        <is>
          <t>Terreno agrícola con posibilidad de cambio de uso de suelo. Colinda con calle de servicio paralelo a ruta 5. Frente 210 m</t>
        </is>
      </c>
      <c r="P218" s="1315" t="n"/>
    </row>
    <row r="219" hidden="1" ht="41.1" customHeight="1">
      <c r="A219" s="642" t="inlineStr">
        <is>
          <t>Panamericana Sur con 2 Norte</t>
        </is>
      </c>
      <c r="B219" s="643" t="inlineStr">
        <is>
          <t>VII</t>
        </is>
      </c>
      <c r="C219" s="643" t="inlineStr">
        <is>
          <t>Talca</t>
        </is>
      </c>
      <c r="D219" s="595" t="n">
        <v>11000</v>
      </c>
      <c r="E219" s="644">
        <f>+F219*$H$2/1000</f>
        <v/>
      </c>
      <c r="F219" s="603" t="n">
        <v>38500</v>
      </c>
      <c r="G219" s="645" t="n">
        <v>43948</v>
      </c>
      <c r="H219" s="643" t="inlineStr">
        <is>
          <t>Oferta</t>
        </is>
      </c>
      <c r="I219" s="643" t="n"/>
      <c r="J219" s="651" t="n"/>
      <c r="K219" s="651" t="n"/>
      <c r="L219" s="603">
        <f>IF(H219="Oferta",F219*$F$229-(J219*K219),F219)</f>
        <v/>
      </c>
      <c r="M219" s="604">
        <f>L219/D219</f>
        <v/>
      </c>
      <c r="N219" s="649" t="inlineStr">
        <is>
          <t>https://calvacindustrial.cl/propiedad/venta-de-terreno-industrial-11-hectareas-en-talca/</t>
        </is>
      </c>
      <c r="O219" s="647" t="inlineStr">
        <is>
          <t>Apto para actividades tales como bodegaje, distribuidoras, todo tipo de industria inofensiva</t>
        </is>
      </c>
      <c r="P219" s="1315" t="n"/>
    </row>
    <row r="220" hidden="1" ht="41.1" customHeight="1">
      <c r="A220" s="642" t="inlineStr">
        <is>
          <t>Ruta 5 Sur</t>
        </is>
      </c>
      <c r="B220" s="643" t="inlineStr">
        <is>
          <t>VII</t>
        </is>
      </c>
      <c r="C220" s="643" t="inlineStr">
        <is>
          <t>Talca</t>
        </is>
      </c>
      <c r="D220" s="595" t="n">
        <v>43000</v>
      </c>
      <c r="E220" s="644">
        <f>F220*$H$2/1000</f>
        <v/>
      </c>
      <c r="F220" s="603" t="n">
        <v>26750</v>
      </c>
      <c r="G220" s="645" t="n">
        <v>43948</v>
      </c>
      <c r="H220" s="643" t="inlineStr">
        <is>
          <t>Oferta</t>
        </is>
      </c>
      <c r="I220" s="643" t="n"/>
      <c r="J220" s="651" t="n"/>
      <c r="K220" s="651" t="n"/>
      <c r="L220" s="603">
        <f>IF(H220="Oferta",F220*$F$229-(J220*K220),F220)</f>
        <v/>
      </c>
      <c r="M220" s="604">
        <f>L220/D220</f>
        <v/>
      </c>
      <c r="N220" s="649" t="inlineStr">
        <is>
          <t>https://calvacindustrial.cl/propiedad/se-vende-terreno-43-ha-en-barrio-industrial-talca/</t>
        </is>
      </c>
      <c r="O220" s="647" t="inlineStr">
        <is>
          <t>aletera de la Ruta 5 Sur, en barrio industrial Talca.</t>
        </is>
      </c>
      <c r="P220" s="1315" t="n"/>
    </row>
    <row r="221" hidden="1" ht="41.1" customHeight="1">
      <c r="A221" s="642" t="inlineStr">
        <is>
          <t>Ruta 5 Sur, Huilquilemu</t>
        </is>
      </c>
      <c r="B221" s="643" t="inlineStr">
        <is>
          <t>VII</t>
        </is>
      </c>
      <c r="C221" s="643" t="inlineStr">
        <is>
          <t>Talca</t>
        </is>
      </c>
      <c r="D221" s="595" t="n">
        <v>35000</v>
      </c>
      <c r="E221" s="644">
        <f>F221*$H$2/1000</f>
        <v/>
      </c>
      <c r="F221" s="603" t="n">
        <v>22350</v>
      </c>
      <c r="G221" s="645" t="n">
        <v>43949</v>
      </c>
      <c r="H221" s="643" t="inlineStr">
        <is>
          <t>Oferta</t>
        </is>
      </c>
      <c r="I221" s="643" t="n"/>
      <c r="J221" s="651" t="n"/>
      <c r="K221" s="651" t="n"/>
      <c r="L221" s="603">
        <f>IF(H221="Oferta",F221*$F$229-(J221*K221),F221)</f>
        <v/>
      </c>
      <c r="M221" s="604">
        <f>L221/D221</f>
        <v/>
      </c>
      <c r="N221" s="649" t="inlineStr">
        <is>
          <t>https://calvacindustrial.cl/propiedad/venta-de-terreno-industrial-3-5-hectareas-en-huilquilemu-talca-maule/</t>
        </is>
      </c>
      <c r="O221" s="647" t="inlineStr">
        <is>
          <t>Terreno industrial, 480 m2 construido galpón con 2 salas de gerencia, 1 cocina con comedor, 2 baños.</t>
        </is>
      </c>
      <c r="P221" s="1315" t="n"/>
    </row>
    <row r="222" hidden="1" ht="41.1" customHeight="1">
      <c r="A222" s="642" t="inlineStr">
        <is>
          <t>Barrio Industrial, Talca</t>
        </is>
      </c>
      <c r="B222" s="643" t="inlineStr">
        <is>
          <t>VII</t>
        </is>
      </c>
      <c r="C222" s="643" t="inlineStr">
        <is>
          <t>Talca</t>
        </is>
      </c>
      <c r="D222" s="595" t="n">
        <v>6700</v>
      </c>
      <c r="E222" s="644">
        <f>F222*$H$2/1000</f>
        <v/>
      </c>
      <c r="F222" s="603" t="n">
        <v>16750</v>
      </c>
      <c r="G222" s="645" t="n">
        <v>43936</v>
      </c>
      <c r="H222" s="643" t="inlineStr">
        <is>
          <t>Oferta</t>
        </is>
      </c>
      <c r="I222" s="643" t="n"/>
      <c r="J222" s="651" t="n"/>
      <c r="K222" s="651" t="n"/>
      <c r="L222" s="603">
        <f>IF(H222="Oferta",F222*$F$229-(J222*K222),F222)</f>
        <v/>
      </c>
      <c r="M222" s="604">
        <f>L222/D222</f>
        <v/>
      </c>
      <c r="N222" s="649" t="inlineStr">
        <is>
          <t>https://www.fernandoflores.cl/detalle/848483_venta-terreno-maule</t>
        </is>
      </c>
      <c r="O222" s="647" t="inlineStr">
        <is>
          <t>3 cuadras de ruta 5 sur</t>
        </is>
      </c>
      <c r="P222" s="1315" t="n"/>
    </row>
    <row r="223" hidden="1" ht="41.1" customHeight="1">
      <c r="A223" s="642" t="inlineStr">
        <is>
          <t>Ruta 5 sur, Maule</t>
        </is>
      </c>
      <c r="B223" s="643" t="inlineStr">
        <is>
          <t>VII</t>
        </is>
      </c>
      <c r="C223" s="643" t="inlineStr">
        <is>
          <t>Maule</t>
        </is>
      </c>
      <c r="D223" s="595" t="n">
        <v>20000</v>
      </c>
      <c r="E223" s="644">
        <f>F223*$H$2/1000</f>
        <v/>
      </c>
      <c r="F223" s="603" t="n">
        <v>23225</v>
      </c>
      <c r="G223" s="645" t="n">
        <v>43721</v>
      </c>
      <c r="H223" s="643" t="inlineStr">
        <is>
          <t>Oferta</t>
        </is>
      </c>
      <c r="I223" s="643" t="n"/>
      <c r="J223" s="651" t="n"/>
      <c r="K223" s="651" t="n"/>
      <c r="L223" s="603">
        <f>IF(H223="Oferta",F223*$F$229-(J223*K223),F223)</f>
        <v/>
      </c>
      <c r="M223" s="604">
        <f>L223/D223</f>
        <v/>
      </c>
      <c r="N223" s="649" t="inlineStr">
        <is>
          <t>https://www.fernandoflores.cl/detalle/1250175_venta-terreno-maule</t>
        </is>
      </c>
      <c r="O223" s="647" t="inlineStr">
        <is>
          <t>Ruta 5 Sur km 260, frente de 200m, barrio industrial consolidado.</t>
        </is>
      </c>
      <c r="P223" s="1315" t="n"/>
    </row>
    <row r="224" hidden="1" ht="35.1" customHeight="1">
      <c r="A224" s="642" t="n"/>
      <c r="B224" s="643" t="n"/>
      <c r="C224" s="643" t="n"/>
      <c r="D224" s="595" t="n"/>
      <c r="E224" s="644" t="n"/>
      <c r="F224" s="603" t="n"/>
      <c r="G224" s="645" t="n"/>
      <c r="H224" s="643" t="n"/>
      <c r="I224" s="643" t="n"/>
      <c r="J224" s="643" t="n"/>
      <c r="K224" s="643" t="n"/>
      <c r="L224" s="603" t="n"/>
      <c r="M224" s="604" t="n"/>
      <c r="N224" s="644" t="n"/>
      <c r="O224" s="653" t="n"/>
    </row>
    <row r="225" hidden="1" ht="9" customHeight="1">
      <c r="A225" s="93" t="n"/>
      <c r="B225" s="654" t="n"/>
      <c r="C225" s="654" t="n"/>
      <c r="D225" s="1316" t="n"/>
      <c r="E225" s="1316" t="n"/>
      <c r="F225" s="1317" t="n"/>
      <c r="G225" s="94" t="n"/>
      <c r="H225" s="654" t="n"/>
      <c r="I225" s="654" t="n"/>
      <c r="J225" s="654" t="n"/>
      <c r="K225" s="654" t="n"/>
      <c r="L225" s="603" t="n"/>
      <c r="M225" s="604" t="n"/>
      <c r="N225" s="94" t="n"/>
      <c r="O225" s="94" t="n"/>
      <c r="P225" s="1315" t="n"/>
    </row>
    <row r="226" ht="12" customHeight="1">
      <c r="A226" s="95" t="n"/>
      <c r="B226" s="1318" t="n"/>
      <c r="C226" s="1318" t="n"/>
      <c r="D226" s="1319" t="n"/>
      <c r="E226" s="1320" t="n"/>
      <c r="F226" s="1320" t="n"/>
      <c r="G226" s="660" t="n"/>
      <c r="H226" s="1321" t="n"/>
      <c r="I226" s="1321" t="n"/>
      <c r="J226" s="1321" t="n"/>
      <c r="K226" s="1321" t="n"/>
      <c r="L226" s="1321" t="n"/>
      <c r="M226" s="1321" t="n"/>
      <c r="N226" s="660" t="n"/>
      <c r="O226" s="660" t="n"/>
      <c r="P226" s="1315" t="n"/>
    </row>
    <row r="227">
      <c r="E227" s="588" t="n"/>
      <c r="F227" s="588" t="n"/>
      <c r="G227" s="588" t="n"/>
      <c r="H227" s="588" t="n"/>
      <c r="I227" s="588" t="n"/>
      <c r="J227" s="588" t="n"/>
      <c r="K227" s="588" t="n"/>
      <c r="L227" s="588" t="n"/>
      <c r="M227" s="588" t="n"/>
      <c r="N227" s="588" t="n"/>
      <c r="O227" s="588" t="n"/>
    </row>
    <row r="228" ht="18">
      <c r="A228" s="1322" t="inlineStr">
        <is>
          <t>A N Á L I S I S    E S T A D Í S T I C O    R E F E R E N C I A S</t>
        </is>
      </c>
      <c r="B228" s="1218" t="n"/>
      <c r="C228" s="1218" t="n"/>
      <c r="D228" s="1218" t="n"/>
      <c r="E228" s="1218" t="n"/>
      <c r="F228" s="1219" t="n"/>
      <c r="G228" s="97" t="n"/>
      <c r="H228" s="97" t="n"/>
      <c r="I228" s="97" t="n"/>
      <c r="J228" s="98" t="n"/>
      <c r="K228" s="98" t="n"/>
      <c r="L228" s="98" t="n"/>
      <c r="M228" s="98" t="n"/>
      <c r="N228" s="98" t="n"/>
      <c r="O228" s="98" t="n"/>
    </row>
    <row r="229">
      <c r="A229" s="662" t="inlineStr">
        <is>
          <t>Total Muestra</t>
        </is>
      </c>
      <c r="B229" s="663">
        <f>SUBTOTAL(102,D6:D224)</f>
        <v/>
      </c>
      <c r="C229" s="664" t="inlineStr">
        <is>
          <t>Unidades</t>
        </is>
      </c>
      <c r="D229" s="100" t="inlineStr">
        <is>
          <t>Ajuste Oferta/ Venta</t>
        </is>
      </c>
      <c r="E229" s="85" t="n"/>
      <c r="F229" s="665" t="n">
        <v>0.85</v>
      </c>
      <c r="H229" s="666" t="n"/>
      <c r="I229" s="666" t="n"/>
      <c r="J229" s="667" t="n"/>
      <c r="N229" s="98" t="n"/>
      <c r="O229" s="98" t="n"/>
    </row>
    <row r="230">
      <c r="A230" s="662" t="inlineStr">
        <is>
          <t>Coeficiente de Asimetría</t>
        </is>
      </c>
      <c r="B230" s="668" t="n"/>
      <c r="C230" s="663" t="n"/>
      <c r="D230" s="100" t="inlineStr">
        <is>
          <t>Curtosis Ajustada</t>
        </is>
      </c>
      <c r="E230" s="85" t="n"/>
      <c r="F230" s="669" t="n"/>
      <c r="H230" s="666" t="n"/>
      <c r="I230" s="666" t="n"/>
      <c r="J230" s="101" t="n"/>
      <c r="N230" s="98" t="n"/>
      <c r="O230" s="98" t="n"/>
    </row>
    <row r="231">
      <c r="A231" s="662" t="n"/>
      <c r="C231" s="663" t="n"/>
      <c r="D231" s="100" t="n"/>
      <c r="E231" s="85" t="n"/>
      <c r="F231" s="670" t="n"/>
      <c r="H231" s="666" t="n"/>
      <c r="I231" s="666" t="n"/>
      <c r="J231" s="101" t="n"/>
      <c r="N231" s="98" t="n"/>
      <c r="O231" s="98" t="n"/>
    </row>
    <row r="232" ht="20.1" customHeight="1">
      <c r="A232" s="671" t="inlineStr">
        <is>
          <t>Media Aritmética</t>
        </is>
      </c>
      <c r="B232" s="672" t="n"/>
      <c r="C232" s="673">
        <f>IFERROR(SUBTOTAL(101,D6:D224),"")</f>
        <v/>
      </c>
      <c r="D232" s="674" t="inlineStr">
        <is>
          <r>
            <t>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E232" s="675">
        <f>IFERROR(SUBTOTAL(101,M6:M225),"")</f>
        <v/>
      </c>
      <c r="F232" s="676" t="inlineStr">
        <is>
          <r>
            <t>UF/m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J232" s="677" t="n"/>
      <c r="N232" s="98" t="n"/>
      <c r="O232" s="98" t="n"/>
    </row>
    <row r="233" ht="20.1" customHeight="1">
      <c r="A233" s="678" t="inlineStr">
        <is>
          <t>Mediana</t>
        </is>
      </c>
      <c r="B233" s="679" t="n"/>
      <c r="C233" s="680">
        <f>_xlfn.AGGREGATE(12,7,D6:D224)</f>
        <v/>
      </c>
      <c r="D233" s="681" t="inlineStr">
        <is>
          <r>
            <t>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E233" s="682">
        <f>_xlfn.AGGREGATE(12,7,M6:M225)</f>
        <v/>
      </c>
      <c r="F233" s="683" t="inlineStr">
        <is>
          <r>
            <t>UF/m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J233" s="684" t="n"/>
      <c r="N233" s="98" t="n"/>
      <c r="O233" s="98" t="n"/>
    </row>
    <row r="234" ht="20.1" customHeight="1">
      <c r="A234" s="685" t="n"/>
      <c r="B234" s="666" t="n"/>
      <c r="C234" s="686" t="n"/>
      <c r="D234" s="687" t="n"/>
      <c r="E234" s="688" t="n"/>
      <c r="F234" s="689" t="n"/>
      <c r="J234" s="684" t="n"/>
      <c r="N234" s="98" t="n"/>
      <c r="O234" s="98" t="n"/>
    </row>
    <row r="235" ht="20.1" customHeight="1">
      <c r="A235" s="690" t="inlineStr">
        <is>
          <t>Desviación Estándar</t>
        </is>
      </c>
      <c r="B235" s="691" t="n"/>
      <c r="C235" s="692">
        <f>SUBTOTAL(107,D6:D224)</f>
        <v/>
      </c>
      <c r="D235" s="693" t="inlineStr">
        <is>
          <r>
            <t>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E235" s="694">
        <f>SUBTOTAL(107,M6:M225)</f>
        <v/>
      </c>
      <c r="F235" s="695" t="inlineStr">
        <is>
          <r>
            <t>UF/m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J235" s="677" t="n"/>
      <c r="N235" s="98" t="n"/>
      <c r="O235" s="98" t="n"/>
    </row>
    <row r="236" ht="20.1" customHeight="1">
      <c r="A236" s="696" t="inlineStr">
        <is>
          <t>Valor Mínimo</t>
        </is>
      </c>
      <c r="B236" s="697" t="n"/>
      <c r="C236" s="698">
        <f>SUBTOTAL(105,D6:D224)</f>
        <v/>
      </c>
      <c r="D236" s="699" t="inlineStr">
        <is>
          <r>
            <t>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E236" s="700">
        <f>SUBTOTAL(105,M6:M225)</f>
        <v/>
      </c>
      <c r="F236" s="701" t="inlineStr">
        <is>
          <r>
            <t>UF/m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J236" s="677" t="n"/>
      <c r="N236" s="98" t="n"/>
      <c r="O236" s="98" t="n"/>
    </row>
    <row r="237" ht="20.1" customHeight="1">
      <c r="A237" s="678" t="inlineStr">
        <is>
          <t>Valor Máximo</t>
        </is>
      </c>
      <c r="B237" s="679" t="n"/>
      <c r="C237" s="680">
        <f>SUBTOTAL(104,D6:D224)</f>
        <v/>
      </c>
      <c r="D237" s="681" t="inlineStr">
        <is>
          <r>
            <t>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E237" s="682">
        <f>SUBTOTAL(104,M6:M224)</f>
        <v/>
      </c>
      <c r="F237" s="683" t="inlineStr">
        <is>
          <r>
            <t>UF/m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J237" s="677" t="n"/>
      <c r="N237" s="98" t="n"/>
      <c r="O237" s="98" t="n"/>
    </row>
    <row r="238" ht="9.9" customHeight="1">
      <c r="A238" s="702" t="n"/>
      <c r="C238" s="85" t="n"/>
      <c r="D238" s="85" t="n"/>
      <c r="E238" s="703" t="n"/>
      <c r="F238" s="704" t="n"/>
      <c r="J238" s="677" t="n"/>
      <c r="N238" s="98" t="n"/>
      <c r="O238" s="98" t="n"/>
    </row>
    <row r="239" ht="20.1" customHeight="1">
      <c r="A239" s="690" t="inlineStr">
        <is>
          <t>Intervalo Confianza 95%</t>
        </is>
      </c>
      <c r="B239" s="691" t="n"/>
      <c r="C239" s="705" t="n"/>
      <c r="D239" s="705" t="n"/>
      <c r="E239" s="694">
        <f>_xlfn.CONFIDENCE.NORM(0.05,E235,B229)</f>
        <v/>
      </c>
      <c r="F239" s="695" t="inlineStr">
        <is>
          <r>
            <t>UF/m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J239" s="677" t="n"/>
      <c r="N239" s="98" t="n"/>
      <c r="O239" s="98" t="n"/>
    </row>
    <row r="240" ht="20.1" customHeight="1">
      <c r="A240" s="696" t="inlineStr">
        <is>
          <t>Límite inferior</t>
        </is>
      </c>
      <c r="B240" s="697" t="n"/>
      <c r="C240" s="706" t="n"/>
      <c r="D240" s="706" t="n"/>
      <c r="E240" s="700">
        <f>E232-E239</f>
        <v/>
      </c>
      <c r="F240" s="701" t="inlineStr">
        <is>
          <r>
            <t>UF/m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J240" s="677" t="n"/>
      <c r="N240" s="98" t="n"/>
      <c r="O240" s="98" t="n"/>
    </row>
    <row r="241" ht="20.1" customHeight="1">
      <c r="A241" s="678" t="inlineStr">
        <is>
          <t>Límite Superior</t>
        </is>
      </c>
      <c r="B241" s="679" t="n"/>
      <c r="C241" s="707" t="n"/>
      <c r="D241" s="707" t="n"/>
      <c r="E241" s="682">
        <f>E232+E239</f>
        <v/>
      </c>
      <c r="F241" s="683" t="inlineStr">
        <is>
          <r>
            <t>UF/m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J241" s="677" t="n"/>
      <c r="N241" s="98" t="n"/>
      <c r="O241" s="98" t="n"/>
    </row>
    <row r="242" ht="15.9" customHeight="1">
      <c r="A242" s="685" t="n"/>
      <c r="B242" s="666" t="n"/>
      <c r="C242" s="677" t="n"/>
      <c r="D242" s="677" t="n"/>
      <c r="E242" s="708" t="n"/>
      <c r="F242" s="689" t="n"/>
      <c r="J242" s="677" t="n"/>
      <c r="N242" s="98" t="n"/>
      <c r="O242" s="98" t="n"/>
    </row>
    <row r="243" ht="20.1" customHeight="1">
      <c r="A243" s="696" t="inlineStr">
        <is>
          <t>Percentil 25</t>
        </is>
      </c>
      <c r="B243" s="697" t="n"/>
      <c r="C243" s="706" t="n"/>
      <c r="D243" s="706" t="n"/>
      <c r="E243" s="700">
        <f>_xlfn.AGGREGATE(16,7,M6:M224,0.25)</f>
        <v/>
      </c>
      <c r="F243" s="701" t="inlineStr">
        <is>
          <r>
            <t>UF/m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J243" s="677" t="n"/>
      <c r="N243" s="98" t="n"/>
      <c r="O243" s="98" t="n"/>
    </row>
    <row r="244" ht="20.1" customHeight="1">
      <c r="A244" s="709" t="inlineStr">
        <is>
          <t>Percentil 75</t>
        </is>
      </c>
      <c r="B244" s="710" t="n"/>
      <c r="C244" s="711" t="n"/>
      <c r="D244" s="711" t="n"/>
      <c r="E244" s="712">
        <f>_xlfn.AGGREGATE(16,7,M6:M224,0.75)</f>
        <v/>
      </c>
      <c r="F244" s="713" t="inlineStr">
        <is>
          <r>
            <t>UF/m</t>
          </r>
          <r>
            <rPr>
              <rFont val="Calibri"/>
              <family val="2"/>
              <sz val="12"/>
              <vertAlign val="superscript"/>
              <scheme val="minor"/>
            </rPr>
            <t>2</t>
          </r>
        </is>
      </c>
      <c r="J244" s="677" t="n"/>
      <c r="N244" s="98" t="n"/>
      <c r="O244" s="98" t="n"/>
    </row>
    <row r="245" ht="63" customHeight="1">
      <c r="A245" s="684" t="n"/>
      <c r="B245" s="666" t="n"/>
      <c r="C245" s="677" t="n"/>
      <c r="D245" s="677" t="n"/>
      <c r="E245" s="714" t="n"/>
      <c r="F245" s="708" t="n"/>
      <c r="G245" s="715" t="n"/>
      <c r="H245" s="715" t="n"/>
      <c r="I245" s="715" t="n"/>
      <c r="J245" s="715" t="n"/>
      <c r="K245" s="715" t="n"/>
      <c r="L245" s="715" t="n"/>
      <c r="M245" s="715" t="n"/>
      <c r="N245" s="715" t="n"/>
      <c r="O245" s="715" t="n"/>
    </row>
    <row r="246" ht="21" customHeight="1">
      <c r="A246" s="666" t="n"/>
      <c r="B246" s="666" t="n"/>
      <c r="C246" s="666" t="n"/>
      <c r="D246" s="666" t="n"/>
      <c r="E246" s="666" t="n"/>
      <c r="F246" s="666" t="n"/>
      <c r="G246" s="666" t="n"/>
      <c r="H246" s="666" t="n"/>
      <c r="I246" s="666" t="n"/>
      <c r="J246" s="666" t="n"/>
      <c r="K246" s="666" t="n"/>
      <c r="L246" s="666" t="n"/>
      <c r="M246" s="666" t="n"/>
      <c r="N246" s="666" t="n"/>
      <c r="O246" s="666" t="n"/>
    </row>
    <row r="251">
      <c r="D251" s="131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mgTaNSWYfxoa0rpb0glCg==" formatRows="1" sort="1" spinCount="100000" hashValue="qDZBlUY1T9FdTdc3egNNslPbpf1xp48Fem4C83gDEZZN1OrlJSgTKzHyf9KtT+L1UEqa7mgAcyQTDAxj5LSYVw=="/>
  <autoFilter ref="A5:O225">
    <sortState ref="A6:O224">
      <sortCondition ref="B5:B224"/>
    </sortState>
  </autoFilter>
  <mergeCells count="1">
    <mergeCell ref="A228:F228"/>
  </mergeCells>
  <dataValidations count="1">
    <dataValidation sqref="H158:I224 J158:J184 J224:K224 K158:K185" showDropDown="0" showInputMessage="1" showErrorMessage="1" allowBlank="1" type="list">
      <formula1>"Oferta, Venta"</formula1>
    </dataValidation>
  </dataValidations>
  <hyperlinks>
    <hyperlink xmlns:r="http://schemas.openxmlformats.org/officeDocument/2006/relationships" ref="N8" r:id="rId1"/>
    <hyperlink xmlns:r="http://schemas.openxmlformats.org/officeDocument/2006/relationships" ref="N9" r:id="rId2"/>
    <hyperlink xmlns:r="http://schemas.openxmlformats.org/officeDocument/2006/relationships" ref="N10" r:id="rId3"/>
    <hyperlink xmlns:r="http://schemas.openxmlformats.org/officeDocument/2006/relationships" ref="N11" location="polycard_client=search-desktop&amp;be_origin=backend&amp;search_layout=grid&amp;position=10&amp;type=item&amp;tracking_id=627efe66-4b1a-4725-a564-d2472dfe928b&amp;price_drop=true&amp;sid=search" display="https://www.portalinmobiliario.com/MLC-4112426366-remate-tome-terreno-calle-1-n493-lt-f-aysen-493-lt-g-_JM#polycard_client=search-desktop&amp;be_origin=backend&amp;search_layout=grid&amp;position=10&amp;type=item&amp;tracking_id=627efe66-4b1a-4725-a564-d2472dfe928b&amp;price_drop=true&amp;sid=search" r:id="rId4"/>
    <hyperlink xmlns:r="http://schemas.openxmlformats.org/officeDocument/2006/relationships" ref="N12" location="polycard_client=search-desktop&amp;be_origin=backend&amp;search_layout=grid&amp;position=8&amp;type=item&amp;tracking_id=627efe66-4b1a-4725-a564-d2472dfe928b&amp;price_drop=not_apply&amp;sid=search" display="https://www.portalinmobiliario.com/MLC-1709335365-venta-de-terreno-en-tome-id-51987-lin-_JM#polycard_client=search-desktop&amp;be_origin=backend&amp;search_layout=grid&amp;position=8&amp;type=item&amp;tracking_id=627efe66-4b1a-4725-a564-d2472dfe928b&amp;price_drop=not_apply&amp;sid=search" r:id="rId5"/>
    <hyperlink xmlns:r="http://schemas.openxmlformats.org/officeDocument/2006/relationships" ref="N13" location="polycard_client=search-map&amp;price_drop=not_apply&amp;be_origin=backend&amp;overlay_label=not_apply&amp;search_layout=map&amp;position=3&amp;type=item&amp;tracking_id=e2c67754-051a-4587-9a99-a09429be5d83&amp;sid=search" display="https://www.portalinmobiliario.com/MLC-3575446050-terreno-construccion-en-venta-en-rancagua-_JM#polycard_client=search-map&amp;price_drop=not_apply&amp;be_origin=backend&amp;overlay_label=not_apply&amp;search_layout=map&amp;position=3&amp;type=item&amp;tracking_id=e2c67754-051a-4587-9a99-a09429be5d83&amp;sid=search" r:id="rId6"/>
    <hyperlink xmlns:r="http://schemas.openxmlformats.org/officeDocument/2006/relationships" ref="N14" location="polycard_client=search-map&amp;price_drop=not_apply&amp;be_origin=backend&amp;overlay_label=not_apply&amp;search_layout=map&amp;position=6&amp;type=item&amp;tracking_id=e2c67754-051a-4587-9a99-a09429be5d83&amp;sid=search" display="https://www.portalinmobiliario.com/MLC-3575393050-terreno-construccion-en-venta-en-rancagua-_JM#polycard_client=search-map&amp;price_drop=not_apply&amp;be_origin=backend&amp;overlay_label=not_apply&amp;search_layout=map&amp;position=6&amp;type=item&amp;tracking_id=e2c67754-051a-4587-9a99-a09429be5d83&amp;sid=search" r:id="rId7"/>
    <hyperlink xmlns:r="http://schemas.openxmlformats.org/officeDocument/2006/relationships" ref="N15" location="polycard_client=search-map&amp;price_drop=not_apply&amp;be_origin=backend&amp;overlay_label=not_apply&amp;search_layout=map&amp;position=5&amp;type=item&amp;tracking_id=3f11ce2a-e7f6-4a3c-8c8f-85900534085d&amp;sid=search" display="https://www.portalinmobiliario.com/MLC-3336689894-terreno-san-ramon-proyecto-inmobiliario-_JM#polycard_client=search-map&amp;price_drop=not_apply&amp;be_origin=backend&amp;overlay_label=not_apply&amp;search_layout=map&amp;position=5&amp;type=item&amp;tracking_id=3f11ce2a-e7f6-4a3c-8c8f-85900534085d&amp;sid=search" r:id="rId8"/>
    <hyperlink xmlns:r="http://schemas.openxmlformats.org/officeDocument/2006/relationships" ref="N16" location="polycard_client=search-map&amp;price_drop=not_apply&amp;be_origin=backend&amp;overlay_label=not_apply&amp;search_layout=map&amp;position=34&amp;type=item&amp;tracking_id=3f11ce2a-e7f6-4a3c-8c8f-85900534085d&amp;sid=search" display="https://www.portalinmobiliario.com/MLC-4188275772-oportunidad-de-inversion-en-terreno-amplio-170406-_JM#polycard_client=search-map&amp;price_drop=not_apply&amp;be_origin=backend&amp;overlay_label=not_apply&amp;search_layout=map&amp;position=34&amp;type=item&amp;tracking_id=3f11ce2a-e7f6-4a3c-8c8f-85900534085d&amp;sid=search" r:id="rId9"/>
    <hyperlink xmlns:r="http://schemas.openxmlformats.org/officeDocument/2006/relationships" ref="N17" location="polycard_client=recommendations_classi-realestate-vip&amp;reco_backend=realestate-odin&amp;reco_model=organicos-vis&amp;reco_client=classi-realestate-vip&amp;reco_item_pos=0&amp;reco_backend_type=function&amp;reco_id=16ac6830-2d5f-4850-9cf4-19133cc67fa7&amp;sid=recos" display="https://www.portalinmobiliario.com/MLC-3505579952-agricola-en-venta-en-rancagua-_JM#polycard_client=recommendations_classi-realestate-vip&amp;reco_backend=realestate-odin&amp;reco_model=organicos-vis&amp;reco_client=classi-realestate-vip&amp;reco_item_pos=0&amp;reco_backend_type=function&amp;reco_id=16ac6830-2d5f-4850-9cf4-19133cc67fa7&amp;sid=recos" r:id="rId10"/>
    <hyperlink xmlns:r="http://schemas.openxmlformats.org/officeDocument/2006/relationships" ref="N18" location="polycard_client=search-map&amp;price_drop=not_apply&amp;be_origin=backend&amp;overlay_label=not_apply&amp;search_layout=map&amp;position=6&amp;type=item&amp;tracking_id=f23461ee-dc1e-411b-9386-30d421f3ff14&amp;sid=search" display="https://www.portalinmobiliario.com/MLC-4342889654-amplitud-y-naturaleza-en-un-lugar-unico-179096-_JM#polycard_client=search-map&amp;price_drop=not_apply&amp;be_origin=backend&amp;overlay_label=not_apply&amp;search_layout=map&amp;position=6&amp;type=item&amp;tracking_id=f23461ee-dc1e-411b-9386-30d421f3ff14&amp;sid=search" r:id="rId11"/>
    <hyperlink xmlns:r="http://schemas.openxmlformats.org/officeDocument/2006/relationships" ref="N19" r:id="rId12"/>
    <hyperlink xmlns:r="http://schemas.openxmlformats.org/officeDocument/2006/relationships" ref="N20" r:id="rId13"/>
    <hyperlink xmlns:r="http://schemas.openxmlformats.org/officeDocument/2006/relationships" ref="N21" r:id="rId14"/>
    <hyperlink xmlns:r="http://schemas.openxmlformats.org/officeDocument/2006/relationships" ref="N22" location="polycard_client=search-desktop&amp;be_origin=backend&amp;search_layout=grid&amp;position=7&amp;type=item&amp;tracking_id=627efe66-4b1a-4725-a564-d2472dfe928b&amp;price_drop=not_apply&amp;sid=search" display="https://www.portalinmobiliario.com/MLC-1709451087-venta-de-terreno-en-tome-id-51986-lin-_JM#polycard_client=search-desktop&amp;be_origin=backend&amp;search_layout=grid&amp;position=7&amp;type=item&amp;tracking_id=627efe66-4b1a-4725-a564-d2472dfe928b&amp;price_drop=not_apply&amp;sid=search" r:id="rId15"/>
    <hyperlink xmlns:r="http://schemas.openxmlformats.org/officeDocument/2006/relationships" ref="N23" location="polycard_client=search-desktop&amp;be_origin=backend&amp;search_layout=grid&amp;position=5&amp;type=item&amp;tracking_id=627efe66-4b1a-4725-a564-d2472dfe928b&amp;price_drop=not_apply&amp;sid=search" display="https://www.portalinmobiliario.com/MLC-2950222766-venta-de-terreno-urbano-en-tome-id-77323-lin-_JM#polycard_client=search-desktop&amp;be_origin=backend&amp;search_layout=grid&amp;position=5&amp;type=item&amp;tracking_id=627efe66-4b1a-4725-a564-d2472dfe928b&amp;price_drop=not_apply&amp;sid=search" r:id="rId16"/>
    <hyperlink xmlns:r="http://schemas.openxmlformats.org/officeDocument/2006/relationships" ref="N24" location="polycard_client=search-desktop&amp;be_origin=backend&amp;search_layout=grid&amp;position=9&amp;type=item&amp;tracking_id=627efe66-4b1a-4725-a564-d2472dfe928b&amp;price_drop=not_apply&amp;sid=search" display="https://www.portalinmobiliario.com/MLC-3221771482-venta-de-terreno-san-jose-del-mar-_JM#polycard_client=search-desktop&amp;be_origin=backend&amp;search_layout=grid&amp;position=9&amp;type=item&amp;tracking_id=627efe66-4b1a-4725-a564-d2472dfe928b&amp;price_drop=not_apply&amp;sid=search" r:id="rId17"/>
    <hyperlink xmlns:r="http://schemas.openxmlformats.org/officeDocument/2006/relationships" ref="N25" r:id="rId18"/>
    <hyperlink xmlns:r="http://schemas.openxmlformats.org/officeDocument/2006/relationships" ref="N26" location="polycard_client=search-desktop&amp;be_origin=backend&amp;search_layout=grid&amp;position=28&amp;type=item&amp;tracking_id=ba0217bd-06eb-4bc1-b47c-3b53218b6b14&amp;price_drop=not_apply&amp;sid=search" r:id="rId19"/>
    <hyperlink xmlns:r="http://schemas.openxmlformats.org/officeDocument/2006/relationships" ref="N27" location="polycard_client=search-desktop&amp;be_origin=backend&amp;search_layout=grid&amp;position=4&amp;type=item&amp;tracking_id=77beb2c4-3168-46f3-9b70-b4cdafabb769&amp;price_drop=not_apply&amp;sid=search" display="https://inmueble.mercadolibre.cl/MLC-1834433249-venta-de-terreno-en-tome-id-82655-lin-_JM#polycard_client=search-desktop&amp;be_origin=backend&amp;search_layout=grid&amp;position=4&amp;type=item&amp;tracking_id=77beb2c4-3168-46f3-9b70-b4cdafabb769&amp;price_drop=not_apply&amp;sid=search" r:id="rId20"/>
    <hyperlink xmlns:r="http://schemas.openxmlformats.org/officeDocument/2006/relationships" ref="N28" location="polycard_client=search-desktop&amp;be_origin=backend&amp;search_layout=grid&amp;position=11&amp;type=item&amp;tracking_id=627efe66-4b1a-4725-a564-d2472dfe928b&amp;price_drop=not_apply&amp;sid=search" display="https://www.portalinmobiliario.com/MLC-4105687354-terreno-para-desarrollo-inmobiliario-_JM#polycard_client=search-desktop&amp;be_origin=backend&amp;search_layout=grid&amp;position=11&amp;type=item&amp;tracking_id=627efe66-4b1a-4725-a564-d2472dfe928b&amp;price_drop=not_apply&amp;sid=search" r:id="rId21"/>
    <hyperlink xmlns:r="http://schemas.openxmlformats.org/officeDocument/2006/relationships" ref="N29" location="polycard_client=search-desktop&amp;be_origin=backend&amp;search_layout=grid&amp;position=7&amp;type=item&amp;tracking_id=77beb2c4-3168-46f3-9b70-b4cdafabb769&amp;price_drop=not_apply&amp;sid=search" display="https://inmueble.mercadolibre.cl/MLC-3106130606-venta-de-terreno-en-tome-id-77016-lin-_JM#polycard_client=search-desktop&amp;be_origin=backend&amp;search_layout=grid&amp;position=7&amp;type=item&amp;tracking_id=77beb2c4-3168-46f3-9b70-b4cdafabb769&amp;price_drop=not_apply&amp;sid=search" r:id="rId22"/>
    <hyperlink xmlns:r="http://schemas.openxmlformats.org/officeDocument/2006/relationships" ref="N30" r:id="rId23"/>
    <hyperlink xmlns:r="http://schemas.openxmlformats.org/officeDocument/2006/relationships" ref="N31" r:id="rId24"/>
    <hyperlink xmlns:r="http://schemas.openxmlformats.org/officeDocument/2006/relationships" ref="N32" r:id="rId25"/>
    <hyperlink xmlns:r="http://schemas.openxmlformats.org/officeDocument/2006/relationships" ref="N33" r:id="rId26"/>
    <hyperlink xmlns:r="http://schemas.openxmlformats.org/officeDocument/2006/relationships" ref="N34" r:id="rId27"/>
    <hyperlink xmlns:r="http://schemas.openxmlformats.org/officeDocument/2006/relationships" ref="N35" r:id="rId28"/>
    <hyperlink xmlns:r="http://schemas.openxmlformats.org/officeDocument/2006/relationships" ref="N36" r:id="rId29"/>
    <hyperlink xmlns:r="http://schemas.openxmlformats.org/officeDocument/2006/relationships" ref="N37" r:id="rId30"/>
    <hyperlink xmlns:r="http://schemas.openxmlformats.org/officeDocument/2006/relationships" ref="N39" r:id="rId31"/>
    <hyperlink xmlns:r="http://schemas.openxmlformats.org/officeDocument/2006/relationships" ref="N40" r:id="rId32"/>
    <hyperlink xmlns:r="http://schemas.openxmlformats.org/officeDocument/2006/relationships" ref="N41" r:id="rId33"/>
    <hyperlink xmlns:r="http://schemas.openxmlformats.org/officeDocument/2006/relationships" ref="N42" r:id="rId34"/>
    <hyperlink xmlns:r="http://schemas.openxmlformats.org/officeDocument/2006/relationships" ref="N43" r:id="rId35"/>
    <hyperlink xmlns:r="http://schemas.openxmlformats.org/officeDocument/2006/relationships" ref="N44" r:id="rId36"/>
    <hyperlink xmlns:r="http://schemas.openxmlformats.org/officeDocument/2006/relationships" ref="N45" r:id="rId37"/>
    <hyperlink xmlns:r="http://schemas.openxmlformats.org/officeDocument/2006/relationships" ref="N46" r:id="rId38"/>
    <hyperlink xmlns:r="http://schemas.openxmlformats.org/officeDocument/2006/relationships" ref="N47" r:id="rId39"/>
    <hyperlink xmlns:r="http://schemas.openxmlformats.org/officeDocument/2006/relationships" ref="N48" r:id="rId40"/>
    <hyperlink xmlns:r="http://schemas.openxmlformats.org/officeDocument/2006/relationships" ref="N49" r:id="rId41"/>
    <hyperlink xmlns:r="http://schemas.openxmlformats.org/officeDocument/2006/relationships" ref="N52" r:id="rId42"/>
    <hyperlink xmlns:r="http://schemas.openxmlformats.org/officeDocument/2006/relationships" ref="N53" r:id="rId43"/>
    <hyperlink xmlns:r="http://schemas.openxmlformats.org/officeDocument/2006/relationships" ref="N54" r:id="rId44"/>
    <hyperlink xmlns:r="http://schemas.openxmlformats.org/officeDocument/2006/relationships" ref="N55" r:id="rId45"/>
    <hyperlink xmlns:r="http://schemas.openxmlformats.org/officeDocument/2006/relationships" ref="N56" r:id="rId46"/>
    <hyperlink xmlns:r="http://schemas.openxmlformats.org/officeDocument/2006/relationships" ref="O56" display="https://gpsproperty.cl/183544" r:id="rId47"/>
    <hyperlink xmlns:r="http://schemas.openxmlformats.org/officeDocument/2006/relationships" ref="N57" r:id="rId48"/>
    <hyperlink xmlns:r="http://schemas.openxmlformats.org/officeDocument/2006/relationships" ref="N58" location="polycard_client=search-nordic&amp;position=3&amp;search_layout=grid&amp;type=item&amp;tracking_id=fdd9fd7a-b853-41cd-9288-82da0f45f9f3" r:id="rId49"/>
    <hyperlink xmlns:r="http://schemas.openxmlformats.org/officeDocument/2006/relationships" ref="N59" location="polycard_client=search-nordic&amp;position=5&amp;search_layout=grid&amp;type=item&amp;tracking_id=fdd9fd7a-b853-41cd-9288-82da0f45f9f3" r:id="rId50"/>
    <hyperlink xmlns:r="http://schemas.openxmlformats.org/officeDocument/2006/relationships" ref="N64" location="polycard_client=search-nordic&amp;position=13&amp;search_layout=grid&amp;type=item&amp;tracking_id=4280ceb2-f091-4d32-93c4-f6c44541e89b" r:id="rId51"/>
    <hyperlink xmlns:r="http://schemas.openxmlformats.org/officeDocument/2006/relationships" ref="N65" location="polycard_client=search-nordic&amp;position=14&amp;search_layout=grid&amp;type=item&amp;tracking_id=4280ceb2-f091-4d32-93c4-f6c44541e89b" r:id="rId52"/>
    <hyperlink xmlns:r="http://schemas.openxmlformats.org/officeDocument/2006/relationships" ref="N66" location="polycard_client=search-nordic&amp;position=15&amp;search_layout=grid&amp;type=item&amp;tracking_id=47848bb3-5694-47e0-9ad0-8030963371a5" r:id="rId53"/>
    <hyperlink xmlns:r="http://schemas.openxmlformats.org/officeDocument/2006/relationships" ref="N67" location="polycard_client=search-nordic&amp;position=17&amp;search_layout=grid&amp;type=item&amp;tracking_id=47848bb3-5694-47e0-9ad0-8030963371a5" r:id="rId54"/>
    <hyperlink xmlns:r="http://schemas.openxmlformats.org/officeDocument/2006/relationships" ref="N68" location="polycard_client=search-nordic&amp;position=18&amp;search_layout=grid&amp;type=item&amp;tracking_id=47848bb3-5694-47e0-9ad0-8030963371a5" r:id="rId55"/>
    <hyperlink xmlns:r="http://schemas.openxmlformats.org/officeDocument/2006/relationships" ref="N69" location="polycard_client=search-nordic&amp;position=14&amp;search_layout=grid&amp;type=item&amp;tracking_id=fdd9fd7a-b853-41cd-9288-82da0f45f9f3" r:id="rId56"/>
    <hyperlink xmlns:r="http://schemas.openxmlformats.org/officeDocument/2006/relationships" ref="N70" location="polycard_client=search-nordic&amp;position=9&amp;search_layout=grid&amp;type=item&amp;tracking_id=4712fe89-22cd-456f-80ca-5ca931519580" r:id="rId57"/>
    <hyperlink xmlns:r="http://schemas.openxmlformats.org/officeDocument/2006/relationships" ref="N71" location="polycard_client=search-nordic&amp;position=8&amp;search_layout=grid&amp;type=item&amp;tracking_id=4712fe89-22cd-456f-80ca-5ca931519580" r:id="rId58"/>
    <hyperlink xmlns:r="http://schemas.openxmlformats.org/officeDocument/2006/relationships" ref="N72" location="polycard_client=search-nordic&amp;position=10&amp;search_layout=grid&amp;type=item&amp;tracking_id=4712fe89-22cd-456f-80ca-5ca931519580" r:id="rId59"/>
    <hyperlink xmlns:r="http://schemas.openxmlformats.org/officeDocument/2006/relationships" ref="N73" location="polycard_client=search-nordic&amp;position=3&amp;search_layout=grid&amp;type=item&amp;tracking_id=4712fe89-22cd-456f-80ca-5ca931519580" r:id="rId60"/>
    <hyperlink xmlns:r="http://schemas.openxmlformats.org/officeDocument/2006/relationships" ref="N74" r:id="rId61"/>
    <hyperlink xmlns:r="http://schemas.openxmlformats.org/officeDocument/2006/relationships" ref="N75" location="position=1&amp;search_layout=map&amp;type=item&amp;tracking_id=20e8a088-d21f-4f02-b15e-1278d1e8e7c4" r:id="rId62"/>
    <hyperlink xmlns:r="http://schemas.openxmlformats.org/officeDocument/2006/relationships" ref="N76" location="position=1&amp;search_layout=map&amp;type=item&amp;tracking_id=a2dfe491-5b04-4653-8c77-1b6b58536368" r:id="rId63"/>
    <hyperlink xmlns:r="http://schemas.openxmlformats.org/officeDocument/2006/relationships" ref="N77" location="position=1&amp;search_layout=map&amp;type=item&amp;tracking_id=a3709776-794c-4113-920b-f963542ff602" r:id="rId64"/>
    <hyperlink xmlns:r="http://schemas.openxmlformats.org/officeDocument/2006/relationships" ref="N78" location="position=9&amp;search_layout=map&amp;type=item&amp;tracking_id=a72dc94e-1e1b-4fe3-98bc-a2b99e16111b" r:id="rId65"/>
    <hyperlink xmlns:r="http://schemas.openxmlformats.org/officeDocument/2006/relationships" ref="N79" location="position=5&amp;search_layout=map&amp;type=item&amp;tracking_id=ba2d3f8b-098a-41b9-b2e5-097ea9207138" r:id="rId66"/>
    <hyperlink xmlns:r="http://schemas.openxmlformats.org/officeDocument/2006/relationships" ref="N80" location="position=2&amp;search_layout=map&amp;type=item&amp;tracking_id=a3954309-c5f9-4752-acc9-a8e83abfed34" r:id="rId67"/>
    <hyperlink xmlns:r="http://schemas.openxmlformats.org/officeDocument/2006/relationships" ref="N81" location="position=4&amp;search_layout=map&amp;type=item&amp;tracking_id=cad76cb3-23f0-49f4-af5c-fbad5843aae2" r:id="rId68"/>
    <hyperlink xmlns:r="http://schemas.openxmlformats.org/officeDocument/2006/relationships" ref="N82" r:id="rId69"/>
    <hyperlink xmlns:r="http://schemas.openxmlformats.org/officeDocument/2006/relationships" ref="N83" r:id="rId70"/>
    <hyperlink xmlns:r="http://schemas.openxmlformats.org/officeDocument/2006/relationships" ref="N84" location="position=1&amp;search_layout=map&amp;type=item&amp;tracking_id=ae3f3235-8f24-491f-8b39-e9708c7b39a6" r:id="rId71"/>
    <hyperlink xmlns:r="http://schemas.openxmlformats.org/officeDocument/2006/relationships" ref="N85" location="position=11&amp;search_layout=map&amp;type=item&amp;tracking_id=6ed2e9a0-70b1-4d50-bf77-72794990f88a" r:id="rId72"/>
    <hyperlink xmlns:r="http://schemas.openxmlformats.org/officeDocument/2006/relationships" ref="N86" r:id="rId73"/>
    <hyperlink xmlns:r="http://schemas.openxmlformats.org/officeDocument/2006/relationships" ref="N87" r:id="rId74"/>
    <hyperlink xmlns:r="http://schemas.openxmlformats.org/officeDocument/2006/relationships" ref="N88" r:id="rId75"/>
    <hyperlink xmlns:r="http://schemas.openxmlformats.org/officeDocument/2006/relationships" ref="N89" location="position=3&amp;search_layout=map&amp;type=item&amp;tracking_id=a7c480dc-d320-406b-a6aa-5e703b335914" r:id="rId76"/>
    <hyperlink xmlns:r="http://schemas.openxmlformats.org/officeDocument/2006/relationships" ref="N90" location="polycard_client=search-nordic&amp;position=1&amp;search_layout=grid&amp;type=item&amp;tracking_id=02ae84c5-1fd1-4be2-8269-e4f0646eeb81" r:id="rId77"/>
    <hyperlink xmlns:r="http://schemas.openxmlformats.org/officeDocument/2006/relationships" ref="N91" r:id="rId78"/>
    <hyperlink xmlns:r="http://schemas.openxmlformats.org/officeDocument/2006/relationships" ref="N92" r:id="rId79"/>
    <hyperlink xmlns:r="http://schemas.openxmlformats.org/officeDocument/2006/relationships" ref="N96" r:id="rId80"/>
    <hyperlink xmlns:r="http://schemas.openxmlformats.org/officeDocument/2006/relationships" ref="N97" r:id="rId81"/>
    <hyperlink xmlns:r="http://schemas.openxmlformats.org/officeDocument/2006/relationships" ref="N98" location="position=1&amp;search_layout=stack&amp;type=item&amp;tracking_id=784387b2-38ff-4346-ab27-90801626eae8" r:id="rId82"/>
    <hyperlink xmlns:r="http://schemas.openxmlformats.org/officeDocument/2006/relationships" ref="N99" r:id="rId83"/>
    <hyperlink xmlns:r="http://schemas.openxmlformats.org/officeDocument/2006/relationships" ref="N100" r:id="rId84"/>
    <hyperlink xmlns:r="http://schemas.openxmlformats.org/officeDocument/2006/relationships" ref="N101" r:id="rId85"/>
    <hyperlink xmlns:r="http://schemas.openxmlformats.org/officeDocument/2006/relationships" ref="N102" r:id="rId86"/>
    <hyperlink xmlns:r="http://schemas.openxmlformats.org/officeDocument/2006/relationships" ref="N103" r:id="rId87"/>
    <hyperlink xmlns:r="http://schemas.openxmlformats.org/officeDocument/2006/relationships" ref="N104" r:id="rId88"/>
    <hyperlink xmlns:r="http://schemas.openxmlformats.org/officeDocument/2006/relationships" ref="N105" r:id="rId89"/>
    <hyperlink xmlns:r="http://schemas.openxmlformats.org/officeDocument/2006/relationships" ref="N106" r:id="rId90"/>
    <hyperlink xmlns:r="http://schemas.openxmlformats.org/officeDocument/2006/relationships" ref="N137" display="https://www.ceciliagimeno.cl/propiedades/sitio-en-venta-chicureo-oriente-6118?operacion=&amp;tipo_propiedad=&amp;sector=&amp;piezas=&amp;banos=&amp;tamano_min=&amp;tamano_max=&amp;ttamano_min=&amp;ttamano_max=&amp;tipo_precio=UF&amp;precio_min=&amp;precio_max=&amp;pagina=1&amp;propactual=1&amp;orden=menor&amp;slug=" r:id="rId91"/>
    <hyperlink xmlns:r="http://schemas.openxmlformats.org/officeDocument/2006/relationships" ref="N138" display="https://www.ceciliagimeno.cl/propiedades/sitio-en-venta-chicureo-oriente-6141?operacion=&amp;tipo_propiedad=&amp;sector=&amp;piezas=&amp;banos=&amp;tamano_min=&amp;tamano_max=&amp;ttamano_min=&amp;ttamano_max=&amp;tipo_precio=UF&amp;precio_min=&amp;precio_max=&amp;pagina=1&amp;propactual=2&amp;orden=menor&amp;slug=" r:id="rId92"/>
    <hyperlink xmlns:r="http://schemas.openxmlformats.org/officeDocument/2006/relationships" ref="N139" r:id="rId93"/>
    <hyperlink xmlns:r="http://schemas.openxmlformats.org/officeDocument/2006/relationships" ref="N140" display="https://www.ceciliagimeno.cl/condominio-las-brisas-chicureo" r:id="rId94"/>
    <hyperlink xmlns:r="http://schemas.openxmlformats.org/officeDocument/2006/relationships" ref="N141" display="https://www.ceciliagimeno.cl/condominio-las-brisas-chicureo" r:id="rId95"/>
    <hyperlink xmlns:r="http://schemas.openxmlformats.org/officeDocument/2006/relationships" ref="N142" display="https://www.ceciliagimeno.cl/condominio-las-brisas-chicureo" r:id="rId96"/>
    <hyperlink xmlns:r="http://schemas.openxmlformats.org/officeDocument/2006/relationships" ref="N143" display="https://www.ceciliagimeno.cl/condominio-las-brisas-chicureo" r:id="rId97"/>
    <hyperlink xmlns:r="http://schemas.openxmlformats.org/officeDocument/2006/relationships" ref="N144" display="https://www.ceciliagimeno.cl/condominio-las-brisas-chicureo" r:id="rId98"/>
    <hyperlink xmlns:r="http://schemas.openxmlformats.org/officeDocument/2006/relationships" ref="N145" display="https://www.ceciliagimeno.cl/condominio-las-brisas-chicureo" r:id="rId99"/>
    <hyperlink xmlns:r="http://schemas.openxmlformats.org/officeDocument/2006/relationships" ref="N146" display="https://www.ceciliagimeno.cl/condominio-las-brisas-chicureo" r:id="rId100"/>
    <hyperlink xmlns:r="http://schemas.openxmlformats.org/officeDocument/2006/relationships" ref="N147" display="https://www.ceciliagimeno.cl/condominio-las-brisas-chicureo" r:id="rId101"/>
    <hyperlink xmlns:r="http://schemas.openxmlformats.org/officeDocument/2006/relationships" ref="N148" display="https://www.ceciliagimeno.cl/condominio-las-brisas-chicureo" r:id="rId102"/>
    <hyperlink xmlns:r="http://schemas.openxmlformats.org/officeDocument/2006/relationships" ref="N149" display="https://www.ceciliagimeno.cl/condominio-las-brisas-chicureo" r:id="rId103"/>
    <hyperlink xmlns:r="http://schemas.openxmlformats.org/officeDocument/2006/relationships" ref="N150" display="https://www.ceciliagimeno.cl/condominio-las-brisas-chicureo" r:id="rId104"/>
    <hyperlink xmlns:r="http://schemas.openxmlformats.org/officeDocument/2006/relationships" ref="N151" display="https://www.ceciliagimeno.cl/condominio-las-brisas-chicureo" r:id="rId105"/>
    <hyperlink xmlns:r="http://schemas.openxmlformats.org/officeDocument/2006/relationships" ref="N152" display="https://www.ceciliagimeno.cl/condominio-las-brisas-chicureo" r:id="rId106"/>
    <hyperlink xmlns:r="http://schemas.openxmlformats.org/officeDocument/2006/relationships" ref="N153" r:id="rId107"/>
    <hyperlink xmlns:r="http://schemas.openxmlformats.org/officeDocument/2006/relationships" ref="N154" display="https://www.ceciliagimeno.cl/propiedades/sitio-en-venta-chicureo-oriente-6771?operacion=&amp;tipo_propiedad=&amp;sector=&amp;piezas=&amp;banos=&amp;tamano_min=&amp;tamano_max=&amp;ttamano_min=&amp;ttamano_max=&amp;tipo_precio=UF&amp;precio_min=&amp;precio_max=&amp;pagina=4&amp;propactual=35&amp;orden=menor&amp;slug=" r:id="rId108"/>
    <hyperlink xmlns:r="http://schemas.openxmlformats.org/officeDocument/2006/relationships" ref="N186" r:id="rId109"/>
    <hyperlink xmlns:r="http://schemas.openxmlformats.org/officeDocument/2006/relationships" ref="N187" r:id="rId110"/>
    <hyperlink xmlns:r="http://schemas.openxmlformats.org/officeDocument/2006/relationships" ref="N188" r:id="rId111"/>
    <hyperlink xmlns:r="http://schemas.openxmlformats.org/officeDocument/2006/relationships" ref="N189" r:id="rId112"/>
    <hyperlink xmlns:r="http://schemas.openxmlformats.org/officeDocument/2006/relationships" ref="N190" r:id="rId113"/>
    <hyperlink xmlns:r="http://schemas.openxmlformats.org/officeDocument/2006/relationships" ref="N191" r:id="rId114"/>
    <hyperlink xmlns:r="http://schemas.openxmlformats.org/officeDocument/2006/relationships" ref="N192" r:id="rId115"/>
    <hyperlink xmlns:r="http://schemas.openxmlformats.org/officeDocument/2006/relationships" ref="N193" r:id="rId116"/>
    <hyperlink xmlns:r="http://schemas.openxmlformats.org/officeDocument/2006/relationships" ref="N194" r:id="rId117"/>
    <hyperlink xmlns:r="http://schemas.openxmlformats.org/officeDocument/2006/relationships" ref="N195" r:id="rId118"/>
    <hyperlink xmlns:r="http://schemas.openxmlformats.org/officeDocument/2006/relationships" ref="N196" r:id="rId119"/>
    <hyperlink xmlns:r="http://schemas.openxmlformats.org/officeDocument/2006/relationships" ref="N197" r:id="rId120"/>
    <hyperlink xmlns:r="http://schemas.openxmlformats.org/officeDocument/2006/relationships" ref="N198" r:id="rId121"/>
    <hyperlink xmlns:r="http://schemas.openxmlformats.org/officeDocument/2006/relationships" ref="N199" r:id="rId122"/>
    <hyperlink xmlns:r="http://schemas.openxmlformats.org/officeDocument/2006/relationships" ref="N200" r:id="rId123"/>
    <hyperlink xmlns:r="http://schemas.openxmlformats.org/officeDocument/2006/relationships" ref="N201" r:id="rId124"/>
  </hyperlinks>
  <printOptions horizontalCentered="1"/>
  <pageMargins left="0.7086614173228347" right="0.7086614173228347" top="0.7480314960629921" bottom="0.7480314960629921" header="0.3149606299212598" footer="0.3149606299212598"/>
  <pageSetup orientation="portrait" scale="39"/>
  <headerFooter differentFirst="1">
    <oddHeader>&amp;R&amp;K000000&amp;P de &amp;N</oddHeader>
    <oddFooter/>
    <evenHeader/>
    <evenFooter/>
    <firstHeader/>
    <firstFooter/>
  </headerFooter>
  <drawing xmlns:r="http://schemas.openxmlformats.org/officeDocument/2006/relationships" r:id="rId125"/>
</worksheet>
</file>

<file path=xl/worksheets/sheet10.xml><?xml version="1.0" encoding="utf-8"?>
<worksheet xmlns="http://schemas.openxmlformats.org/spreadsheetml/2006/main">
  <sheetPr filterMode="1">
    <tabColor theme="9" tint="0.5999938962981048"/>
    <outlinePr summaryBelow="1" summaryRight="1"/>
    <pageSetUpPr/>
  </sheetPr>
  <dimension ref="A2:O74"/>
  <sheetViews>
    <sheetView showGridLines="0" view="pageBreakPreview" zoomScale="70" zoomScaleNormal="100" zoomScaleSheetLayoutView="70" workbookViewId="0">
      <selection activeCell="E246" sqref="E246"/>
    </sheetView>
  </sheetViews>
  <sheetFormatPr baseColWidth="10" defaultColWidth="11.44140625" defaultRowHeight="15.6"/>
  <cols>
    <col width="16.109375" customWidth="1" style="82" min="1" max="2"/>
    <col width="26" customWidth="1" style="82" min="3" max="3"/>
    <col width="11.88671875" customWidth="1" style="82" min="4" max="4"/>
    <col width="19.6640625" customWidth="1" style="82" min="5" max="5"/>
    <col width="10.33203125" customWidth="1" style="82" min="6" max="7"/>
    <col width="10.44140625" customWidth="1" style="82" min="8" max="8"/>
    <col width="11.88671875" customWidth="1" style="82" min="9" max="9"/>
    <col width="10.88671875" customWidth="1" style="82" min="10" max="10"/>
    <col width="15.5546875" customWidth="1" style="82" min="11" max="11"/>
    <col width="14" customWidth="1" style="82" min="12" max="12"/>
    <col width="16.6640625" customWidth="1" style="82" min="13" max="13"/>
    <col width="12" customWidth="1" style="82" min="14" max="14"/>
    <col width="32.6640625" customWidth="1" style="82" min="15" max="15"/>
    <col width="11.44140625" customWidth="1" style="82" min="16" max="249"/>
    <col width="5" customWidth="1" style="82" min="250" max="250"/>
    <col width="28" customWidth="1" style="82" min="251" max="251"/>
    <col width="13.109375" customWidth="1" style="82" min="252" max="252"/>
    <col width="11.44140625" customWidth="1" style="82" min="253" max="253"/>
    <col width="15.6640625" customWidth="1" style="82" min="254" max="254"/>
    <col width="11.44140625" customWidth="1" style="82" min="255" max="255"/>
    <col width="14.33203125" customWidth="1" style="82" min="256" max="256"/>
    <col width="11.44140625" customWidth="1" style="82" min="257" max="257"/>
    <col width="17.44140625" customWidth="1" style="82" min="258" max="258"/>
    <col width="11.44140625" customWidth="1" style="82" min="259" max="260"/>
    <col width="14.88671875" bestFit="1" customWidth="1" style="82" min="261" max="261"/>
    <col width="11.44140625" customWidth="1" style="82" min="262" max="505"/>
    <col width="5" customWidth="1" style="82" min="506" max="506"/>
    <col width="28" customWidth="1" style="82" min="507" max="507"/>
    <col width="13.109375" customWidth="1" style="82" min="508" max="508"/>
    <col width="11.44140625" customWidth="1" style="82" min="509" max="509"/>
    <col width="15.6640625" customWidth="1" style="82" min="510" max="510"/>
    <col width="11.44140625" customWidth="1" style="82" min="511" max="511"/>
    <col width="14.33203125" customWidth="1" style="82" min="512" max="512"/>
    <col width="11.44140625" customWidth="1" style="82" min="513" max="513"/>
    <col width="17.44140625" customWidth="1" style="82" min="514" max="514"/>
    <col width="11.44140625" customWidth="1" style="82" min="515" max="516"/>
    <col width="14.88671875" bestFit="1" customWidth="1" style="82" min="517" max="517"/>
    <col width="11.44140625" customWidth="1" style="82" min="518" max="761"/>
    <col width="5" customWidth="1" style="82" min="762" max="762"/>
    <col width="28" customWidth="1" style="82" min="763" max="763"/>
    <col width="13.109375" customWidth="1" style="82" min="764" max="764"/>
    <col width="11.44140625" customWidth="1" style="82" min="765" max="765"/>
    <col width="15.6640625" customWidth="1" style="82" min="766" max="766"/>
    <col width="11.44140625" customWidth="1" style="82" min="767" max="767"/>
    <col width="14.33203125" customWidth="1" style="82" min="768" max="768"/>
    <col width="11.44140625" customWidth="1" style="82" min="769" max="769"/>
    <col width="17.44140625" customWidth="1" style="82" min="770" max="770"/>
    <col width="11.44140625" customWidth="1" style="82" min="771" max="772"/>
    <col width="14.88671875" bestFit="1" customWidth="1" style="82" min="773" max="773"/>
    <col width="11.44140625" customWidth="1" style="82" min="774" max="1017"/>
    <col width="5" customWidth="1" style="82" min="1018" max="1018"/>
    <col width="28" customWidth="1" style="82" min="1019" max="1019"/>
    <col width="13.109375" customWidth="1" style="82" min="1020" max="1020"/>
    <col width="11.44140625" customWidth="1" style="82" min="1021" max="1021"/>
    <col width="15.6640625" customWidth="1" style="82" min="1022" max="1022"/>
    <col width="11.44140625" customWidth="1" style="82" min="1023" max="1023"/>
    <col width="14.33203125" customWidth="1" style="82" min="1024" max="1024"/>
    <col width="11.44140625" customWidth="1" style="82" min="1025" max="1025"/>
    <col width="17.44140625" customWidth="1" style="82" min="1026" max="1026"/>
    <col width="11.44140625" customWidth="1" style="82" min="1027" max="1028"/>
    <col width="14.88671875" bestFit="1" customWidth="1" style="82" min="1029" max="1029"/>
    <col width="11.44140625" customWidth="1" style="82" min="1030" max="1273"/>
    <col width="5" customWidth="1" style="82" min="1274" max="1274"/>
    <col width="28" customWidth="1" style="82" min="1275" max="1275"/>
    <col width="13.109375" customWidth="1" style="82" min="1276" max="1276"/>
    <col width="11.44140625" customWidth="1" style="82" min="1277" max="1277"/>
    <col width="15.6640625" customWidth="1" style="82" min="1278" max="1278"/>
    <col width="11.44140625" customWidth="1" style="82" min="1279" max="1279"/>
    <col width="14.33203125" customWidth="1" style="82" min="1280" max="1280"/>
    <col width="11.44140625" customWidth="1" style="82" min="1281" max="1281"/>
    <col width="17.44140625" customWidth="1" style="82" min="1282" max="1282"/>
    <col width="11.44140625" customWidth="1" style="82" min="1283" max="1284"/>
    <col width="14.88671875" bestFit="1" customWidth="1" style="82" min="1285" max="1285"/>
    <col width="11.44140625" customWidth="1" style="82" min="1286" max="1529"/>
    <col width="5" customWidth="1" style="82" min="1530" max="1530"/>
    <col width="28" customWidth="1" style="82" min="1531" max="1531"/>
    <col width="13.109375" customWidth="1" style="82" min="1532" max="1532"/>
    <col width="11.44140625" customWidth="1" style="82" min="1533" max="1533"/>
    <col width="15.6640625" customWidth="1" style="82" min="1534" max="1534"/>
    <col width="11.44140625" customWidth="1" style="82" min="1535" max="1535"/>
    <col width="14.33203125" customWidth="1" style="82" min="1536" max="1536"/>
    <col width="11.44140625" customWidth="1" style="82" min="1537" max="1537"/>
    <col width="17.44140625" customWidth="1" style="82" min="1538" max="1538"/>
    <col width="11.44140625" customWidth="1" style="82" min="1539" max="1540"/>
    <col width="14.88671875" bestFit="1" customWidth="1" style="82" min="1541" max="1541"/>
    <col width="11.44140625" customWidth="1" style="82" min="1542" max="1785"/>
    <col width="5" customWidth="1" style="82" min="1786" max="1786"/>
    <col width="28" customWidth="1" style="82" min="1787" max="1787"/>
    <col width="13.109375" customWidth="1" style="82" min="1788" max="1788"/>
    <col width="11.44140625" customWidth="1" style="82" min="1789" max="1789"/>
    <col width="15.6640625" customWidth="1" style="82" min="1790" max="1790"/>
    <col width="11.44140625" customWidth="1" style="82" min="1791" max="1791"/>
    <col width="14.33203125" customWidth="1" style="82" min="1792" max="1792"/>
    <col width="11.44140625" customWidth="1" style="82" min="1793" max="1793"/>
    <col width="17.44140625" customWidth="1" style="82" min="1794" max="1794"/>
    <col width="11.44140625" customWidth="1" style="82" min="1795" max="1796"/>
    <col width="14.88671875" bestFit="1" customWidth="1" style="82" min="1797" max="1797"/>
    <col width="11.44140625" customWidth="1" style="82" min="1798" max="2041"/>
    <col width="5" customWidth="1" style="82" min="2042" max="2042"/>
    <col width="28" customWidth="1" style="82" min="2043" max="2043"/>
    <col width="13.109375" customWidth="1" style="82" min="2044" max="2044"/>
    <col width="11.44140625" customWidth="1" style="82" min="2045" max="2045"/>
    <col width="15.6640625" customWidth="1" style="82" min="2046" max="2046"/>
    <col width="11.44140625" customWidth="1" style="82" min="2047" max="2047"/>
    <col width="14.33203125" customWidth="1" style="82" min="2048" max="2048"/>
    <col width="11.44140625" customWidth="1" style="82" min="2049" max="2049"/>
    <col width="17.44140625" customWidth="1" style="82" min="2050" max="2050"/>
    <col width="11.44140625" customWidth="1" style="82" min="2051" max="2052"/>
    <col width="14.88671875" bestFit="1" customWidth="1" style="82" min="2053" max="2053"/>
    <col width="11.44140625" customWidth="1" style="82" min="2054" max="2297"/>
    <col width="5" customWidth="1" style="82" min="2298" max="2298"/>
    <col width="28" customWidth="1" style="82" min="2299" max="2299"/>
    <col width="13.109375" customWidth="1" style="82" min="2300" max="2300"/>
    <col width="11.44140625" customWidth="1" style="82" min="2301" max="2301"/>
    <col width="15.6640625" customWidth="1" style="82" min="2302" max="2302"/>
    <col width="11.44140625" customWidth="1" style="82" min="2303" max="2303"/>
    <col width="14.33203125" customWidth="1" style="82" min="2304" max="2304"/>
    <col width="11.44140625" customWidth="1" style="82" min="2305" max="2305"/>
    <col width="17.44140625" customWidth="1" style="82" min="2306" max="2306"/>
    <col width="11.44140625" customWidth="1" style="82" min="2307" max="2308"/>
    <col width="14.88671875" bestFit="1" customWidth="1" style="82" min="2309" max="2309"/>
    <col width="11.44140625" customWidth="1" style="82" min="2310" max="2553"/>
    <col width="5" customWidth="1" style="82" min="2554" max="2554"/>
    <col width="28" customWidth="1" style="82" min="2555" max="2555"/>
    <col width="13.109375" customWidth="1" style="82" min="2556" max="2556"/>
    <col width="11.44140625" customWidth="1" style="82" min="2557" max="2557"/>
    <col width="15.6640625" customWidth="1" style="82" min="2558" max="2558"/>
    <col width="11.44140625" customWidth="1" style="82" min="2559" max="2559"/>
    <col width="14.33203125" customWidth="1" style="82" min="2560" max="2560"/>
    <col width="11.44140625" customWidth="1" style="82" min="2561" max="2561"/>
    <col width="17.44140625" customWidth="1" style="82" min="2562" max="2562"/>
    <col width="11.44140625" customWidth="1" style="82" min="2563" max="2564"/>
    <col width="14.88671875" bestFit="1" customWidth="1" style="82" min="2565" max="2565"/>
    <col width="11.44140625" customWidth="1" style="82" min="2566" max="2809"/>
    <col width="5" customWidth="1" style="82" min="2810" max="2810"/>
    <col width="28" customWidth="1" style="82" min="2811" max="2811"/>
    <col width="13.109375" customWidth="1" style="82" min="2812" max="2812"/>
    <col width="11.44140625" customWidth="1" style="82" min="2813" max="2813"/>
    <col width="15.6640625" customWidth="1" style="82" min="2814" max="2814"/>
    <col width="11.44140625" customWidth="1" style="82" min="2815" max="2815"/>
    <col width="14.33203125" customWidth="1" style="82" min="2816" max="2816"/>
    <col width="11.44140625" customWidth="1" style="82" min="2817" max="2817"/>
    <col width="17.44140625" customWidth="1" style="82" min="2818" max="2818"/>
    <col width="11.44140625" customWidth="1" style="82" min="2819" max="2820"/>
    <col width="14.88671875" bestFit="1" customWidth="1" style="82" min="2821" max="2821"/>
    <col width="11.44140625" customWidth="1" style="82" min="2822" max="3065"/>
    <col width="5" customWidth="1" style="82" min="3066" max="3066"/>
    <col width="28" customWidth="1" style="82" min="3067" max="3067"/>
    <col width="13.109375" customWidth="1" style="82" min="3068" max="3068"/>
    <col width="11.44140625" customWidth="1" style="82" min="3069" max="3069"/>
    <col width="15.6640625" customWidth="1" style="82" min="3070" max="3070"/>
    <col width="11.44140625" customWidth="1" style="82" min="3071" max="3071"/>
    <col width="14.33203125" customWidth="1" style="82" min="3072" max="3072"/>
    <col width="11.44140625" customWidth="1" style="82" min="3073" max="3073"/>
    <col width="17.44140625" customWidth="1" style="82" min="3074" max="3074"/>
    <col width="11.44140625" customWidth="1" style="82" min="3075" max="3076"/>
    <col width="14.88671875" bestFit="1" customWidth="1" style="82" min="3077" max="3077"/>
    <col width="11.44140625" customWidth="1" style="82" min="3078" max="3321"/>
    <col width="5" customWidth="1" style="82" min="3322" max="3322"/>
    <col width="28" customWidth="1" style="82" min="3323" max="3323"/>
    <col width="13.109375" customWidth="1" style="82" min="3324" max="3324"/>
    <col width="11.44140625" customWidth="1" style="82" min="3325" max="3325"/>
    <col width="15.6640625" customWidth="1" style="82" min="3326" max="3326"/>
    <col width="11.44140625" customWidth="1" style="82" min="3327" max="3327"/>
    <col width="14.33203125" customWidth="1" style="82" min="3328" max="3328"/>
    <col width="11.44140625" customWidth="1" style="82" min="3329" max="3329"/>
    <col width="17.44140625" customWidth="1" style="82" min="3330" max="3330"/>
    <col width="11.44140625" customWidth="1" style="82" min="3331" max="3332"/>
    <col width="14.88671875" bestFit="1" customWidth="1" style="82" min="3333" max="3333"/>
    <col width="11.44140625" customWidth="1" style="82" min="3334" max="3577"/>
    <col width="5" customWidth="1" style="82" min="3578" max="3578"/>
    <col width="28" customWidth="1" style="82" min="3579" max="3579"/>
    <col width="13.109375" customWidth="1" style="82" min="3580" max="3580"/>
    <col width="11.44140625" customWidth="1" style="82" min="3581" max="3581"/>
    <col width="15.6640625" customWidth="1" style="82" min="3582" max="3582"/>
    <col width="11.44140625" customWidth="1" style="82" min="3583" max="3583"/>
    <col width="14.33203125" customWidth="1" style="82" min="3584" max="3584"/>
    <col width="11.44140625" customWidth="1" style="82" min="3585" max="3585"/>
    <col width="17.44140625" customWidth="1" style="82" min="3586" max="3586"/>
    <col width="11.44140625" customWidth="1" style="82" min="3587" max="3588"/>
    <col width="14.88671875" bestFit="1" customWidth="1" style="82" min="3589" max="3589"/>
    <col width="11.44140625" customWidth="1" style="82" min="3590" max="3833"/>
    <col width="5" customWidth="1" style="82" min="3834" max="3834"/>
    <col width="28" customWidth="1" style="82" min="3835" max="3835"/>
    <col width="13.109375" customWidth="1" style="82" min="3836" max="3836"/>
    <col width="11.44140625" customWidth="1" style="82" min="3837" max="3837"/>
    <col width="15.6640625" customWidth="1" style="82" min="3838" max="3838"/>
    <col width="11.44140625" customWidth="1" style="82" min="3839" max="3839"/>
    <col width="14.33203125" customWidth="1" style="82" min="3840" max="3840"/>
    <col width="11.44140625" customWidth="1" style="82" min="3841" max="3841"/>
    <col width="17.44140625" customWidth="1" style="82" min="3842" max="3842"/>
    <col width="11.44140625" customWidth="1" style="82" min="3843" max="3844"/>
    <col width="14.88671875" bestFit="1" customWidth="1" style="82" min="3845" max="3845"/>
    <col width="11.44140625" customWidth="1" style="82" min="3846" max="4089"/>
    <col width="5" customWidth="1" style="82" min="4090" max="4090"/>
    <col width="28" customWidth="1" style="82" min="4091" max="4091"/>
    <col width="13.109375" customWidth="1" style="82" min="4092" max="4092"/>
    <col width="11.44140625" customWidth="1" style="82" min="4093" max="4093"/>
    <col width="15.6640625" customWidth="1" style="82" min="4094" max="4094"/>
    <col width="11.44140625" customWidth="1" style="82" min="4095" max="4095"/>
    <col width="14.33203125" customWidth="1" style="82" min="4096" max="4096"/>
    <col width="11.44140625" customWidth="1" style="82" min="4097" max="4097"/>
    <col width="17.44140625" customWidth="1" style="82" min="4098" max="4098"/>
    <col width="11.44140625" customWidth="1" style="82" min="4099" max="4100"/>
    <col width="14.88671875" bestFit="1" customWidth="1" style="82" min="4101" max="4101"/>
    <col width="11.44140625" customWidth="1" style="82" min="4102" max="4345"/>
    <col width="5" customWidth="1" style="82" min="4346" max="4346"/>
    <col width="28" customWidth="1" style="82" min="4347" max="4347"/>
    <col width="13.109375" customWidth="1" style="82" min="4348" max="4348"/>
    <col width="11.44140625" customWidth="1" style="82" min="4349" max="4349"/>
    <col width="15.6640625" customWidth="1" style="82" min="4350" max="4350"/>
    <col width="11.44140625" customWidth="1" style="82" min="4351" max="4351"/>
    <col width="14.33203125" customWidth="1" style="82" min="4352" max="4352"/>
    <col width="11.44140625" customWidth="1" style="82" min="4353" max="4353"/>
    <col width="17.44140625" customWidth="1" style="82" min="4354" max="4354"/>
    <col width="11.44140625" customWidth="1" style="82" min="4355" max="4356"/>
    <col width="14.88671875" bestFit="1" customWidth="1" style="82" min="4357" max="4357"/>
    <col width="11.44140625" customWidth="1" style="82" min="4358" max="4601"/>
    <col width="5" customWidth="1" style="82" min="4602" max="4602"/>
    <col width="28" customWidth="1" style="82" min="4603" max="4603"/>
    <col width="13.109375" customWidth="1" style="82" min="4604" max="4604"/>
    <col width="11.44140625" customWidth="1" style="82" min="4605" max="4605"/>
    <col width="15.6640625" customWidth="1" style="82" min="4606" max="4606"/>
    <col width="11.44140625" customWidth="1" style="82" min="4607" max="4607"/>
    <col width="14.33203125" customWidth="1" style="82" min="4608" max="4608"/>
    <col width="11.44140625" customWidth="1" style="82" min="4609" max="4609"/>
    <col width="17.44140625" customWidth="1" style="82" min="4610" max="4610"/>
    <col width="11.44140625" customWidth="1" style="82" min="4611" max="4612"/>
    <col width="14.88671875" bestFit="1" customWidth="1" style="82" min="4613" max="4613"/>
    <col width="11.44140625" customWidth="1" style="82" min="4614" max="4857"/>
    <col width="5" customWidth="1" style="82" min="4858" max="4858"/>
    <col width="28" customWidth="1" style="82" min="4859" max="4859"/>
    <col width="13.109375" customWidth="1" style="82" min="4860" max="4860"/>
    <col width="11.44140625" customWidth="1" style="82" min="4861" max="4861"/>
    <col width="15.6640625" customWidth="1" style="82" min="4862" max="4862"/>
    <col width="11.44140625" customWidth="1" style="82" min="4863" max="4863"/>
    <col width="14.33203125" customWidth="1" style="82" min="4864" max="4864"/>
    <col width="11.44140625" customWidth="1" style="82" min="4865" max="4865"/>
    <col width="17.44140625" customWidth="1" style="82" min="4866" max="4866"/>
    <col width="11.44140625" customWidth="1" style="82" min="4867" max="4868"/>
    <col width="14.88671875" bestFit="1" customWidth="1" style="82" min="4869" max="4869"/>
    <col width="11.44140625" customWidth="1" style="82" min="4870" max="5113"/>
    <col width="5" customWidth="1" style="82" min="5114" max="5114"/>
    <col width="28" customWidth="1" style="82" min="5115" max="5115"/>
    <col width="13.109375" customWidth="1" style="82" min="5116" max="5116"/>
    <col width="11.44140625" customWidth="1" style="82" min="5117" max="5117"/>
    <col width="15.6640625" customWidth="1" style="82" min="5118" max="5118"/>
    <col width="11.44140625" customWidth="1" style="82" min="5119" max="5119"/>
    <col width="14.33203125" customWidth="1" style="82" min="5120" max="5120"/>
    <col width="11.44140625" customWidth="1" style="82" min="5121" max="5121"/>
    <col width="17.44140625" customWidth="1" style="82" min="5122" max="5122"/>
    <col width="11.44140625" customWidth="1" style="82" min="5123" max="5124"/>
    <col width="14.88671875" bestFit="1" customWidth="1" style="82" min="5125" max="5125"/>
    <col width="11.44140625" customWidth="1" style="82" min="5126" max="5369"/>
    <col width="5" customWidth="1" style="82" min="5370" max="5370"/>
    <col width="28" customWidth="1" style="82" min="5371" max="5371"/>
    <col width="13.109375" customWidth="1" style="82" min="5372" max="5372"/>
    <col width="11.44140625" customWidth="1" style="82" min="5373" max="5373"/>
    <col width="15.6640625" customWidth="1" style="82" min="5374" max="5374"/>
    <col width="11.44140625" customWidth="1" style="82" min="5375" max="5375"/>
    <col width="14.33203125" customWidth="1" style="82" min="5376" max="5376"/>
    <col width="11.44140625" customWidth="1" style="82" min="5377" max="5377"/>
    <col width="17.44140625" customWidth="1" style="82" min="5378" max="5378"/>
    <col width="11.44140625" customWidth="1" style="82" min="5379" max="5380"/>
    <col width="14.88671875" bestFit="1" customWidth="1" style="82" min="5381" max="5381"/>
    <col width="11.44140625" customWidth="1" style="82" min="5382" max="5625"/>
    <col width="5" customWidth="1" style="82" min="5626" max="5626"/>
    <col width="28" customWidth="1" style="82" min="5627" max="5627"/>
    <col width="13.109375" customWidth="1" style="82" min="5628" max="5628"/>
    <col width="11.44140625" customWidth="1" style="82" min="5629" max="5629"/>
    <col width="15.6640625" customWidth="1" style="82" min="5630" max="5630"/>
    <col width="11.44140625" customWidth="1" style="82" min="5631" max="5631"/>
    <col width="14.33203125" customWidth="1" style="82" min="5632" max="5632"/>
    <col width="11.44140625" customWidth="1" style="82" min="5633" max="5633"/>
    <col width="17.44140625" customWidth="1" style="82" min="5634" max="5634"/>
    <col width="11.44140625" customWidth="1" style="82" min="5635" max="5636"/>
    <col width="14.88671875" bestFit="1" customWidth="1" style="82" min="5637" max="5637"/>
    <col width="11.44140625" customWidth="1" style="82" min="5638" max="5881"/>
    <col width="5" customWidth="1" style="82" min="5882" max="5882"/>
    <col width="28" customWidth="1" style="82" min="5883" max="5883"/>
    <col width="13.109375" customWidth="1" style="82" min="5884" max="5884"/>
    <col width="11.44140625" customWidth="1" style="82" min="5885" max="5885"/>
    <col width="15.6640625" customWidth="1" style="82" min="5886" max="5886"/>
    <col width="11.44140625" customWidth="1" style="82" min="5887" max="5887"/>
    <col width="14.33203125" customWidth="1" style="82" min="5888" max="5888"/>
    <col width="11.44140625" customWidth="1" style="82" min="5889" max="5889"/>
    <col width="17.44140625" customWidth="1" style="82" min="5890" max="5890"/>
    <col width="11.44140625" customWidth="1" style="82" min="5891" max="5892"/>
    <col width="14.88671875" bestFit="1" customWidth="1" style="82" min="5893" max="5893"/>
    <col width="11.44140625" customWidth="1" style="82" min="5894" max="6137"/>
    <col width="5" customWidth="1" style="82" min="6138" max="6138"/>
    <col width="28" customWidth="1" style="82" min="6139" max="6139"/>
    <col width="13.109375" customWidth="1" style="82" min="6140" max="6140"/>
    <col width="11.44140625" customWidth="1" style="82" min="6141" max="6141"/>
    <col width="15.6640625" customWidth="1" style="82" min="6142" max="6142"/>
    <col width="11.44140625" customWidth="1" style="82" min="6143" max="6143"/>
    <col width="14.33203125" customWidth="1" style="82" min="6144" max="6144"/>
    <col width="11.44140625" customWidth="1" style="82" min="6145" max="6145"/>
    <col width="17.44140625" customWidth="1" style="82" min="6146" max="6146"/>
    <col width="11.44140625" customWidth="1" style="82" min="6147" max="6148"/>
    <col width="14.88671875" bestFit="1" customWidth="1" style="82" min="6149" max="6149"/>
    <col width="11.44140625" customWidth="1" style="82" min="6150" max="6393"/>
    <col width="5" customWidth="1" style="82" min="6394" max="6394"/>
    <col width="28" customWidth="1" style="82" min="6395" max="6395"/>
    <col width="13.109375" customWidth="1" style="82" min="6396" max="6396"/>
    <col width="11.44140625" customWidth="1" style="82" min="6397" max="6397"/>
    <col width="15.6640625" customWidth="1" style="82" min="6398" max="6398"/>
    <col width="11.44140625" customWidth="1" style="82" min="6399" max="6399"/>
    <col width="14.33203125" customWidth="1" style="82" min="6400" max="6400"/>
    <col width="11.44140625" customWidth="1" style="82" min="6401" max="6401"/>
    <col width="17.44140625" customWidth="1" style="82" min="6402" max="6402"/>
    <col width="11.44140625" customWidth="1" style="82" min="6403" max="6404"/>
    <col width="14.88671875" bestFit="1" customWidth="1" style="82" min="6405" max="6405"/>
    <col width="11.44140625" customWidth="1" style="82" min="6406" max="6649"/>
    <col width="5" customWidth="1" style="82" min="6650" max="6650"/>
    <col width="28" customWidth="1" style="82" min="6651" max="6651"/>
    <col width="13.109375" customWidth="1" style="82" min="6652" max="6652"/>
    <col width="11.44140625" customWidth="1" style="82" min="6653" max="6653"/>
    <col width="15.6640625" customWidth="1" style="82" min="6654" max="6654"/>
    <col width="11.44140625" customWidth="1" style="82" min="6655" max="6655"/>
    <col width="14.33203125" customWidth="1" style="82" min="6656" max="6656"/>
    <col width="11.44140625" customWidth="1" style="82" min="6657" max="6657"/>
    <col width="17.44140625" customWidth="1" style="82" min="6658" max="6658"/>
    <col width="11.44140625" customWidth="1" style="82" min="6659" max="6660"/>
    <col width="14.88671875" bestFit="1" customWidth="1" style="82" min="6661" max="6661"/>
    <col width="11.44140625" customWidth="1" style="82" min="6662" max="6905"/>
    <col width="5" customWidth="1" style="82" min="6906" max="6906"/>
    <col width="28" customWidth="1" style="82" min="6907" max="6907"/>
    <col width="13.109375" customWidth="1" style="82" min="6908" max="6908"/>
    <col width="11.44140625" customWidth="1" style="82" min="6909" max="6909"/>
    <col width="15.6640625" customWidth="1" style="82" min="6910" max="6910"/>
    <col width="11.44140625" customWidth="1" style="82" min="6911" max="6911"/>
    <col width="14.33203125" customWidth="1" style="82" min="6912" max="6912"/>
    <col width="11.44140625" customWidth="1" style="82" min="6913" max="6913"/>
    <col width="17.44140625" customWidth="1" style="82" min="6914" max="6914"/>
    <col width="11.44140625" customWidth="1" style="82" min="6915" max="6916"/>
    <col width="14.88671875" bestFit="1" customWidth="1" style="82" min="6917" max="6917"/>
    <col width="11.44140625" customWidth="1" style="82" min="6918" max="7161"/>
    <col width="5" customWidth="1" style="82" min="7162" max="7162"/>
    <col width="28" customWidth="1" style="82" min="7163" max="7163"/>
    <col width="13.109375" customWidth="1" style="82" min="7164" max="7164"/>
    <col width="11.44140625" customWidth="1" style="82" min="7165" max="7165"/>
    <col width="15.6640625" customWidth="1" style="82" min="7166" max="7166"/>
    <col width="11.44140625" customWidth="1" style="82" min="7167" max="7167"/>
    <col width="14.33203125" customWidth="1" style="82" min="7168" max="7168"/>
    <col width="11.44140625" customWidth="1" style="82" min="7169" max="7169"/>
    <col width="17.44140625" customWidth="1" style="82" min="7170" max="7170"/>
    <col width="11.44140625" customWidth="1" style="82" min="7171" max="7172"/>
    <col width="14.88671875" bestFit="1" customWidth="1" style="82" min="7173" max="7173"/>
    <col width="11.44140625" customWidth="1" style="82" min="7174" max="7417"/>
    <col width="5" customWidth="1" style="82" min="7418" max="7418"/>
    <col width="28" customWidth="1" style="82" min="7419" max="7419"/>
    <col width="13.109375" customWidth="1" style="82" min="7420" max="7420"/>
    <col width="11.44140625" customWidth="1" style="82" min="7421" max="7421"/>
    <col width="15.6640625" customWidth="1" style="82" min="7422" max="7422"/>
    <col width="11.44140625" customWidth="1" style="82" min="7423" max="7423"/>
    <col width="14.33203125" customWidth="1" style="82" min="7424" max="7424"/>
    <col width="11.44140625" customWidth="1" style="82" min="7425" max="7425"/>
    <col width="17.44140625" customWidth="1" style="82" min="7426" max="7426"/>
    <col width="11.44140625" customWidth="1" style="82" min="7427" max="7428"/>
    <col width="14.88671875" bestFit="1" customWidth="1" style="82" min="7429" max="7429"/>
    <col width="11.44140625" customWidth="1" style="82" min="7430" max="7673"/>
    <col width="5" customWidth="1" style="82" min="7674" max="7674"/>
    <col width="28" customWidth="1" style="82" min="7675" max="7675"/>
    <col width="13.109375" customWidth="1" style="82" min="7676" max="7676"/>
    <col width="11.44140625" customWidth="1" style="82" min="7677" max="7677"/>
    <col width="15.6640625" customWidth="1" style="82" min="7678" max="7678"/>
    <col width="11.44140625" customWidth="1" style="82" min="7679" max="7679"/>
    <col width="14.33203125" customWidth="1" style="82" min="7680" max="7680"/>
    <col width="11.44140625" customWidth="1" style="82" min="7681" max="7681"/>
    <col width="17.44140625" customWidth="1" style="82" min="7682" max="7682"/>
    <col width="11.44140625" customWidth="1" style="82" min="7683" max="7684"/>
    <col width="14.88671875" bestFit="1" customWidth="1" style="82" min="7685" max="7685"/>
    <col width="11.44140625" customWidth="1" style="82" min="7686" max="7929"/>
    <col width="5" customWidth="1" style="82" min="7930" max="7930"/>
    <col width="28" customWidth="1" style="82" min="7931" max="7931"/>
    <col width="13.109375" customWidth="1" style="82" min="7932" max="7932"/>
    <col width="11.44140625" customWidth="1" style="82" min="7933" max="7933"/>
    <col width="15.6640625" customWidth="1" style="82" min="7934" max="7934"/>
    <col width="11.44140625" customWidth="1" style="82" min="7935" max="7935"/>
    <col width="14.33203125" customWidth="1" style="82" min="7936" max="7936"/>
    <col width="11.44140625" customWidth="1" style="82" min="7937" max="7937"/>
    <col width="17.44140625" customWidth="1" style="82" min="7938" max="7938"/>
    <col width="11.44140625" customWidth="1" style="82" min="7939" max="7940"/>
    <col width="14.88671875" bestFit="1" customWidth="1" style="82" min="7941" max="7941"/>
    <col width="11.44140625" customWidth="1" style="82" min="7942" max="8185"/>
    <col width="5" customWidth="1" style="82" min="8186" max="8186"/>
    <col width="28" customWidth="1" style="82" min="8187" max="8187"/>
    <col width="13.109375" customWidth="1" style="82" min="8188" max="8188"/>
    <col width="11.44140625" customWidth="1" style="82" min="8189" max="8189"/>
    <col width="15.6640625" customWidth="1" style="82" min="8190" max="8190"/>
    <col width="11.44140625" customWidth="1" style="82" min="8191" max="8191"/>
    <col width="14.33203125" customWidth="1" style="82" min="8192" max="8192"/>
    <col width="11.44140625" customWidth="1" style="82" min="8193" max="8193"/>
    <col width="17.44140625" customWidth="1" style="82" min="8194" max="8194"/>
    <col width="11.44140625" customWidth="1" style="82" min="8195" max="8196"/>
    <col width="14.88671875" bestFit="1" customWidth="1" style="82" min="8197" max="8197"/>
    <col width="11.44140625" customWidth="1" style="82" min="8198" max="8441"/>
    <col width="5" customWidth="1" style="82" min="8442" max="8442"/>
    <col width="28" customWidth="1" style="82" min="8443" max="8443"/>
    <col width="13.109375" customWidth="1" style="82" min="8444" max="8444"/>
    <col width="11.44140625" customWidth="1" style="82" min="8445" max="8445"/>
    <col width="15.6640625" customWidth="1" style="82" min="8446" max="8446"/>
    <col width="11.44140625" customWidth="1" style="82" min="8447" max="8447"/>
    <col width="14.33203125" customWidth="1" style="82" min="8448" max="8448"/>
    <col width="11.44140625" customWidth="1" style="82" min="8449" max="8449"/>
    <col width="17.44140625" customWidth="1" style="82" min="8450" max="8450"/>
    <col width="11.44140625" customWidth="1" style="82" min="8451" max="8452"/>
    <col width="14.88671875" bestFit="1" customWidth="1" style="82" min="8453" max="8453"/>
    <col width="11.44140625" customWidth="1" style="82" min="8454" max="8697"/>
    <col width="5" customWidth="1" style="82" min="8698" max="8698"/>
    <col width="28" customWidth="1" style="82" min="8699" max="8699"/>
    <col width="13.109375" customWidth="1" style="82" min="8700" max="8700"/>
    <col width="11.44140625" customWidth="1" style="82" min="8701" max="8701"/>
    <col width="15.6640625" customWidth="1" style="82" min="8702" max="8702"/>
    <col width="11.44140625" customWidth="1" style="82" min="8703" max="8703"/>
    <col width="14.33203125" customWidth="1" style="82" min="8704" max="8704"/>
    <col width="11.44140625" customWidth="1" style="82" min="8705" max="8705"/>
    <col width="17.44140625" customWidth="1" style="82" min="8706" max="8706"/>
    <col width="11.44140625" customWidth="1" style="82" min="8707" max="8708"/>
    <col width="14.88671875" bestFit="1" customWidth="1" style="82" min="8709" max="8709"/>
    <col width="11.44140625" customWidth="1" style="82" min="8710" max="8953"/>
    <col width="5" customWidth="1" style="82" min="8954" max="8954"/>
    <col width="28" customWidth="1" style="82" min="8955" max="8955"/>
    <col width="13.109375" customWidth="1" style="82" min="8956" max="8956"/>
    <col width="11.44140625" customWidth="1" style="82" min="8957" max="8957"/>
    <col width="15.6640625" customWidth="1" style="82" min="8958" max="8958"/>
    <col width="11.44140625" customWidth="1" style="82" min="8959" max="8959"/>
    <col width="14.33203125" customWidth="1" style="82" min="8960" max="8960"/>
    <col width="11.44140625" customWidth="1" style="82" min="8961" max="8961"/>
    <col width="17.44140625" customWidth="1" style="82" min="8962" max="8962"/>
    <col width="11.44140625" customWidth="1" style="82" min="8963" max="8964"/>
    <col width="14.88671875" bestFit="1" customWidth="1" style="82" min="8965" max="8965"/>
    <col width="11.44140625" customWidth="1" style="82" min="8966" max="9209"/>
    <col width="5" customWidth="1" style="82" min="9210" max="9210"/>
    <col width="28" customWidth="1" style="82" min="9211" max="9211"/>
    <col width="13.109375" customWidth="1" style="82" min="9212" max="9212"/>
    <col width="11.44140625" customWidth="1" style="82" min="9213" max="9213"/>
    <col width="15.6640625" customWidth="1" style="82" min="9214" max="9214"/>
    <col width="11.44140625" customWidth="1" style="82" min="9215" max="9215"/>
    <col width="14.33203125" customWidth="1" style="82" min="9216" max="9216"/>
    <col width="11.44140625" customWidth="1" style="82" min="9217" max="9217"/>
    <col width="17.44140625" customWidth="1" style="82" min="9218" max="9218"/>
    <col width="11.44140625" customWidth="1" style="82" min="9219" max="9220"/>
    <col width="14.88671875" bestFit="1" customWidth="1" style="82" min="9221" max="9221"/>
    <col width="11.44140625" customWidth="1" style="82" min="9222" max="9465"/>
    <col width="5" customWidth="1" style="82" min="9466" max="9466"/>
    <col width="28" customWidth="1" style="82" min="9467" max="9467"/>
    <col width="13.109375" customWidth="1" style="82" min="9468" max="9468"/>
    <col width="11.44140625" customWidth="1" style="82" min="9469" max="9469"/>
    <col width="15.6640625" customWidth="1" style="82" min="9470" max="9470"/>
    <col width="11.44140625" customWidth="1" style="82" min="9471" max="9471"/>
    <col width="14.33203125" customWidth="1" style="82" min="9472" max="9472"/>
    <col width="11.44140625" customWidth="1" style="82" min="9473" max="9473"/>
    <col width="17.44140625" customWidth="1" style="82" min="9474" max="9474"/>
    <col width="11.44140625" customWidth="1" style="82" min="9475" max="9476"/>
    <col width="14.88671875" bestFit="1" customWidth="1" style="82" min="9477" max="9477"/>
    <col width="11.44140625" customWidth="1" style="82" min="9478" max="9721"/>
    <col width="5" customWidth="1" style="82" min="9722" max="9722"/>
    <col width="28" customWidth="1" style="82" min="9723" max="9723"/>
    <col width="13.109375" customWidth="1" style="82" min="9724" max="9724"/>
    <col width="11.44140625" customWidth="1" style="82" min="9725" max="9725"/>
    <col width="15.6640625" customWidth="1" style="82" min="9726" max="9726"/>
    <col width="11.44140625" customWidth="1" style="82" min="9727" max="9727"/>
    <col width="14.33203125" customWidth="1" style="82" min="9728" max="9728"/>
    <col width="11.44140625" customWidth="1" style="82" min="9729" max="9729"/>
    <col width="17.44140625" customWidth="1" style="82" min="9730" max="9730"/>
    <col width="11.44140625" customWidth="1" style="82" min="9731" max="9732"/>
    <col width="14.88671875" bestFit="1" customWidth="1" style="82" min="9733" max="9733"/>
    <col width="11.44140625" customWidth="1" style="82" min="9734" max="9977"/>
    <col width="5" customWidth="1" style="82" min="9978" max="9978"/>
    <col width="28" customWidth="1" style="82" min="9979" max="9979"/>
    <col width="13.109375" customWidth="1" style="82" min="9980" max="9980"/>
    <col width="11.44140625" customWidth="1" style="82" min="9981" max="9981"/>
    <col width="15.6640625" customWidth="1" style="82" min="9982" max="9982"/>
    <col width="11.44140625" customWidth="1" style="82" min="9983" max="9983"/>
    <col width="14.33203125" customWidth="1" style="82" min="9984" max="9984"/>
    <col width="11.44140625" customWidth="1" style="82" min="9985" max="9985"/>
    <col width="17.44140625" customWidth="1" style="82" min="9986" max="9986"/>
    <col width="11.44140625" customWidth="1" style="82" min="9987" max="9988"/>
    <col width="14.88671875" bestFit="1" customWidth="1" style="82" min="9989" max="9989"/>
    <col width="11.44140625" customWidth="1" style="82" min="9990" max="10233"/>
    <col width="5" customWidth="1" style="82" min="10234" max="10234"/>
    <col width="28" customWidth="1" style="82" min="10235" max="10235"/>
    <col width="13.109375" customWidth="1" style="82" min="10236" max="10236"/>
    <col width="11.44140625" customWidth="1" style="82" min="10237" max="10237"/>
    <col width="15.6640625" customWidth="1" style="82" min="10238" max="10238"/>
    <col width="11.44140625" customWidth="1" style="82" min="10239" max="10239"/>
    <col width="14.33203125" customWidth="1" style="82" min="10240" max="10240"/>
    <col width="11.44140625" customWidth="1" style="82" min="10241" max="10241"/>
    <col width="17.44140625" customWidth="1" style="82" min="10242" max="10242"/>
    <col width="11.44140625" customWidth="1" style="82" min="10243" max="10244"/>
    <col width="14.88671875" bestFit="1" customWidth="1" style="82" min="10245" max="10245"/>
    <col width="11.44140625" customWidth="1" style="82" min="10246" max="10489"/>
    <col width="5" customWidth="1" style="82" min="10490" max="10490"/>
    <col width="28" customWidth="1" style="82" min="10491" max="10491"/>
    <col width="13.109375" customWidth="1" style="82" min="10492" max="10492"/>
    <col width="11.44140625" customWidth="1" style="82" min="10493" max="10493"/>
    <col width="15.6640625" customWidth="1" style="82" min="10494" max="10494"/>
    <col width="11.44140625" customWidth="1" style="82" min="10495" max="10495"/>
    <col width="14.33203125" customWidth="1" style="82" min="10496" max="10496"/>
    <col width="11.44140625" customWidth="1" style="82" min="10497" max="10497"/>
    <col width="17.44140625" customWidth="1" style="82" min="10498" max="10498"/>
    <col width="11.44140625" customWidth="1" style="82" min="10499" max="10500"/>
    <col width="14.88671875" bestFit="1" customWidth="1" style="82" min="10501" max="10501"/>
    <col width="11.44140625" customWidth="1" style="82" min="10502" max="10745"/>
    <col width="5" customWidth="1" style="82" min="10746" max="10746"/>
    <col width="28" customWidth="1" style="82" min="10747" max="10747"/>
    <col width="13.109375" customWidth="1" style="82" min="10748" max="10748"/>
    <col width="11.44140625" customWidth="1" style="82" min="10749" max="10749"/>
    <col width="15.6640625" customWidth="1" style="82" min="10750" max="10750"/>
    <col width="11.44140625" customWidth="1" style="82" min="10751" max="10751"/>
    <col width="14.33203125" customWidth="1" style="82" min="10752" max="10752"/>
    <col width="11.44140625" customWidth="1" style="82" min="10753" max="10753"/>
    <col width="17.44140625" customWidth="1" style="82" min="10754" max="10754"/>
    <col width="11.44140625" customWidth="1" style="82" min="10755" max="10756"/>
    <col width="14.88671875" bestFit="1" customWidth="1" style="82" min="10757" max="10757"/>
    <col width="11.44140625" customWidth="1" style="82" min="10758" max="11001"/>
    <col width="5" customWidth="1" style="82" min="11002" max="11002"/>
    <col width="28" customWidth="1" style="82" min="11003" max="11003"/>
    <col width="13.109375" customWidth="1" style="82" min="11004" max="11004"/>
    <col width="11.44140625" customWidth="1" style="82" min="11005" max="11005"/>
    <col width="15.6640625" customWidth="1" style="82" min="11006" max="11006"/>
    <col width="11.44140625" customWidth="1" style="82" min="11007" max="11007"/>
    <col width="14.33203125" customWidth="1" style="82" min="11008" max="11008"/>
    <col width="11.44140625" customWidth="1" style="82" min="11009" max="11009"/>
    <col width="17.44140625" customWidth="1" style="82" min="11010" max="11010"/>
    <col width="11.44140625" customWidth="1" style="82" min="11011" max="11012"/>
    <col width="14.88671875" bestFit="1" customWidth="1" style="82" min="11013" max="11013"/>
    <col width="11.44140625" customWidth="1" style="82" min="11014" max="11257"/>
    <col width="5" customWidth="1" style="82" min="11258" max="11258"/>
    <col width="28" customWidth="1" style="82" min="11259" max="11259"/>
    <col width="13.109375" customWidth="1" style="82" min="11260" max="11260"/>
    <col width="11.44140625" customWidth="1" style="82" min="11261" max="11261"/>
    <col width="15.6640625" customWidth="1" style="82" min="11262" max="11262"/>
    <col width="11.44140625" customWidth="1" style="82" min="11263" max="11263"/>
    <col width="14.33203125" customWidth="1" style="82" min="11264" max="11264"/>
    <col width="11.44140625" customWidth="1" style="82" min="11265" max="11265"/>
    <col width="17.44140625" customWidth="1" style="82" min="11266" max="11266"/>
    <col width="11.44140625" customWidth="1" style="82" min="11267" max="11268"/>
    <col width="14.88671875" bestFit="1" customWidth="1" style="82" min="11269" max="11269"/>
    <col width="11.44140625" customWidth="1" style="82" min="11270" max="11513"/>
    <col width="5" customWidth="1" style="82" min="11514" max="11514"/>
    <col width="28" customWidth="1" style="82" min="11515" max="11515"/>
    <col width="13.109375" customWidth="1" style="82" min="11516" max="11516"/>
    <col width="11.44140625" customWidth="1" style="82" min="11517" max="11517"/>
    <col width="15.6640625" customWidth="1" style="82" min="11518" max="11518"/>
    <col width="11.44140625" customWidth="1" style="82" min="11519" max="11519"/>
    <col width="14.33203125" customWidth="1" style="82" min="11520" max="11520"/>
    <col width="11.44140625" customWidth="1" style="82" min="11521" max="11521"/>
    <col width="17.44140625" customWidth="1" style="82" min="11522" max="11522"/>
    <col width="11.44140625" customWidth="1" style="82" min="11523" max="11524"/>
    <col width="14.88671875" bestFit="1" customWidth="1" style="82" min="11525" max="11525"/>
    <col width="11.44140625" customWidth="1" style="82" min="11526" max="11769"/>
    <col width="5" customWidth="1" style="82" min="11770" max="11770"/>
    <col width="28" customWidth="1" style="82" min="11771" max="11771"/>
    <col width="13.109375" customWidth="1" style="82" min="11772" max="11772"/>
    <col width="11.44140625" customWidth="1" style="82" min="11773" max="11773"/>
    <col width="15.6640625" customWidth="1" style="82" min="11774" max="11774"/>
    <col width="11.44140625" customWidth="1" style="82" min="11775" max="11775"/>
    <col width="14.33203125" customWidth="1" style="82" min="11776" max="11776"/>
    <col width="11.44140625" customWidth="1" style="82" min="11777" max="11777"/>
    <col width="17.44140625" customWidth="1" style="82" min="11778" max="11778"/>
    <col width="11.44140625" customWidth="1" style="82" min="11779" max="11780"/>
    <col width="14.88671875" bestFit="1" customWidth="1" style="82" min="11781" max="11781"/>
    <col width="11.44140625" customWidth="1" style="82" min="11782" max="12025"/>
    <col width="5" customWidth="1" style="82" min="12026" max="12026"/>
    <col width="28" customWidth="1" style="82" min="12027" max="12027"/>
    <col width="13.109375" customWidth="1" style="82" min="12028" max="12028"/>
    <col width="11.44140625" customWidth="1" style="82" min="12029" max="12029"/>
    <col width="15.6640625" customWidth="1" style="82" min="12030" max="12030"/>
    <col width="11.44140625" customWidth="1" style="82" min="12031" max="12031"/>
    <col width="14.33203125" customWidth="1" style="82" min="12032" max="12032"/>
    <col width="11.44140625" customWidth="1" style="82" min="12033" max="12033"/>
    <col width="17.44140625" customWidth="1" style="82" min="12034" max="12034"/>
    <col width="11.44140625" customWidth="1" style="82" min="12035" max="12036"/>
    <col width="14.88671875" bestFit="1" customWidth="1" style="82" min="12037" max="12037"/>
    <col width="11.44140625" customWidth="1" style="82" min="12038" max="12281"/>
    <col width="5" customWidth="1" style="82" min="12282" max="12282"/>
    <col width="28" customWidth="1" style="82" min="12283" max="12283"/>
    <col width="13.109375" customWidth="1" style="82" min="12284" max="12284"/>
    <col width="11.44140625" customWidth="1" style="82" min="12285" max="12285"/>
    <col width="15.6640625" customWidth="1" style="82" min="12286" max="12286"/>
    <col width="11.44140625" customWidth="1" style="82" min="12287" max="12287"/>
    <col width="14.33203125" customWidth="1" style="82" min="12288" max="12288"/>
    <col width="11.44140625" customWidth="1" style="82" min="12289" max="12289"/>
    <col width="17.44140625" customWidth="1" style="82" min="12290" max="12290"/>
    <col width="11.44140625" customWidth="1" style="82" min="12291" max="12292"/>
    <col width="14.88671875" bestFit="1" customWidth="1" style="82" min="12293" max="12293"/>
    <col width="11.44140625" customWidth="1" style="82" min="12294" max="12537"/>
    <col width="5" customWidth="1" style="82" min="12538" max="12538"/>
    <col width="28" customWidth="1" style="82" min="12539" max="12539"/>
    <col width="13.109375" customWidth="1" style="82" min="12540" max="12540"/>
    <col width="11.44140625" customWidth="1" style="82" min="12541" max="12541"/>
    <col width="15.6640625" customWidth="1" style="82" min="12542" max="12542"/>
    <col width="11.44140625" customWidth="1" style="82" min="12543" max="12543"/>
    <col width="14.33203125" customWidth="1" style="82" min="12544" max="12544"/>
    <col width="11.44140625" customWidth="1" style="82" min="12545" max="12545"/>
    <col width="17.44140625" customWidth="1" style="82" min="12546" max="12546"/>
    <col width="11.44140625" customWidth="1" style="82" min="12547" max="12548"/>
    <col width="14.88671875" bestFit="1" customWidth="1" style="82" min="12549" max="12549"/>
    <col width="11.44140625" customWidth="1" style="82" min="12550" max="12793"/>
    <col width="5" customWidth="1" style="82" min="12794" max="12794"/>
    <col width="28" customWidth="1" style="82" min="12795" max="12795"/>
    <col width="13.109375" customWidth="1" style="82" min="12796" max="12796"/>
    <col width="11.44140625" customWidth="1" style="82" min="12797" max="12797"/>
    <col width="15.6640625" customWidth="1" style="82" min="12798" max="12798"/>
    <col width="11.44140625" customWidth="1" style="82" min="12799" max="12799"/>
    <col width="14.33203125" customWidth="1" style="82" min="12800" max="12800"/>
    <col width="11.44140625" customWidth="1" style="82" min="12801" max="12801"/>
    <col width="17.44140625" customWidth="1" style="82" min="12802" max="12802"/>
    <col width="11.44140625" customWidth="1" style="82" min="12803" max="12804"/>
    <col width="14.88671875" bestFit="1" customWidth="1" style="82" min="12805" max="12805"/>
    <col width="11.44140625" customWidth="1" style="82" min="12806" max="13049"/>
    <col width="5" customWidth="1" style="82" min="13050" max="13050"/>
    <col width="28" customWidth="1" style="82" min="13051" max="13051"/>
    <col width="13.109375" customWidth="1" style="82" min="13052" max="13052"/>
    <col width="11.44140625" customWidth="1" style="82" min="13053" max="13053"/>
    <col width="15.6640625" customWidth="1" style="82" min="13054" max="13054"/>
    <col width="11.44140625" customWidth="1" style="82" min="13055" max="13055"/>
    <col width="14.33203125" customWidth="1" style="82" min="13056" max="13056"/>
    <col width="11.44140625" customWidth="1" style="82" min="13057" max="13057"/>
    <col width="17.44140625" customWidth="1" style="82" min="13058" max="13058"/>
    <col width="11.44140625" customWidth="1" style="82" min="13059" max="13060"/>
    <col width="14.88671875" bestFit="1" customWidth="1" style="82" min="13061" max="13061"/>
    <col width="11.44140625" customWidth="1" style="82" min="13062" max="13305"/>
    <col width="5" customWidth="1" style="82" min="13306" max="13306"/>
    <col width="28" customWidth="1" style="82" min="13307" max="13307"/>
    <col width="13.109375" customWidth="1" style="82" min="13308" max="13308"/>
    <col width="11.44140625" customWidth="1" style="82" min="13309" max="13309"/>
    <col width="15.6640625" customWidth="1" style="82" min="13310" max="13310"/>
    <col width="11.44140625" customWidth="1" style="82" min="13311" max="13311"/>
    <col width="14.33203125" customWidth="1" style="82" min="13312" max="13312"/>
    <col width="11.44140625" customWidth="1" style="82" min="13313" max="13313"/>
    <col width="17.44140625" customWidth="1" style="82" min="13314" max="13314"/>
    <col width="11.44140625" customWidth="1" style="82" min="13315" max="13316"/>
    <col width="14.88671875" bestFit="1" customWidth="1" style="82" min="13317" max="13317"/>
    <col width="11.44140625" customWidth="1" style="82" min="13318" max="13561"/>
    <col width="5" customWidth="1" style="82" min="13562" max="13562"/>
    <col width="28" customWidth="1" style="82" min="13563" max="13563"/>
    <col width="13.109375" customWidth="1" style="82" min="13564" max="13564"/>
    <col width="11.44140625" customWidth="1" style="82" min="13565" max="13565"/>
    <col width="15.6640625" customWidth="1" style="82" min="13566" max="13566"/>
    <col width="11.44140625" customWidth="1" style="82" min="13567" max="13567"/>
    <col width="14.33203125" customWidth="1" style="82" min="13568" max="13568"/>
    <col width="11.44140625" customWidth="1" style="82" min="13569" max="13569"/>
    <col width="17.44140625" customWidth="1" style="82" min="13570" max="13570"/>
    <col width="11.44140625" customWidth="1" style="82" min="13571" max="13572"/>
    <col width="14.88671875" bestFit="1" customWidth="1" style="82" min="13573" max="13573"/>
    <col width="11.44140625" customWidth="1" style="82" min="13574" max="13817"/>
    <col width="5" customWidth="1" style="82" min="13818" max="13818"/>
    <col width="28" customWidth="1" style="82" min="13819" max="13819"/>
    <col width="13.109375" customWidth="1" style="82" min="13820" max="13820"/>
    <col width="11.44140625" customWidth="1" style="82" min="13821" max="13821"/>
    <col width="15.6640625" customWidth="1" style="82" min="13822" max="13822"/>
    <col width="11.44140625" customWidth="1" style="82" min="13823" max="13823"/>
    <col width="14.33203125" customWidth="1" style="82" min="13824" max="13824"/>
    <col width="11.44140625" customWidth="1" style="82" min="13825" max="13825"/>
    <col width="17.44140625" customWidth="1" style="82" min="13826" max="13826"/>
    <col width="11.44140625" customWidth="1" style="82" min="13827" max="13828"/>
    <col width="14.88671875" bestFit="1" customWidth="1" style="82" min="13829" max="13829"/>
    <col width="11.44140625" customWidth="1" style="82" min="13830" max="14073"/>
    <col width="5" customWidth="1" style="82" min="14074" max="14074"/>
    <col width="28" customWidth="1" style="82" min="14075" max="14075"/>
    <col width="13.109375" customWidth="1" style="82" min="14076" max="14076"/>
    <col width="11.44140625" customWidth="1" style="82" min="14077" max="14077"/>
    <col width="15.6640625" customWidth="1" style="82" min="14078" max="14078"/>
    <col width="11.44140625" customWidth="1" style="82" min="14079" max="14079"/>
    <col width="14.33203125" customWidth="1" style="82" min="14080" max="14080"/>
    <col width="11.44140625" customWidth="1" style="82" min="14081" max="14081"/>
    <col width="17.44140625" customWidth="1" style="82" min="14082" max="14082"/>
    <col width="11.44140625" customWidth="1" style="82" min="14083" max="14084"/>
    <col width="14.88671875" bestFit="1" customWidth="1" style="82" min="14085" max="14085"/>
    <col width="11.44140625" customWidth="1" style="82" min="14086" max="14329"/>
    <col width="5" customWidth="1" style="82" min="14330" max="14330"/>
    <col width="28" customWidth="1" style="82" min="14331" max="14331"/>
    <col width="13.109375" customWidth="1" style="82" min="14332" max="14332"/>
    <col width="11.44140625" customWidth="1" style="82" min="14333" max="14333"/>
    <col width="15.6640625" customWidth="1" style="82" min="14334" max="14334"/>
    <col width="11.44140625" customWidth="1" style="82" min="14335" max="14335"/>
    <col width="14.33203125" customWidth="1" style="82" min="14336" max="14336"/>
    <col width="11.44140625" customWidth="1" style="82" min="14337" max="14337"/>
    <col width="17.44140625" customWidth="1" style="82" min="14338" max="14338"/>
    <col width="11.44140625" customWidth="1" style="82" min="14339" max="14340"/>
    <col width="14.88671875" bestFit="1" customWidth="1" style="82" min="14341" max="14341"/>
    <col width="11.44140625" customWidth="1" style="82" min="14342" max="14585"/>
    <col width="5" customWidth="1" style="82" min="14586" max="14586"/>
    <col width="28" customWidth="1" style="82" min="14587" max="14587"/>
    <col width="13.109375" customWidth="1" style="82" min="14588" max="14588"/>
    <col width="11.44140625" customWidth="1" style="82" min="14589" max="14589"/>
    <col width="15.6640625" customWidth="1" style="82" min="14590" max="14590"/>
    <col width="11.44140625" customWidth="1" style="82" min="14591" max="14591"/>
    <col width="14.33203125" customWidth="1" style="82" min="14592" max="14592"/>
    <col width="11.44140625" customWidth="1" style="82" min="14593" max="14593"/>
    <col width="17.44140625" customWidth="1" style="82" min="14594" max="14594"/>
    <col width="11.44140625" customWidth="1" style="82" min="14595" max="14596"/>
    <col width="14.88671875" bestFit="1" customWidth="1" style="82" min="14597" max="14597"/>
    <col width="11.44140625" customWidth="1" style="82" min="14598" max="14841"/>
    <col width="5" customWidth="1" style="82" min="14842" max="14842"/>
    <col width="28" customWidth="1" style="82" min="14843" max="14843"/>
    <col width="13.109375" customWidth="1" style="82" min="14844" max="14844"/>
    <col width="11.44140625" customWidth="1" style="82" min="14845" max="14845"/>
    <col width="15.6640625" customWidth="1" style="82" min="14846" max="14846"/>
    <col width="11.44140625" customWidth="1" style="82" min="14847" max="14847"/>
    <col width="14.33203125" customWidth="1" style="82" min="14848" max="14848"/>
    <col width="11.44140625" customWidth="1" style="82" min="14849" max="14849"/>
    <col width="17.44140625" customWidth="1" style="82" min="14850" max="14850"/>
    <col width="11.44140625" customWidth="1" style="82" min="14851" max="14852"/>
    <col width="14.88671875" bestFit="1" customWidth="1" style="82" min="14853" max="14853"/>
    <col width="11.44140625" customWidth="1" style="82" min="14854" max="15097"/>
    <col width="5" customWidth="1" style="82" min="15098" max="15098"/>
    <col width="28" customWidth="1" style="82" min="15099" max="15099"/>
    <col width="13.109375" customWidth="1" style="82" min="15100" max="15100"/>
    <col width="11.44140625" customWidth="1" style="82" min="15101" max="15101"/>
    <col width="15.6640625" customWidth="1" style="82" min="15102" max="15102"/>
    <col width="11.44140625" customWidth="1" style="82" min="15103" max="15103"/>
    <col width="14.33203125" customWidth="1" style="82" min="15104" max="15104"/>
    <col width="11.44140625" customWidth="1" style="82" min="15105" max="15105"/>
    <col width="17.44140625" customWidth="1" style="82" min="15106" max="15106"/>
    <col width="11.44140625" customWidth="1" style="82" min="15107" max="15108"/>
    <col width="14.88671875" bestFit="1" customWidth="1" style="82" min="15109" max="15109"/>
    <col width="11.44140625" customWidth="1" style="82" min="15110" max="15353"/>
    <col width="5" customWidth="1" style="82" min="15354" max="15354"/>
    <col width="28" customWidth="1" style="82" min="15355" max="15355"/>
    <col width="13.109375" customWidth="1" style="82" min="15356" max="15356"/>
    <col width="11.44140625" customWidth="1" style="82" min="15357" max="15357"/>
    <col width="15.6640625" customWidth="1" style="82" min="15358" max="15358"/>
    <col width="11.44140625" customWidth="1" style="82" min="15359" max="15359"/>
    <col width="14.33203125" customWidth="1" style="82" min="15360" max="15360"/>
    <col width="11.44140625" customWidth="1" style="82" min="15361" max="15361"/>
    <col width="17.44140625" customWidth="1" style="82" min="15362" max="15362"/>
    <col width="11.44140625" customWidth="1" style="82" min="15363" max="15364"/>
    <col width="14.88671875" bestFit="1" customWidth="1" style="82" min="15365" max="15365"/>
    <col width="11.44140625" customWidth="1" style="82" min="15366" max="15609"/>
    <col width="5" customWidth="1" style="82" min="15610" max="15610"/>
    <col width="28" customWidth="1" style="82" min="15611" max="15611"/>
    <col width="13.109375" customWidth="1" style="82" min="15612" max="15612"/>
    <col width="11.44140625" customWidth="1" style="82" min="15613" max="15613"/>
    <col width="15.6640625" customWidth="1" style="82" min="15614" max="15614"/>
    <col width="11.44140625" customWidth="1" style="82" min="15615" max="15615"/>
    <col width="14.33203125" customWidth="1" style="82" min="15616" max="15616"/>
    <col width="11.44140625" customWidth="1" style="82" min="15617" max="15617"/>
    <col width="17.44140625" customWidth="1" style="82" min="15618" max="15618"/>
    <col width="11.44140625" customWidth="1" style="82" min="15619" max="15620"/>
    <col width="14.88671875" bestFit="1" customWidth="1" style="82" min="15621" max="15621"/>
    <col width="11.44140625" customWidth="1" style="82" min="15622" max="15865"/>
    <col width="5" customWidth="1" style="82" min="15866" max="15866"/>
    <col width="28" customWidth="1" style="82" min="15867" max="15867"/>
    <col width="13.109375" customWidth="1" style="82" min="15868" max="15868"/>
    <col width="11.44140625" customWidth="1" style="82" min="15869" max="15869"/>
    <col width="15.6640625" customWidth="1" style="82" min="15870" max="15870"/>
    <col width="11.44140625" customWidth="1" style="82" min="15871" max="15871"/>
    <col width="14.33203125" customWidth="1" style="82" min="15872" max="15872"/>
    <col width="11.44140625" customWidth="1" style="82" min="15873" max="15873"/>
    <col width="17.44140625" customWidth="1" style="82" min="15874" max="15874"/>
    <col width="11.44140625" customWidth="1" style="82" min="15875" max="15876"/>
    <col width="14.88671875" bestFit="1" customWidth="1" style="82" min="15877" max="15877"/>
    <col width="11.44140625" customWidth="1" style="82" min="15878" max="16121"/>
    <col width="5" customWidth="1" style="82" min="16122" max="16122"/>
    <col width="28" customWidth="1" style="82" min="16123" max="16123"/>
    <col width="13.109375" customWidth="1" style="82" min="16124" max="16124"/>
    <col width="11.44140625" customWidth="1" style="82" min="16125" max="16125"/>
    <col width="15.6640625" customWidth="1" style="82" min="16126" max="16126"/>
    <col width="11.44140625" customWidth="1" style="82" min="16127" max="16127"/>
    <col width="14.33203125" customWidth="1" style="82" min="16128" max="16128"/>
    <col width="11.44140625" customWidth="1" style="82" min="16129" max="16129"/>
    <col width="17.44140625" customWidth="1" style="82" min="16130" max="16130"/>
    <col width="11.44140625" customWidth="1" style="82" min="16131" max="16132"/>
    <col width="14.88671875" bestFit="1" customWidth="1" style="82" min="16133" max="16133"/>
    <col width="11.44140625" customWidth="1" style="82" min="16134" max="16384"/>
  </cols>
  <sheetData>
    <row r="2" ht="18.9" customHeight="1">
      <c r="A2" s="84" t="inlineStr">
        <is>
          <t>REFERENCIAS DE MERCADO DERECHOS DE AGUA</t>
        </is>
      </c>
      <c r="B2" s="757" t="n"/>
      <c r="C2" s="757" t="n"/>
      <c r="D2" s="84" t="n"/>
      <c r="E2" s="84" t="n"/>
      <c r="F2" s="84" t="n"/>
      <c r="G2" s="84" t="n"/>
      <c r="H2" s="84" t="n"/>
      <c r="I2" s="84" t="n"/>
      <c r="J2" s="84" t="inlineStr">
        <is>
          <t>UF:</t>
        </is>
      </c>
      <c r="K2" s="1325">
        <f>PORTADA!$H$8</f>
        <v/>
      </c>
      <c r="L2" s="1325" t="n"/>
      <c r="M2" s="757" t="n"/>
      <c r="N2" s="757" t="n"/>
      <c r="O2" s="757" t="n"/>
    </row>
    <row r="3" ht="13.5" customHeight="1">
      <c r="A3" s="85" t="n"/>
      <c r="B3" s="85" t="n"/>
      <c r="C3" s="85" t="n"/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N3" s="85" t="n"/>
      <c r="O3" s="85" t="n"/>
    </row>
    <row r="4" ht="15.9" customHeight="1">
      <c r="A4" s="86" t="n"/>
      <c r="B4" s="85" t="n"/>
      <c r="C4" s="85" t="n"/>
      <c r="D4" s="85" t="n"/>
      <c r="E4" s="85" t="n"/>
      <c r="F4" s="85" t="n"/>
      <c r="G4" s="85" t="n"/>
      <c r="H4" s="85" t="n"/>
      <c r="I4" s="85" t="n"/>
      <c r="J4" s="85" t="n"/>
      <c r="K4" s="85" t="n"/>
      <c r="L4" s="85" t="n"/>
      <c r="M4" s="85" t="n"/>
      <c r="N4" s="85" t="n"/>
      <c r="O4" s="85" t="n"/>
    </row>
    <row r="5" ht="60.9" customHeight="1">
      <c r="A5" s="780" t="inlineStr">
        <is>
          <t>Región</t>
        </is>
      </c>
      <c r="B5" s="781" t="inlineStr">
        <is>
          <t>Comuna</t>
        </is>
      </c>
      <c r="C5" s="781" t="inlineStr">
        <is>
          <t>Sub-Cuenca</t>
        </is>
      </c>
      <c r="D5" s="781" t="inlineStr">
        <is>
          <t>Fuente</t>
        </is>
      </c>
      <c r="E5" s="781" t="inlineStr">
        <is>
          <t>Nombre de la Fuente</t>
        </is>
      </c>
      <c r="F5" s="781" t="inlineStr">
        <is>
          <t>Derechos</t>
        </is>
      </c>
      <c r="G5" s="781" t="inlineStr">
        <is>
          <t>Tipo</t>
        </is>
      </c>
      <c r="H5" s="781" t="inlineStr">
        <is>
          <t>Q Nominal
L/s</t>
        </is>
      </c>
      <c r="I5" s="781" t="inlineStr">
        <is>
          <t>Valor Total
M$</t>
        </is>
      </c>
      <c r="J5" s="781" t="inlineStr">
        <is>
          <t>Valor Unit.
M$/(L/s)</t>
        </is>
      </c>
      <c r="K5" s="781" t="inlineStr">
        <is>
          <t>Valor 
 UF/(L/s)</t>
        </is>
      </c>
      <c r="L5" s="782" t="inlineStr">
        <is>
          <t>Valor Unit. Ajustado
M$/L/s</t>
        </is>
      </c>
      <c r="M5" s="780" t="inlineStr">
        <is>
          <t>Fecha / Año</t>
        </is>
      </c>
      <c r="N5" s="781" t="inlineStr">
        <is>
          <t>Tipo de
Referencia</t>
        </is>
      </c>
      <c r="O5" s="781" t="inlineStr">
        <is>
          <t>Link oferta o datos compraventa
(fs/nº/año/CBR)</t>
        </is>
      </c>
    </row>
    <row r="6" hidden="1" ht="27" customHeight="1">
      <c r="A6" s="783" t="inlineStr">
        <is>
          <t>V</t>
        </is>
      </c>
      <c r="B6" s="784" t="inlineStr">
        <is>
          <t>Catemu</t>
        </is>
      </c>
      <c r="C6" s="784" t="inlineStr">
        <is>
          <t>Río Aconcagua</t>
        </is>
      </c>
      <c r="D6" s="1326" t="inlineStr">
        <is>
          <t>Estero</t>
        </is>
      </c>
      <c r="E6" s="1326" t="inlineStr">
        <is>
          <t>Catemu</t>
        </is>
      </c>
      <c r="F6" s="786" t="n">
        <v>20</v>
      </c>
      <c r="G6" s="1326" t="inlineStr">
        <is>
          <t>L/s</t>
        </is>
      </c>
      <c r="H6" s="787" t="n">
        <v>20</v>
      </c>
      <c r="I6" s="788">
        <f>J6*H6</f>
        <v/>
      </c>
      <c r="J6" s="87">
        <f>7000</f>
        <v/>
      </c>
      <c r="K6" s="789">
        <f>J6*1000/$K$2</f>
        <v/>
      </c>
      <c r="L6" s="87">
        <f>IF(N6="Oferta",J6*$D$60,J6)</f>
        <v/>
      </c>
      <c r="M6" s="790" t="n">
        <v>45642</v>
      </c>
      <c r="N6" s="784" t="inlineStr">
        <is>
          <t>Oferta</t>
        </is>
      </c>
      <c r="O6" s="791" t="inlineStr">
        <is>
          <t>https://gesaguas.cl/derecho/19</t>
        </is>
      </c>
    </row>
    <row r="7" hidden="1" ht="27" customHeight="1">
      <c r="A7" s="783" t="inlineStr">
        <is>
          <t>V</t>
        </is>
      </c>
      <c r="B7" s="784" t="inlineStr">
        <is>
          <t>Rinconada</t>
        </is>
      </c>
      <c r="C7" s="784" t="inlineStr">
        <is>
          <t>1a seccción Río Aconcagua</t>
        </is>
      </c>
      <c r="D7" s="1326" t="inlineStr">
        <is>
          <t>Canal</t>
        </is>
      </c>
      <c r="E7" s="1326" t="inlineStr">
        <is>
          <t>San Miguel</t>
        </is>
      </c>
      <c r="F7" s="786" t="n">
        <v>5</v>
      </c>
      <c r="G7" s="1326" t="inlineStr">
        <is>
          <t>acción</t>
        </is>
      </c>
      <c r="H7" s="787" t="n">
        <v>8</v>
      </c>
      <c r="I7" s="788" t="n">
        <v>64000</v>
      </c>
      <c r="J7" s="87" t="n">
        <v>8000</v>
      </c>
      <c r="K7" s="789">
        <f>J7*1000/K2</f>
        <v/>
      </c>
      <c r="L7" s="87">
        <f>IF(N7="Oferta",J7*$D$60,J7)</f>
        <v/>
      </c>
      <c r="M7" s="790" t="n">
        <v>45767</v>
      </c>
      <c r="N7" s="784" t="inlineStr">
        <is>
          <t>Oferta</t>
        </is>
      </c>
      <c r="O7" s="791" t="inlineStr">
        <is>
          <t>https://gesaguas.cl/derecho/184</t>
        </is>
      </c>
    </row>
    <row r="8" hidden="1" ht="27" customHeight="1">
      <c r="A8" s="783" t="inlineStr">
        <is>
          <t>V</t>
        </is>
      </c>
      <c r="B8" s="784" t="inlineStr">
        <is>
          <t>LLay Llay</t>
        </is>
      </c>
      <c r="C8" s="784" t="inlineStr">
        <is>
          <t>Río Aconcagua</t>
        </is>
      </c>
      <c r="D8" s="1326" t="inlineStr">
        <is>
          <t>Canal</t>
        </is>
      </c>
      <c r="E8" s="1326" t="inlineStr">
        <is>
          <t>Ucuquer</t>
        </is>
      </c>
      <c r="F8" s="786" t="n">
        <v>0.5</v>
      </c>
      <c r="G8" s="1326" t="inlineStr">
        <is>
          <t>acción</t>
        </is>
      </c>
      <c r="H8" s="787">
        <f>F8</f>
        <v/>
      </c>
      <c r="I8" s="788" t="n">
        <v>1000</v>
      </c>
      <c r="J8" s="87">
        <f>I8/F8</f>
        <v/>
      </c>
      <c r="K8" s="789">
        <f>J8*1000/$K$2</f>
        <v/>
      </c>
      <c r="L8" s="87">
        <f>IF(N8="Oferta",J8*$D$60,J8)</f>
        <v/>
      </c>
      <c r="M8" s="790" t="n">
        <v>45309</v>
      </c>
      <c r="N8" s="784" t="inlineStr">
        <is>
          <t>Venta</t>
        </is>
      </c>
      <c r="O8" s="784" t="inlineStr">
        <is>
          <t>fojas 28v nº 28del año 2024 CBR Llay Llay</t>
        </is>
      </c>
    </row>
    <row r="9" hidden="1" ht="27" customHeight="1">
      <c r="A9" s="783" t="inlineStr">
        <is>
          <t>V</t>
        </is>
      </c>
      <c r="B9" s="784" t="inlineStr">
        <is>
          <t>Hijuelas</t>
        </is>
      </c>
      <c r="C9" s="784" t="inlineStr">
        <is>
          <t>Río Aconcagua</t>
        </is>
      </c>
      <c r="D9" s="1326" t="inlineStr">
        <is>
          <t>Canal</t>
        </is>
      </c>
      <c r="E9" s="1326" t="inlineStr">
        <is>
          <t>Purehue</t>
        </is>
      </c>
      <c r="F9" s="786" t="n">
        <v>43</v>
      </c>
      <c r="G9" s="1326" t="inlineStr">
        <is>
          <t>acción</t>
        </is>
      </c>
      <c r="H9" s="787">
        <f>260/159.25*F9</f>
        <v/>
      </c>
      <c r="I9" s="788" t="n">
        <v>215000</v>
      </c>
      <c r="J9" s="87">
        <f>I9/H9</f>
        <v/>
      </c>
      <c r="K9" s="789">
        <f>J9*1000/$K$2</f>
        <v/>
      </c>
      <c r="L9" s="87">
        <f>IF(N9="Oferta",J9*$D$60,J9)</f>
        <v/>
      </c>
      <c r="M9" s="790" t="n">
        <v>45428</v>
      </c>
      <c r="N9" s="784" t="inlineStr">
        <is>
          <t>Venta</t>
        </is>
      </c>
      <c r="O9" s="784" t="inlineStr">
        <is>
          <t>fojas 111v nº 96 del año 2024CBR Llay Llay</t>
        </is>
      </c>
    </row>
    <row r="10" hidden="1" ht="27" customHeight="1">
      <c r="A10" s="783" t="inlineStr">
        <is>
          <t>V</t>
        </is>
      </c>
      <c r="B10" s="784" t="inlineStr">
        <is>
          <t>Hijuelas</t>
        </is>
      </c>
      <c r="C10" s="784" t="inlineStr">
        <is>
          <t>Río Aconcagua</t>
        </is>
      </c>
      <c r="D10" s="1326" t="inlineStr">
        <is>
          <t>Canal</t>
        </is>
      </c>
      <c r="E10" s="1326" t="inlineStr">
        <is>
          <t>La Sombra</t>
        </is>
      </c>
      <c r="F10" s="786" t="n">
        <v>12</v>
      </c>
      <c r="G10" s="1326" t="inlineStr">
        <is>
          <t>acción</t>
        </is>
      </c>
      <c r="H10" s="787">
        <f>1000/390.09*F10</f>
        <v/>
      </c>
      <c r="I10" s="788" t="n">
        <v>60000</v>
      </c>
      <c r="J10" s="87">
        <f>I10/H10</f>
        <v/>
      </c>
      <c r="K10" s="789">
        <f>J10*1000/$K$2</f>
        <v/>
      </c>
      <c r="L10" s="87">
        <f>IF(N10="Oferta",J10*$D$60,J10)</f>
        <v/>
      </c>
      <c r="M10" s="790" t="n">
        <v>45428</v>
      </c>
      <c r="N10" s="784" t="inlineStr">
        <is>
          <t>Venta</t>
        </is>
      </c>
      <c r="O10" s="784" t="inlineStr">
        <is>
          <t>fojas 113 nº 97 del año 2024CBR Llay Llay</t>
        </is>
      </c>
    </row>
    <row r="11" hidden="1" ht="27" customHeight="1">
      <c r="A11" s="783" t="inlineStr">
        <is>
          <t>V</t>
        </is>
      </c>
      <c r="B11" s="784" t="inlineStr">
        <is>
          <t>Hijuelas</t>
        </is>
      </c>
      <c r="C11" s="784" t="inlineStr">
        <is>
          <t>Río Aconcagua</t>
        </is>
      </c>
      <c r="D11" s="1326" t="inlineStr">
        <is>
          <t>Canal</t>
        </is>
      </c>
      <c r="E11" s="1326" t="inlineStr">
        <is>
          <t>Ocoa</t>
        </is>
      </c>
      <c r="F11" s="786" t="n">
        <v>0.3</v>
      </c>
      <c r="G11" s="1326" t="inlineStr">
        <is>
          <t>acción</t>
        </is>
      </c>
      <c r="H11" s="786">
        <f>736/800*F11</f>
        <v/>
      </c>
      <c r="I11" s="788" t="n">
        <v>1000</v>
      </c>
      <c r="J11" s="87">
        <f>I11/H11</f>
        <v/>
      </c>
      <c r="K11" s="789">
        <f>J11*1000/$K$2</f>
        <v/>
      </c>
      <c r="L11" s="87">
        <f>IF(N11="Oferta",J11*$D$60,J11)</f>
        <v/>
      </c>
      <c r="M11" s="790" t="n">
        <v>45530</v>
      </c>
      <c r="N11" s="784" t="inlineStr">
        <is>
          <t>Venta</t>
        </is>
      </c>
      <c r="O11" s="784" t="inlineStr">
        <is>
          <t>fojas 190 v  nº 165 del año 2024 CBR Llay Llay</t>
        </is>
      </c>
    </row>
    <row r="12" hidden="1" ht="27" customHeight="1">
      <c r="A12" s="783" t="inlineStr">
        <is>
          <t>V</t>
        </is>
      </c>
      <c r="B12" s="784" t="inlineStr">
        <is>
          <t>Llay Llay</t>
        </is>
      </c>
      <c r="C12" s="784" t="inlineStr">
        <is>
          <t>Río Aconcagua</t>
        </is>
      </c>
      <c r="D12" s="1326" t="inlineStr">
        <is>
          <t>Canal</t>
        </is>
      </c>
      <c r="E12" s="1326" t="inlineStr">
        <is>
          <t>Canal del Bajo</t>
        </is>
      </c>
      <c r="F12" s="786" t="n">
        <v>12.54</v>
      </c>
      <c r="G12" s="1326" t="inlineStr">
        <is>
          <t>acción</t>
        </is>
      </c>
      <c r="H12" s="787" t="n">
        <v>53.5</v>
      </c>
      <c r="I12" s="788" t="n">
        <v>200000</v>
      </c>
      <c r="J12" s="87">
        <f>I12/H12</f>
        <v/>
      </c>
      <c r="K12" s="789">
        <f>J12*1000/$K$2</f>
        <v/>
      </c>
      <c r="L12" s="87">
        <f>IF(N12="Oferta",J12*$D$60,J12)</f>
        <v/>
      </c>
      <c r="M12" s="790" t="n">
        <v>44701</v>
      </c>
      <c r="N12" s="784" t="inlineStr">
        <is>
          <t>Venta</t>
        </is>
      </c>
      <c r="O12" s="784" t="inlineStr">
        <is>
          <t>147/140/2022/CBR Llay Llay</t>
        </is>
      </c>
    </row>
    <row r="13" hidden="1" ht="27" customHeight="1">
      <c r="A13" s="783" t="inlineStr">
        <is>
          <t>V</t>
        </is>
      </c>
      <c r="B13" s="784" t="inlineStr">
        <is>
          <t>Catemu</t>
        </is>
      </c>
      <c r="C13" s="784" t="inlineStr">
        <is>
          <t>2ª sección río Aconcagua</t>
        </is>
      </c>
      <c r="D13" s="1326" t="inlineStr">
        <is>
          <t>Canal</t>
        </is>
      </c>
      <c r="E13" s="1326" t="inlineStr">
        <is>
          <t>Comunero o Ucuquer</t>
        </is>
      </c>
      <c r="F13" s="786" t="n">
        <v>12</v>
      </c>
      <c r="G13" s="1326" t="inlineStr">
        <is>
          <t>acción</t>
        </is>
      </c>
      <c r="H13" s="787" t="n">
        <v>12</v>
      </c>
      <c r="I13" s="788" t="n">
        <v>88320</v>
      </c>
      <c r="J13" s="87">
        <f>I13/H13</f>
        <v/>
      </c>
      <c r="K13" s="789">
        <f>J13*1000/$K$2</f>
        <v/>
      </c>
      <c r="L13" s="87">
        <f>IF(N13="Oferta",J13*$D$60,J13)</f>
        <v/>
      </c>
      <c r="M13" s="790" t="n">
        <v>45642</v>
      </c>
      <c r="N13" s="784" t="inlineStr">
        <is>
          <t>Oferta</t>
        </is>
      </c>
      <c r="O13" s="791" t="inlineStr">
        <is>
          <t>https://www.aguacircular.cl/00618-054-05</t>
        </is>
      </c>
    </row>
    <row r="14" hidden="1" ht="27" customHeight="1">
      <c r="A14" s="783" t="inlineStr">
        <is>
          <t>V</t>
        </is>
      </c>
      <c r="B14" s="784" t="inlineStr">
        <is>
          <t>Catemu</t>
        </is>
      </c>
      <c r="C14" s="784" t="inlineStr">
        <is>
          <t>2ª sección río Aconcagua</t>
        </is>
      </c>
      <c r="D14" s="1326" t="inlineStr">
        <is>
          <t>Canal</t>
        </is>
      </c>
      <c r="E14" s="1326" t="inlineStr">
        <is>
          <t>Valdesano</t>
        </is>
      </c>
      <c r="F14" s="786" t="n">
        <v>300</v>
      </c>
      <c r="G14" s="1326" t="inlineStr">
        <is>
          <t>acción</t>
        </is>
      </c>
      <c r="H14" s="1327" t="n">
        <v>9.880000000000001</v>
      </c>
      <c r="I14" s="788" t="n">
        <v>73065</v>
      </c>
      <c r="J14" s="87">
        <f>I14/H14</f>
        <v/>
      </c>
      <c r="K14" s="789">
        <f>J14*1000/$K$2</f>
        <v/>
      </c>
      <c r="L14" s="87">
        <f>IF(N14="Oferta",J14*$D$60,J14)</f>
        <v/>
      </c>
      <c r="M14" s="790" t="n">
        <v>45642</v>
      </c>
      <c r="N14" s="784" t="inlineStr">
        <is>
          <t>Oferta</t>
        </is>
      </c>
      <c r="O14" s="791" t="inlineStr">
        <is>
          <t>https://www.aguacircular.cl/00619-054-05</t>
        </is>
      </c>
    </row>
    <row r="15" hidden="1" ht="27" customHeight="1">
      <c r="A15" s="783" t="inlineStr">
        <is>
          <t>V</t>
        </is>
      </c>
      <c r="B15" s="784" t="inlineStr">
        <is>
          <t>Catemu</t>
        </is>
      </c>
      <c r="C15" s="784" t="inlineStr">
        <is>
          <t>2ª sección río Aconcagua</t>
        </is>
      </c>
      <c r="D15" s="1326" t="inlineStr">
        <is>
          <t>Canal</t>
        </is>
      </c>
      <c r="E15" s="1326" t="inlineStr">
        <is>
          <t>Las Vegas Molino</t>
        </is>
      </c>
      <c r="F15" s="786" t="n">
        <v>2.28</v>
      </c>
      <c r="G15" s="1326" t="inlineStr">
        <is>
          <t>acción</t>
        </is>
      </c>
      <c r="H15" s="1327" t="n">
        <v>15.64</v>
      </c>
      <c r="I15" s="788" t="n">
        <v>86024</v>
      </c>
      <c r="J15" s="87">
        <f>I15/H15</f>
        <v/>
      </c>
      <c r="K15" s="789">
        <f>J15*1000/$K$2</f>
        <v/>
      </c>
      <c r="L15" s="87">
        <f>IF(N15="Oferta",J15*$D$60,J15)</f>
        <v/>
      </c>
      <c r="M15" s="790" t="n">
        <v>45642</v>
      </c>
      <c r="N15" s="784" t="inlineStr">
        <is>
          <t>Oferta</t>
        </is>
      </c>
      <c r="O15" s="791" t="inlineStr">
        <is>
          <t>https://www.aguacircular.cl/01116-054-05</t>
        </is>
      </c>
    </row>
    <row r="16" hidden="1" ht="27" customHeight="1">
      <c r="A16" s="783" t="inlineStr">
        <is>
          <t>V</t>
        </is>
      </c>
      <c r="B16" s="784" t="inlineStr">
        <is>
          <t>San Esteban</t>
        </is>
      </c>
      <c r="C16" s="784" t="inlineStr">
        <is>
          <t>1ª sección Río Aconcagua</t>
        </is>
      </c>
      <c r="D16" s="1326" t="inlineStr">
        <is>
          <t>Canal</t>
        </is>
      </c>
      <c r="E16" s="1326" t="inlineStr">
        <is>
          <t>San Miguel</t>
        </is>
      </c>
      <c r="F16" s="1327" t="n">
        <v>5.706</v>
      </c>
      <c r="G16" s="1326" t="inlineStr">
        <is>
          <t>acción</t>
        </is>
      </c>
      <c r="H16" s="1327" t="n">
        <v>10.27</v>
      </c>
      <c r="I16" s="788" t="n">
        <v>82160</v>
      </c>
      <c r="J16" s="87">
        <f>I16/H16</f>
        <v/>
      </c>
      <c r="K16" s="789">
        <f>J16*1000/$K$2</f>
        <v/>
      </c>
      <c r="L16" s="87">
        <f>IF(N16="Oferta",J16*$D$60,J16)</f>
        <v/>
      </c>
      <c r="M16" s="790" t="n">
        <v>45642</v>
      </c>
      <c r="N16" s="784" t="inlineStr">
        <is>
          <t>Oferta</t>
        </is>
      </c>
      <c r="O16" s="791" t="inlineStr">
        <is>
          <t>https://www.aguacircular.cl/00098-054-05</t>
        </is>
      </c>
    </row>
    <row r="17" hidden="1" ht="27" customHeight="1">
      <c r="A17" s="783" t="inlineStr">
        <is>
          <t>V</t>
        </is>
      </c>
      <c r="B17" s="784" t="inlineStr">
        <is>
          <t>La Calera</t>
        </is>
      </c>
      <c r="C17" s="784" t="inlineStr">
        <is>
          <t>3ª sección Río Aconcagua</t>
        </is>
      </c>
      <c r="D17" s="1326" t="inlineStr">
        <is>
          <t>Canal</t>
        </is>
      </c>
      <c r="E17" s="1326" t="inlineStr">
        <is>
          <t>Waddington</t>
        </is>
      </c>
      <c r="F17" s="786" t="n">
        <v>20</v>
      </c>
      <c r="G17" s="1326" t="inlineStr">
        <is>
          <t>acción</t>
        </is>
      </c>
      <c r="H17" s="787">
        <f>F17</f>
        <v/>
      </c>
      <c r="I17" s="788" t="n">
        <v>117551</v>
      </c>
      <c r="J17" s="87">
        <f>I17/H17</f>
        <v/>
      </c>
      <c r="K17" s="789">
        <f>J17*1000/$K$2</f>
        <v/>
      </c>
      <c r="L17" s="87">
        <f>IF(N17="Oferta",J17*$D$60,J17)</f>
        <v/>
      </c>
      <c r="M17" s="790" t="n">
        <v>45642</v>
      </c>
      <c r="N17" s="784" t="inlineStr">
        <is>
          <t>Oferta</t>
        </is>
      </c>
      <c r="O17" s="791" t="inlineStr">
        <is>
          <t>https://www.aguacircular.cl/00647-054-05</t>
        </is>
      </c>
    </row>
    <row r="18" hidden="1" ht="27" customHeight="1">
      <c r="A18" s="783" t="inlineStr">
        <is>
          <t>V</t>
        </is>
      </c>
      <c r="B18" s="784" t="inlineStr">
        <is>
          <t>La Calera</t>
        </is>
      </c>
      <c r="C18" s="784" t="inlineStr">
        <is>
          <t>3ª sección Río Aconcagua</t>
        </is>
      </c>
      <c r="D18" s="1326" t="inlineStr">
        <is>
          <t>Canal</t>
        </is>
      </c>
      <c r="E18" s="1326" t="inlineStr">
        <is>
          <t>Waddington</t>
        </is>
      </c>
      <c r="F18" s="786" t="n">
        <v>2.9</v>
      </c>
      <c r="G18" s="1326" t="inlineStr">
        <is>
          <t>acción</t>
        </is>
      </c>
      <c r="H18" s="787">
        <f>F18</f>
        <v/>
      </c>
      <c r="I18" s="788" t="n">
        <v>28938</v>
      </c>
      <c r="J18" s="87">
        <f>I18/H18</f>
        <v/>
      </c>
      <c r="K18" s="789">
        <f>J18*1000/$K$2</f>
        <v/>
      </c>
      <c r="L18" s="87">
        <f>IF(N18="Oferta",J18*$D$60,J18)</f>
        <v/>
      </c>
      <c r="M18" s="790" t="n">
        <v>45642</v>
      </c>
      <c r="N18" s="784" t="inlineStr">
        <is>
          <t>Oferta</t>
        </is>
      </c>
      <c r="O18" s="791" t="inlineStr">
        <is>
          <t>https://www.aguacircular.cl/00332-054-05</t>
        </is>
      </c>
    </row>
    <row r="19" hidden="1" ht="27" customHeight="1">
      <c r="A19" s="783" t="inlineStr">
        <is>
          <t>V</t>
        </is>
      </c>
      <c r="B19" s="784" t="inlineStr">
        <is>
          <t>Quillota</t>
        </is>
      </c>
      <c r="C19" s="784" t="inlineStr">
        <is>
          <t>3ª sección Río Aconcagua</t>
        </is>
      </c>
      <c r="D19" s="1326" t="inlineStr">
        <is>
          <t>Canal</t>
        </is>
      </c>
      <c r="E19" s="1326" t="inlineStr">
        <is>
          <t>Comunidad Quillota y Candelaria</t>
        </is>
      </c>
      <c r="F19" s="786" t="n">
        <v>9</v>
      </c>
      <c r="G19" s="1326" t="inlineStr">
        <is>
          <t>acción</t>
        </is>
      </c>
      <c r="H19" s="787">
        <f>F19*2.57</f>
        <v/>
      </c>
      <c r="I19" s="788" t="n">
        <v>61851</v>
      </c>
      <c r="J19" s="87">
        <f>I19/H19</f>
        <v/>
      </c>
      <c r="K19" s="789">
        <f>J19*1000/$K$2</f>
        <v/>
      </c>
      <c r="L19" s="87">
        <f>IF(N19="Oferta",J19*$D$60,J19)</f>
        <v/>
      </c>
      <c r="M19" s="790" t="n">
        <v>45642</v>
      </c>
      <c r="N19" s="784" t="inlineStr">
        <is>
          <t>Oferta</t>
        </is>
      </c>
      <c r="O19" s="791" t="inlineStr">
        <is>
          <t>https://www.aguacircular.cl/00633-054-05</t>
        </is>
      </c>
    </row>
    <row r="20" hidden="1" ht="27" customHeight="1">
      <c r="A20" s="783" t="inlineStr">
        <is>
          <t>V</t>
        </is>
      </c>
      <c r="B20" s="784" t="inlineStr">
        <is>
          <t>Quillota</t>
        </is>
      </c>
      <c r="C20" s="784" t="inlineStr">
        <is>
          <t>Río Aconcagua</t>
        </is>
      </c>
      <c r="D20" s="1326" t="inlineStr">
        <is>
          <t>Canal</t>
        </is>
      </c>
      <c r="E20" s="1326" t="inlineStr">
        <is>
          <t>Candelaria</t>
        </is>
      </c>
      <c r="F20" s="786" t="n">
        <v>0.5046</v>
      </c>
      <c r="G20" s="1326" t="inlineStr">
        <is>
          <t>acción</t>
        </is>
      </c>
      <c r="H20" s="787" t="n">
        <v>0.5046</v>
      </c>
      <c r="I20" s="788" t="n">
        <v>2000</v>
      </c>
      <c r="J20" s="87" t="n">
        <v>3963.535473642489</v>
      </c>
      <c r="K20" s="789" t="n">
        <v>122.4875133586214</v>
      </c>
      <c r="L20" s="87">
        <f>IF(N20="Oferta",J20*$D$60,J20)</f>
        <v/>
      </c>
      <c r="M20" s="790" t="n">
        <v>43881</v>
      </c>
      <c r="N20" s="784" t="inlineStr">
        <is>
          <t>Venta</t>
        </is>
      </c>
      <c r="O20" s="784" t="inlineStr">
        <is>
          <t>57 / 49 / 2020/ CBR Quillota</t>
        </is>
      </c>
    </row>
    <row r="21" hidden="1" ht="27" customHeight="1">
      <c r="A21" s="783" t="inlineStr">
        <is>
          <t>V</t>
        </is>
      </c>
      <c r="B21" s="784" t="inlineStr">
        <is>
          <t>Quillota</t>
        </is>
      </c>
      <c r="C21" s="784" t="inlineStr">
        <is>
          <t>Río Aconcagua</t>
        </is>
      </c>
      <c r="D21" s="1326" t="inlineStr">
        <is>
          <t>Canal</t>
        </is>
      </c>
      <c r="E21" s="1326" t="inlineStr">
        <is>
          <t>Tambor</t>
        </is>
      </c>
      <c r="F21" s="786" t="n">
        <v>0.5</v>
      </c>
      <c r="G21" s="1326" t="inlineStr">
        <is>
          <t>acción</t>
        </is>
      </c>
      <c r="H21" s="787" t="n">
        <v>0.5</v>
      </c>
      <c r="I21" s="788" t="n">
        <v>1528.038</v>
      </c>
      <c r="J21" s="87" t="n">
        <v>3056.076</v>
      </c>
      <c r="K21" s="789" t="n">
        <v>108</v>
      </c>
      <c r="L21" s="87">
        <f>IF(N21="Oferta",J21*$D$60,J21)</f>
        <v/>
      </c>
      <c r="M21" s="790" t="n">
        <v>43882</v>
      </c>
      <c r="N21" s="784" t="inlineStr">
        <is>
          <t>Venta</t>
        </is>
      </c>
      <c r="O21" s="784" t="inlineStr">
        <is>
          <t>58 / 51 / 2020/ CBR Quillota</t>
        </is>
      </c>
    </row>
    <row r="22" hidden="1" ht="27" customHeight="1">
      <c r="A22" s="783" t="inlineStr">
        <is>
          <t>V</t>
        </is>
      </c>
      <c r="B22" s="784" t="inlineStr">
        <is>
          <t>Los Andes</t>
        </is>
      </c>
      <c r="C22" s="784" t="inlineStr">
        <is>
          <t>1ª sección Río Aconcagua</t>
        </is>
      </c>
      <c r="D22" s="1326" t="inlineStr">
        <is>
          <t>Canal</t>
        </is>
      </c>
      <c r="E22" s="1326" t="inlineStr">
        <is>
          <t>Rinconada</t>
        </is>
      </c>
      <c r="F22" s="786" t="n">
        <v>5.538</v>
      </c>
      <c r="G22" s="1326" t="inlineStr">
        <is>
          <t>acción</t>
        </is>
      </c>
      <c r="H22" s="787" t="n">
        <v>9.968400000000001</v>
      </c>
      <c r="I22" s="788" t="n">
        <v>69778.8</v>
      </c>
      <c r="J22" s="87" t="n">
        <v>7000</v>
      </c>
      <c r="K22" s="789">
        <f>J22*1000/$K$2</f>
        <v/>
      </c>
      <c r="L22" s="87">
        <f>IF(N22="Oferta",J22*$D$60,J22)</f>
        <v/>
      </c>
      <c r="M22" s="790" t="n">
        <v>45370</v>
      </c>
      <c r="N22" s="784" t="inlineStr">
        <is>
          <t>Venta</t>
        </is>
      </c>
      <c r="O22" s="784" t="inlineStr">
        <is>
          <t>fojas 92v nº 109 del año 2024 CBR Los Andes</t>
        </is>
      </c>
    </row>
    <row r="23" hidden="1" ht="27" customHeight="1">
      <c r="A23" s="783" t="inlineStr">
        <is>
          <t>V</t>
        </is>
      </c>
      <c r="B23" s="784" t="inlineStr">
        <is>
          <t>Los Andes</t>
        </is>
      </c>
      <c r="C23" s="784" t="inlineStr">
        <is>
          <t>1ª sección Río Aconcagua</t>
        </is>
      </c>
      <c r="D23" s="1326" t="inlineStr">
        <is>
          <t>Canal</t>
        </is>
      </c>
      <c r="E23" s="1326" t="inlineStr">
        <is>
          <t>Rinconada</t>
        </is>
      </c>
      <c r="F23" s="786" t="n">
        <v>3.842</v>
      </c>
      <c r="G23" s="1326" t="inlineStr">
        <is>
          <t>acción</t>
        </is>
      </c>
      <c r="H23" s="787" t="n">
        <v>6.9156</v>
      </c>
      <c r="I23" s="788" t="n">
        <v>48419.37</v>
      </c>
      <c r="J23" s="87">
        <f>I23/H23</f>
        <v/>
      </c>
      <c r="K23" s="789">
        <f>J23*1000/$K$2</f>
        <v/>
      </c>
      <c r="L23" s="87">
        <f>IF(N23="Oferta",J23*$D$60,J23)</f>
        <v/>
      </c>
      <c r="M23" s="790" t="n">
        <v>45370</v>
      </c>
      <c r="N23" s="784" t="inlineStr">
        <is>
          <t>Venta</t>
        </is>
      </c>
      <c r="O23" s="784" t="inlineStr">
        <is>
          <t>fojas 93v nº 111 del año 2024 CBR Los Andes</t>
        </is>
      </c>
    </row>
    <row r="24" hidden="1" ht="27" customHeight="1">
      <c r="A24" s="783" t="inlineStr">
        <is>
          <t>V</t>
        </is>
      </c>
      <c r="B24" s="784" t="inlineStr">
        <is>
          <t>Los Andes</t>
        </is>
      </c>
      <c r="C24" s="784" t="inlineStr">
        <is>
          <t>1ª sección Río Aconcagua</t>
        </is>
      </c>
      <c r="D24" s="1326" t="inlineStr">
        <is>
          <t>Canal</t>
        </is>
      </c>
      <c r="E24" s="1326" t="inlineStr">
        <is>
          <t>Rinconada</t>
        </is>
      </c>
      <c r="F24" s="786" t="n">
        <v>5.517</v>
      </c>
      <c r="G24" s="1326" t="inlineStr">
        <is>
          <t>acción</t>
        </is>
      </c>
      <c r="H24" s="787" t="n">
        <v>9.9306</v>
      </c>
      <c r="I24" s="788" t="n">
        <v>69521.7</v>
      </c>
      <c r="J24" s="87">
        <f>I24/H24</f>
        <v/>
      </c>
      <c r="K24" s="789">
        <f>J24*1000/$K$2</f>
        <v/>
      </c>
      <c r="L24" s="87">
        <f>IF(N24="Oferta",J24*$D$60,J24)</f>
        <v/>
      </c>
      <c r="M24" s="790" t="n">
        <v>45370</v>
      </c>
      <c r="N24" s="784" t="inlineStr">
        <is>
          <t>Venta</t>
        </is>
      </c>
      <c r="O24" s="784" t="inlineStr">
        <is>
          <t>fojas 91 v nº 109 del año 2024 CBR Los Andes</t>
        </is>
      </c>
    </row>
    <row r="25" hidden="1" ht="27" customHeight="1">
      <c r="A25" s="783" t="inlineStr">
        <is>
          <t>V</t>
        </is>
      </c>
      <c r="B25" s="784" t="inlineStr">
        <is>
          <t>Los Andes</t>
        </is>
      </c>
      <c r="C25" s="784" t="inlineStr">
        <is>
          <t>1ª sección Río Aconcagua</t>
        </is>
      </c>
      <c r="D25" s="1326" t="inlineStr">
        <is>
          <t>Canal</t>
        </is>
      </c>
      <c r="E25" s="1326" t="inlineStr">
        <is>
          <t>San Miguel</t>
        </is>
      </c>
      <c r="F25" s="786" t="n">
        <v>5</v>
      </c>
      <c r="G25" s="1326" t="inlineStr">
        <is>
          <t>acción</t>
        </is>
      </c>
      <c r="H25" s="787" t="n">
        <v>8</v>
      </c>
      <c r="I25" s="788" t="n">
        <v>64000</v>
      </c>
      <c r="J25" s="87">
        <f>I25/H25</f>
        <v/>
      </c>
      <c r="K25" s="789">
        <f>J25*1000/$K$2</f>
        <v/>
      </c>
      <c r="L25" s="87">
        <f>IF(N25="Oferta",J25*$D$60,J25)</f>
        <v/>
      </c>
      <c r="M25" s="790" t="n">
        <v>45767</v>
      </c>
      <c r="N25" s="784" t="inlineStr">
        <is>
          <t>Oferta</t>
        </is>
      </c>
      <c r="O25" s="952" t="inlineStr">
        <is>
          <t>https://www.aguacircular.cl/01327-054-05</t>
        </is>
      </c>
    </row>
    <row r="26" hidden="1" ht="27" customHeight="1">
      <c r="A26" s="783" t="inlineStr">
        <is>
          <t>V</t>
        </is>
      </c>
      <c r="B26" s="784" t="inlineStr">
        <is>
          <t>Los Andes</t>
        </is>
      </c>
      <c r="C26" s="784" t="inlineStr">
        <is>
          <t>1ª sección Río Aconcagua</t>
        </is>
      </c>
      <c r="D26" s="1326" t="inlineStr">
        <is>
          <t>Canal</t>
        </is>
      </c>
      <c r="E26" s="1326" t="inlineStr">
        <is>
          <t>San Miguel</t>
        </is>
      </c>
      <c r="F26" s="786" t="n">
        <v>10.27</v>
      </c>
      <c r="G26" s="1326" t="inlineStr">
        <is>
          <t>L/s</t>
        </is>
      </c>
      <c r="H26" s="787" t="n">
        <v>10.27</v>
      </c>
      <c r="I26" s="788" t="n">
        <v>82160</v>
      </c>
      <c r="J26" s="87">
        <f>I26/H26</f>
        <v/>
      </c>
      <c r="K26" s="789">
        <f>J26*1000/$K$2</f>
        <v/>
      </c>
      <c r="L26" s="87">
        <f>IF(N26="Oferta",J26*$D$60,J26)</f>
        <v/>
      </c>
      <c r="M26" s="790" t="n">
        <v>45767</v>
      </c>
      <c r="N26" s="784" t="inlineStr">
        <is>
          <t>Oferta</t>
        </is>
      </c>
      <c r="O26" s="952" t="inlineStr">
        <is>
          <t>https://www.aguacircular.cl/00098-054-05</t>
        </is>
      </c>
    </row>
    <row r="27" hidden="1" ht="27" customHeight="1">
      <c r="A27" s="783" t="inlineStr">
        <is>
          <t>V</t>
        </is>
      </c>
      <c r="B27" s="784" t="inlineStr">
        <is>
          <t>Catemu</t>
        </is>
      </c>
      <c r="C27" s="784" t="inlineStr">
        <is>
          <t>2ª sección río Aconcagua</t>
        </is>
      </c>
      <c r="D27" s="1326" t="inlineStr">
        <is>
          <t>Canal</t>
        </is>
      </c>
      <c r="E27" s="1326" t="inlineStr">
        <is>
          <t>Comunero o Ucuquer</t>
        </is>
      </c>
      <c r="F27" s="786" t="n">
        <v>12</v>
      </c>
      <c r="G27" s="1326" t="inlineStr">
        <is>
          <t>acción</t>
        </is>
      </c>
      <c r="H27" s="787" t="n">
        <v>12</v>
      </c>
      <c r="I27" s="788" t="n">
        <v>89817</v>
      </c>
      <c r="J27" s="87">
        <f>I27/H27</f>
        <v/>
      </c>
      <c r="K27" s="789">
        <f>J27*1000/$K$2</f>
        <v/>
      </c>
      <c r="L27" s="87">
        <f>IF(N27="Oferta",J27*$D$60,J27)</f>
        <v/>
      </c>
      <c r="M27" s="790" t="n">
        <v>45767</v>
      </c>
      <c r="N27" s="784" t="inlineStr">
        <is>
          <t>Oferta</t>
        </is>
      </c>
      <c r="O27" s="953" t="inlineStr">
        <is>
          <t>https://www.aguacircular.cl/00618-054-05</t>
        </is>
      </c>
    </row>
    <row r="28" hidden="1" ht="27" customHeight="1">
      <c r="A28" s="783" t="inlineStr">
        <is>
          <t>V</t>
        </is>
      </c>
      <c r="B28" s="784" t="inlineStr">
        <is>
          <t>Catemu</t>
        </is>
      </c>
      <c r="C28" s="784" t="inlineStr">
        <is>
          <t>2ª sección río Aconcagua</t>
        </is>
      </c>
      <c r="D28" s="1326" t="inlineStr">
        <is>
          <t>Canal</t>
        </is>
      </c>
      <c r="E28" s="1326" t="inlineStr">
        <is>
          <t>Valdesano</t>
        </is>
      </c>
      <c r="F28" s="786" t="n">
        <v>300</v>
      </c>
      <c r="G28" s="1326" t="inlineStr">
        <is>
          <t>acción</t>
        </is>
      </c>
      <c r="H28" s="787" t="n">
        <v>9.880000000000001</v>
      </c>
      <c r="I28" s="788" t="n">
        <v>74303</v>
      </c>
      <c r="J28" s="87">
        <f>I28/H28</f>
        <v/>
      </c>
      <c r="K28" s="789">
        <f>J28*1000/$K$2</f>
        <v/>
      </c>
      <c r="L28" s="87">
        <f>IF(N28="Oferta",J28*$D$60,J28)</f>
        <v/>
      </c>
      <c r="M28" s="790" t="n">
        <v>45767</v>
      </c>
      <c r="N28" s="784" t="inlineStr">
        <is>
          <t>Oferta</t>
        </is>
      </c>
      <c r="O28" s="953" t="inlineStr">
        <is>
          <t>https://www.aguacircular.cl/00619-054-05</t>
        </is>
      </c>
    </row>
    <row r="29" hidden="1" ht="27" customHeight="1">
      <c r="A29" s="783" t="inlineStr">
        <is>
          <t>V</t>
        </is>
      </c>
      <c r="B29" s="784" t="inlineStr">
        <is>
          <t>Los Andes</t>
        </is>
      </c>
      <c r="C29" s="784" t="inlineStr">
        <is>
          <t>Río Aconcagua</t>
        </is>
      </c>
      <c r="D29" s="1326" t="inlineStr">
        <is>
          <t>Pozo</t>
        </is>
      </c>
      <c r="E29" s="1326" t="inlineStr">
        <is>
          <t>sin nombre</t>
        </is>
      </c>
      <c r="F29" s="786" t="n">
        <v>1</v>
      </c>
      <c r="G29" s="1326" t="inlineStr">
        <is>
          <t>L/s</t>
        </is>
      </c>
      <c r="H29" s="787">
        <f>+F29</f>
        <v/>
      </c>
      <c r="I29" s="788" t="n">
        <v>7000</v>
      </c>
      <c r="J29" s="87">
        <f>I29/H29</f>
        <v/>
      </c>
      <c r="K29" s="789">
        <f>J29*1000/$K$2</f>
        <v/>
      </c>
      <c r="L29" s="87">
        <f>IF(N29="Oferta",J29*$D$60,J29)</f>
        <v/>
      </c>
      <c r="M29" s="790" t="n">
        <v>43717</v>
      </c>
      <c r="N29" s="784" t="inlineStr">
        <is>
          <t>Venta</t>
        </is>
      </c>
      <c r="O29" s="784" t="inlineStr">
        <is>
          <t>174 / 230 / 2019 / Los Andes</t>
        </is>
      </c>
    </row>
    <row r="30" hidden="1" ht="27" customHeight="1">
      <c r="A30" s="759" t="inlineStr">
        <is>
          <t>V</t>
        </is>
      </c>
      <c r="B30" s="88" t="inlineStr">
        <is>
          <t>Los Andes</t>
        </is>
      </c>
      <c r="C30" s="88" t="inlineStr">
        <is>
          <t>Río Aconcagua</t>
        </is>
      </c>
      <c r="D30" s="1328" t="inlineStr">
        <is>
          <t>Canal</t>
        </is>
      </c>
      <c r="E30" s="1328" t="inlineStr">
        <is>
          <t>Rinconada</t>
        </is>
      </c>
      <c r="F30" s="762" t="n">
        <v>0.25</v>
      </c>
      <c r="G30" s="1328" t="inlineStr">
        <is>
          <t>acción</t>
        </is>
      </c>
      <c r="H30" s="760" t="n">
        <v>0.45</v>
      </c>
      <c r="I30" s="90" t="n">
        <v>1250</v>
      </c>
      <c r="J30" s="91">
        <f>I30/H30</f>
        <v/>
      </c>
      <c r="K30" s="761">
        <f>J30*1000/$K$2</f>
        <v/>
      </c>
      <c r="L30" s="87">
        <f>IF(N30="Oferta",J30*$D$60,J30)</f>
        <v/>
      </c>
      <c r="M30" s="92" t="n">
        <v>43691</v>
      </c>
      <c r="N30" s="88" t="inlineStr">
        <is>
          <t>Venta</t>
        </is>
      </c>
      <c r="O30" s="88" t="inlineStr">
        <is>
          <t>159 v / 210 / 2019/ Los Andes</t>
        </is>
      </c>
    </row>
    <row r="31" hidden="1" ht="27" customHeight="1">
      <c r="A31" s="759" t="inlineStr">
        <is>
          <t>V</t>
        </is>
      </c>
      <c r="B31" s="88" t="inlineStr">
        <is>
          <t>Los Andes</t>
        </is>
      </c>
      <c r="C31" s="88" t="inlineStr">
        <is>
          <t>Río Aconcagua</t>
        </is>
      </c>
      <c r="D31" s="1328" t="inlineStr">
        <is>
          <t>Canal</t>
        </is>
      </c>
      <c r="E31" s="1328" t="inlineStr">
        <is>
          <t>Quilpué</t>
        </is>
      </c>
      <c r="F31" s="762" t="n">
        <v>0.267</v>
      </c>
      <c r="G31" s="1328" t="inlineStr">
        <is>
          <t>acción</t>
        </is>
      </c>
      <c r="H31" s="760">
        <f>F31*1.8</f>
        <v/>
      </c>
      <c r="I31" s="90" t="n">
        <v>1000</v>
      </c>
      <c r="J31" s="91">
        <f>I31/H31</f>
        <v/>
      </c>
      <c r="K31" s="761">
        <f>J31*1000/$K$2</f>
        <v/>
      </c>
      <c r="L31" s="87">
        <f>IF(N31="Oferta",J31*$D$60,J31)</f>
        <v/>
      </c>
      <c r="M31" s="92" t="n">
        <v>43651</v>
      </c>
      <c r="N31" s="88" t="inlineStr">
        <is>
          <t>Venta</t>
        </is>
      </c>
      <c r="O31" s="88" t="inlineStr">
        <is>
          <t>128 v / 166 / 2019 / Los Andes</t>
        </is>
      </c>
    </row>
    <row r="32" hidden="1" ht="27" customHeight="1">
      <c r="A32" s="759" t="inlineStr">
        <is>
          <t>V</t>
        </is>
      </c>
      <c r="B32" s="88" t="inlineStr">
        <is>
          <t>Los Andes</t>
        </is>
      </c>
      <c r="C32" s="88" t="inlineStr">
        <is>
          <t>Río Aconcagua</t>
        </is>
      </c>
      <c r="D32" s="1328" t="inlineStr">
        <is>
          <t>Canal</t>
        </is>
      </c>
      <c r="E32" s="1328" t="inlineStr">
        <is>
          <t>San Miguel</t>
        </is>
      </c>
      <c r="F32" s="762" t="n">
        <v>3.5</v>
      </c>
      <c r="G32" s="1328" t="inlineStr">
        <is>
          <t>acción</t>
        </is>
      </c>
      <c r="H32" s="760">
        <f>F32*1.8</f>
        <v/>
      </c>
      <c r="I32" s="90" t="n">
        <v>32000</v>
      </c>
      <c r="J32" s="91">
        <f>I32/H32</f>
        <v/>
      </c>
      <c r="K32" s="761">
        <f>J32*1000/$K$2</f>
        <v/>
      </c>
      <c r="L32" s="87">
        <f>IF(N32="Oferta",J32*$D$60,J32)</f>
        <v/>
      </c>
      <c r="M32" s="92" t="n">
        <v>43633</v>
      </c>
      <c r="N32" s="88" t="inlineStr">
        <is>
          <t>Venta</t>
        </is>
      </c>
      <c r="O32" s="88" t="inlineStr">
        <is>
          <t>113 v / 148 / 2019 / Los Andes</t>
        </is>
      </c>
    </row>
    <row r="33" hidden="1" ht="27" customHeight="1">
      <c r="A33" s="759" t="inlineStr">
        <is>
          <t>V</t>
        </is>
      </c>
      <c r="B33" s="88" t="inlineStr">
        <is>
          <t>Los Andes</t>
        </is>
      </c>
      <c r="C33" s="88" t="inlineStr">
        <is>
          <t>Río Aconcagua</t>
        </is>
      </c>
      <c r="D33" s="1328" t="inlineStr">
        <is>
          <t>Canal</t>
        </is>
      </c>
      <c r="E33" s="1328" t="inlineStr">
        <is>
          <t>San Rafael</t>
        </is>
      </c>
      <c r="F33" s="762" t="n">
        <v>0.655</v>
      </c>
      <c r="G33" s="1328" t="inlineStr">
        <is>
          <t>acción</t>
        </is>
      </c>
      <c r="H33" s="760">
        <f>F33*1.8</f>
        <v/>
      </c>
      <c r="I33" s="90" t="n">
        <v>9650</v>
      </c>
      <c r="J33" s="91">
        <f>I33/H33</f>
        <v/>
      </c>
      <c r="K33" s="761">
        <f>J33*1000/$K$2</f>
        <v/>
      </c>
      <c r="L33" s="87">
        <f>IF(N33="Oferta",J33*$D$60,J33)</f>
        <v/>
      </c>
      <c r="M33" s="92" t="n">
        <v>43612</v>
      </c>
      <c r="N33" s="88" t="inlineStr">
        <is>
          <t>Venta</t>
        </is>
      </c>
      <c r="O33" s="88" t="inlineStr">
        <is>
          <t>108 / 140 / 2019 / Los Andes</t>
        </is>
      </c>
    </row>
    <row r="34" hidden="1" ht="27" customHeight="1">
      <c r="A34" s="759" t="inlineStr">
        <is>
          <t>V</t>
        </is>
      </c>
      <c r="B34" s="88" t="inlineStr">
        <is>
          <t>Los Andes</t>
        </is>
      </c>
      <c r="C34" s="88" t="inlineStr">
        <is>
          <t>Estero Quilpué</t>
        </is>
      </c>
      <c r="D34" s="1328" t="inlineStr">
        <is>
          <t>Canal</t>
        </is>
      </c>
      <c r="E34" s="1328" t="inlineStr">
        <is>
          <t>El Monte</t>
        </is>
      </c>
      <c r="F34" s="762" t="n">
        <v>2.88</v>
      </c>
      <c r="G34" s="1328" t="inlineStr">
        <is>
          <t>acción</t>
        </is>
      </c>
      <c r="H34" s="760" t="n">
        <v>2.88</v>
      </c>
      <c r="I34" s="90" t="n">
        <v>9741</v>
      </c>
      <c r="J34" s="91">
        <f>I34/H34</f>
        <v/>
      </c>
      <c r="K34" s="761">
        <f>J34*1000/$K$2</f>
        <v/>
      </c>
      <c r="L34" s="87">
        <f>IF(N34="Oferta",J34*$D$60,J34)</f>
        <v/>
      </c>
      <c r="M34" s="92" t="n">
        <v>43553</v>
      </c>
      <c r="N34" s="88" t="inlineStr">
        <is>
          <t>Venta</t>
        </is>
      </c>
      <c r="O34" s="88" t="inlineStr">
        <is>
          <t>58 / 66 / 2019 / Los Andes</t>
        </is>
      </c>
    </row>
    <row r="35" hidden="1" ht="27" customHeight="1">
      <c r="A35" s="759" t="inlineStr">
        <is>
          <t>V</t>
        </is>
      </c>
      <c r="B35" s="88" t="inlineStr">
        <is>
          <t>Los Andes</t>
        </is>
      </c>
      <c r="C35" s="88" t="inlineStr">
        <is>
          <t>Río Aconcagua</t>
        </is>
      </c>
      <c r="D35" s="1328" t="inlineStr">
        <is>
          <t>Canal</t>
        </is>
      </c>
      <c r="E35" s="1328" t="inlineStr">
        <is>
          <t>Los Cantos</t>
        </is>
      </c>
      <c r="F35" s="762" t="n">
        <v>32</v>
      </c>
      <c r="G35" s="1328" t="inlineStr">
        <is>
          <t>acción</t>
        </is>
      </c>
      <c r="H35" s="760" t="n">
        <v>40.92</v>
      </c>
      <c r="I35" s="90" t="n">
        <v>154674</v>
      </c>
      <c r="J35" s="91">
        <f>I35/H35</f>
        <v/>
      </c>
      <c r="K35" s="761">
        <f>J35*1000/$K$2</f>
        <v/>
      </c>
      <c r="L35" s="87">
        <f>IF(N35="Oferta",J35*$D$60,J35)</f>
        <v/>
      </c>
      <c r="M35" s="92" t="n">
        <v>43480</v>
      </c>
      <c r="N35" s="88" t="inlineStr">
        <is>
          <t>Venta</t>
        </is>
      </c>
      <c r="O35" s="88" t="inlineStr">
        <is>
          <t>10 / 13 / 2019 /Los Andes</t>
        </is>
      </c>
    </row>
    <row r="36" hidden="1" ht="27" customHeight="1">
      <c r="A36" s="759" t="inlineStr">
        <is>
          <t>V</t>
        </is>
      </c>
      <c r="B36" s="88" t="inlineStr">
        <is>
          <t>Los Andes</t>
        </is>
      </c>
      <c r="C36" s="88" t="inlineStr">
        <is>
          <t>Río Aconcagua</t>
        </is>
      </c>
      <c r="D36" s="1328" t="inlineStr">
        <is>
          <t>Canal</t>
        </is>
      </c>
      <c r="E36" s="1328" t="inlineStr">
        <is>
          <t>Quilpué</t>
        </is>
      </c>
      <c r="F36" s="762" t="n">
        <v>1.424</v>
      </c>
      <c r="G36" s="1328" t="inlineStr">
        <is>
          <t>acción</t>
        </is>
      </c>
      <c r="H36" s="760" t="n">
        <v>2.563</v>
      </c>
      <c r="I36" s="90" t="n">
        <v>10213</v>
      </c>
      <c r="J36" s="91">
        <f>I36/H36</f>
        <v/>
      </c>
      <c r="K36" s="761">
        <f>J36*1000/$K$2</f>
        <v/>
      </c>
      <c r="L36" s="87">
        <f>IF(N36="Oferta",J36*$D$60,J36)</f>
        <v/>
      </c>
      <c r="M36" s="92" t="n">
        <v>43480</v>
      </c>
      <c r="N36" s="88" t="inlineStr">
        <is>
          <t>Venta</t>
        </is>
      </c>
      <c r="O36" s="88" t="inlineStr">
        <is>
          <t>10 / 13 / 2019 /Los Andes</t>
        </is>
      </c>
    </row>
    <row r="37" hidden="1" ht="27" customHeight="1">
      <c r="A37" s="759" t="inlineStr">
        <is>
          <t>V</t>
        </is>
      </c>
      <c r="B37" s="88" t="inlineStr">
        <is>
          <t>Chimbarongo</t>
        </is>
      </c>
      <c r="C37" s="88" t="inlineStr">
        <is>
          <t>Río Rapel</t>
        </is>
      </c>
      <c r="D37" s="1328" t="inlineStr">
        <is>
          <t>Canal</t>
        </is>
      </c>
      <c r="E37" s="1328" t="inlineStr">
        <is>
          <t>Común</t>
        </is>
      </c>
      <c r="F37" s="762" t="n">
        <v>12.04</v>
      </c>
      <c r="G37" s="1328" t="inlineStr">
        <is>
          <t>L/s</t>
        </is>
      </c>
      <c r="H37" s="760" t="n">
        <v>12.04</v>
      </c>
      <c r="I37" s="90" t="n">
        <v>122513</v>
      </c>
      <c r="J37" s="91">
        <f>I37/H37</f>
        <v/>
      </c>
      <c r="K37" s="761">
        <f>J37*1000/$K$2</f>
        <v/>
      </c>
      <c r="L37" s="87">
        <f>IF(N37="Oferta",J37*$D$60,J37)</f>
        <v/>
      </c>
      <c r="M37" s="92" t="n">
        <v>45792</v>
      </c>
      <c r="N37" s="88" t="inlineStr">
        <is>
          <t>Oferta</t>
        </is>
      </c>
      <c r="O37" s="88" t="inlineStr">
        <is>
          <t>https://www.aguacircular.cl/00277-060-06</t>
        </is>
      </c>
    </row>
    <row r="38" hidden="1" ht="27" customHeight="1">
      <c r="A38" s="759" t="inlineStr">
        <is>
          <t>VI</t>
        </is>
      </c>
      <c r="B38" s="88" t="inlineStr">
        <is>
          <t>San Vicente TT</t>
        </is>
      </c>
      <c r="C38" s="88" t="inlineStr">
        <is>
          <t>Río Rapel</t>
        </is>
      </c>
      <c r="D38" s="1328" t="inlineStr">
        <is>
          <t>Canal</t>
        </is>
      </c>
      <c r="E38" s="1328" t="inlineStr">
        <is>
          <t>El Naranjal</t>
        </is>
      </c>
      <c r="F38" s="762" t="n">
        <v>108.5</v>
      </c>
      <c r="G38" s="1328" t="inlineStr">
        <is>
          <t>L/s</t>
        </is>
      </c>
      <c r="H38" s="760" t="n">
        <v>108.5</v>
      </c>
      <c r="I38" s="90">
        <f>4000*108.5</f>
        <v/>
      </c>
      <c r="J38" s="91">
        <f>I38/H38</f>
        <v/>
      </c>
      <c r="K38" s="761">
        <f>J38*1000/$K$2</f>
        <v/>
      </c>
      <c r="L38" s="87">
        <f>IF(N38="Oferta",J38*$D$60,J38)</f>
        <v/>
      </c>
      <c r="M38" s="92" t="n">
        <v>46157</v>
      </c>
      <c r="N38" s="88" t="inlineStr">
        <is>
          <t>Oferta</t>
        </is>
      </c>
      <c r="O38" s="954" t="inlineStr">
        <is>
          <t>https://www.gesaguas.cl/derecho/20</t>
        </is>
      </c>
    </row>
    <row r="39" hidden="1" ht="27" customHeight="1">
      <c r="A39" s="759" t="inlineStr">
        <is>
          <t>VI</t>
        </is>
      </c>
      <c r="B39" s="88" t="inlineStr">
        <is>
          <t>Machalí</t>
        </is>
      </c>
      <c r="C39" s="88" t="inlineStr">
        <is>
          <t>Río Cachapoal</t>
        </is>
      </c>
      <c r="D39" s="1328" t="inlineStr">
        <is>
          <t>Canal</t>
        </is>
      </c>
      <c r="E39" s="1328" t="inlineStr">
        <is>
          <t>San Pedro, Población</t>
        </is>
      </c>
      <c r="F39" s="762" t="n">
        <v>196.56</v>
      </c>
      <c r="G39" s="1328" t="inlineStr">
        <is>
          <t>L/s</t>
        </is>
      </c>
      <c r="H39" s="760" t="n">
        <v>196.56</v>
      </c>
      <c r="I39" s="90" t="n">
        <v>716924</v>
      </c>
      <c r="J39" s="91">
        <f>I39/H39</f>
        <v/>
      </c>
      <c r="K39" s="761">
        <f>J39*1000/$K$2</f>
        <v/>
      </c>
      <c r="L39" s="87">
        <f>IF(N39="Oferta",J39*$D$60,J39)</f>
        <v/>
      </c>
      <c r="M39" s="92" t="n">
        <v>46157</v>
      </c>
      <c r="N39" s="88" t="inlineStr">
        <is>
          <t>Oferta</t>
        </is>
      </c>
      <c r="O39" s="954" t="inlineStr">
        <is>
          <t>https://www.aguacircular.cl/00540-060-06</t>
        </is>
      </c>
    </row>
    <row r="40" hidden="1" ht="27" customHeight="1">
      <c r="A40" s="759" t="inlineStr">
        <is>
          <t>VI</t>
        </is>
      </c>
      <c r="B40" s="88" t="inlineStr">
        <is>
          <t>Machalí</t>
        </is>
      </c>
      <c r="C40" s="88" t="inlineStr">
        <is>
          <t>Río Cachapoal</t>
        </is>
      </c>
      <c r="D40" s="1328" t="inlineStr">
        <is>
          <t>Canal</t>
        </is>
      </c>
      <c r="E40" s="1328" t="inlineStr">
        <is>
          <t>San Pedro, Población</t>
        </is>
      </c>
      <c r="F40" s="762" t="n">
        <v>8.1</v>
      </c>
      <c r="G40" s="1328" t="inlineStr">
        <is>
          <t>L/s</t>
        </is>
      </c>
      <c r="H40" s="760" t="n">
        <v>8.1</v>
      </c>
      <c r="I40" s="90" t="n">
        <v>35400</v>
      </c>
      <c r="J40" s="91">
        <f>I40/H40</f>
        <v/>
      </c>
      <c r="K40" s="761">
        <f>J40*1000/$K$2</f>
        <v/>
      </c>
      <c r="L40" s="87">
        <f>IF(N40="Oferta",J40*$D$60,J40)</f>
        <v/>
      </c>
      <c r="M40" s="92" t="n">
        <v>46157</v>
      </c>
      <c r="N40" s="88" t="inlineStr">
        <is>
          <t>Oferta</t>
        </is>
      </c>
      <c r="O40" s="954" t="inlineStr">
        <is>
          <t>https://www.aguacircular.cl/01265-060-06</t>
        </is>
      </c>
    </row>
    <row r="41" hidden="1" ht="27" customHeight="1">
      <c r="A41" s="759" t="inlineStr">
        <is>
          <t>VI</t>
        </is>
      </c>
      <c r="B41" s="88" t="inlineStr">
        <is>
          <t>Machalí</t>
        </is>
      </c>
      <c r="C41" s="88" t="inlineStr">
        <is>
          <t>Río Cachapoal</t>
        </is>
      </c>
      <c r="D41" s="1328" t="inlineStr">
        <is>
          <t>Canal</t>
        </is>
      </c>
      <c r="E41" s="1328" t="inlineStr">
        <is>
          <t>San Pedro, Población</t>
        </is>
      </c>
      <c r="F41" s="762" t="n">
        <v>3.85</v>
      </c>
      <c r="G41" s="1328" t="inlineStr">
        <is>
          <t>L/s</t>
        </is>
      </c>
      <c r="H41" s="760" t="n">
        <v>3.85</v>
      </c>
      <c r="I41" s="90" t="n">
        <v>31230</v>
      </c>
      <c r="J41" s="91">
        <f>I41/H41</f>
        <v/>
      </c>
      <c r="K41" s="761">
        <f>J41*1000/$K$2</f>
        <v/>
      </c>
      <c r="L41" s="87">
        <f>IF(N41="Oferta",J41*$D$60,J41)</f>
        <v/>
      </c>
      <c r="M41" s="92" t="n">
        <v>45792</v>
      </c>
      <c r="N41" s="88" t="inlineStr">
        <is>
          <t>Oferta</t>
        </is>
      </c>
      <c r="O41" s="88" t="inlineStr">
        <is>
          <t>https://www.aguacircular.cl/01119-060-06</t>
        </is>
      </c>
    </row>
    <row r="42" hidden="1" ht="27" customHeight="1">
      <c r="A42" s="759" t="inlineStr">
        <is>
          <t>VI</t>
        </is>
      </c>
      <c r="B42" s="88" t="inlineStr">
        <is>
          <t>Machalí</t>
        </is>
      </c>
      <c r="C42" s="88" t="inlineStr">
        <is>
          <t>Río Cachapoal</t>
        </is>
      </c>
      <c r="D42" s="1328" t="inlineStr">
        <is>
          <t>Canal</t>
        </is>
      </c>
      <c r="E42" s="1328" t="inlineStr">
        <is>
          <t>San Pedro, Población</t>
        </is>
      </c>
      <c r="F42" s="762" t="n">
        <v>7.33</v>
      </c>
      <c r="G42" s="1328" t="inlineStr">
        <is>
          <t>L/s</t>
        </is>
      </c>
      <c r="H42" s="760" t="n">
        <v>7.33</v>
      </c>
      <c r="I42" s="90" t="n">
        <v>25000</v>
      </c>
      <c r="J42" s="91">
        <f>I42/H42</f>
        <v/>
      </c>
      <c r="K42" s="761">
        <f>J42*1000/$K$2</f>
        <v/>
      </c>
      <c r="L42" s="87">
        <f>IF(N42="Oferta",J42*$D$60,J42)</f>
        <v/>
      </c>
      <c r="M42" s="92" t="n">
        <v>46157</v>
      </c>
      <c r="N42" s="88" t="inlineStr">
        <is>
          <t>Oferta</t>
        </is>
      </c>
      <c r="O42" s="954" t="inlineStr">
        <is>
          <t>https://www.aguacircular.cl/01281-060-06</t>
        </is>
      </c>
    </row>
    <row r="43" hidden="1" ht="27" customHeight="1">
      <c r="A43" s="759" t="inlineStr">
        <is>
          <t>VI</t>
        </is>
      </c>
      <c r="B43" s="88" t="inlineStr">
        <is>
          <t>Rancagua</t>
        </is>
      </c>
      <c r="C43" s="88" t="inlineStr">
        <is>
          <t>Río Cachapoal</t>
        </is>
      </c>
      <c r="D43" s="1328" t="inlineStr">
        <is>
          <t>Canal</t>
        </is>
      </c>
      <c r="E43" s="1328" t="inlineStr">
        <is>
          <t>San Pedro, Población</t>
        </is>
      </c>
      <c r="F43" s="762" t="n">
        <v>119</v>
      </c>
      <c r="G43" s="1328" t="inlineStr">
        <is>
          <t>L/s</t>
        </is>
      </c>
      <c r="H43" s="760" t="n">
        <v>119</v>
      </c>
      <c r="I43" s="90" t="n">
        <v>453540</v>
      </c>
      <c r="J43" s="91">
        <f>I43/H43</f>
        <v/>
      </c>
      <c r="K43" s="761">
        <f>J43*1000/$K$2</f>
        <v/>
      </c>
      <c r="L43" s="87">
        <f>IF(N43="Oferta",J43*$D$60,J43)</f>
        <v/>
      </c>
      <c r="M43" s="92" t="n">
        <v>46157</v>
      </c>
      <c r="N43" s="88" t="inlineStr">
        <is>
          <t>Oferta</t>
        </is>
      </c>
      <c r="O43" s="954" t="inlineStr">
        <is>
          <t>https://www.aguacircular.cl/00532-060-06</t>
        </is>
      </c>
    </row>
    <row r="44" hidden="1" ht="27" customHeight="1">
      <c r="A44" s="759" t="inlineStr">
        <is>
          <t>VI</t>
        </is>
      </c>
      <c r="B44" s="88" t="inlineStr">
        <is>
          <t>Rancagua</t>
        </is>
      </c>
      <c r="C44" s="88" t="inlineStr">
        <is>
          <t>Río Cachapoal</t>
        </is>
      </c>
      <c r="D44" s="1328" t="inlineStr">
        <is>
          <t>Canal</t>
        </is>
      </c>
      <c r="E44" s="1328" t="inlineStr">
        <is>
          <t>Petterson</t>
        </is>
      </c>
      <c r="F44" s="762" t="n">
        <v>31.2</v>
      </c>
      <c r="G44" s="1328" t="inlineStr">
        <is>
          <t>L/s</t>
        </is>
      </c>
      <c r="H44" s="760" t="n">
        <v>31.2</v>
      </c>
      <c r="I44" s="90" t="n">
        <v>93600</v>
      </c>
      <c r="J44" s="91">
        <f>I44/H44</f>
        <v/>
      </c>
      <c r="K44" s="761">
        <f>J44*1000/$K$2</f>
        <v/>
      </c>
      <c r="L44" s="87">
        <f>IF(N44="Oferta",J44*$D$60,J44)</f>
        <v/>
      </c>
      <c r="M44" s="92" t="n">
        <v>46157</v>
      </c>
      <c r="N44" s="88" t="inlineStr">
        <is>
          <t>Oferta</t>
        </is>
      </c>
      <c r="O44" s="954" t="inlineStr">
        <is>
          <t>https://www.aguacircular.cl/01361-060-06</t>
        </is>
      </c>
    </row>
    <row r="45" hidden="1" ht="27" customHeight="1">
      <c r="A45" s="759" t="inlineStr">
        <is>
          <t>VI</t>
        </is>
      </c>
      <c r="B45" s="88" t="inlineStr">
        <is>
          <t>San Fernando</t>
        </is>
      </c>
      <c r="C45" s="88" t="inlineStr">
        <is>
          <t>Río Tinguiririca</t>
        </is>
      </c>
      <c r="D45" s="1328" t="inlineStr">
        <is>
          <t>Canal</t>
        </is>
      </c>
      <c r="E45" s="1328" t="inlineStr">
        <is>
          <t>La Polcura</t>
        </is>
      </c>
      <c r="F45" s="762" t="n">
        <v>24.1</v>
      </c>
      <c r="G45" s="1328" t="inlineStr">
        <is>
          <t>L/s</t>
        </is>
      </c>
      <c r="H45" s="760" t="n">
        <v>24.1</v>
      </c>
      <c r="I45" s="90" t="n">
        <v>115248</v>
      </c>
      <c r="J45" s="91">
        <f>I45/H45</f>
        <v/>
      </c>
      <c r="K45" s="761">
        <f>J45*1000/$K$2</f>
        <v/>
      </c>
      <c r="L45" s="87">
        <f>IF(N45="Oferta",J45*$D$60,J45)</f>
        <v/>
      </c>
      <c r="M45" s="92" t="n">
        <v>46157</v>
      </c>
      <c r="N45" s="88" t="inlineStr">
        <is>
          <t>Oferta</t>
        </is>
      </c>
      <c r="O45" s="954" t="inlineStr">
        <is>
          <t>https://www.aguacircular.cl/00399-060-06</t>
        </is>
      </c>
    </row>
    <row r="46" hidden="1" ht="27" customHeight="1">
      <c r="A46" s="759" t="inlineStr">
        <is>
          <t>VI</t>
        </is>
      </c>
      <c r="B46" s="88" t="inlineStr">
        <is>
          <t>San Fernando</t>
        </is>
      </c>
      <c r="C46" s="88" t="inlineStr">
        <is>
          <t>Río Tinguiririca</t>
        </is>
      </c>
      <c r="D46" s="1328" t="inlineStr">
        <is>
          <t>Río</t>
        </is>
      </c>
      <c r="E46" s="1328" t="inlineStr">
        <is>
          <t>Claro</t>
        </is>
      </c>
      <c r="F46" s="762" t="n">
        <v>7</v>
      </c>
      <c r="G46" s="1328" t="inlineStr">
        <is>
          <t>L/s</t>
        </is>
      </c>
      <c r="H46" s="760" t="n">
        <v>7</v>
      </c>
      <c r="I46" s="90" t="n">
        <v>50000</v>
      </c>
      <c r="J46" s="91">
        <f>I46/H46</f>
        <v/>
      </c>
      <c r="K46" s="761">
        <f>J46*1000/$K$2</f>
        <v/>
      </c>
      <c r="L46" s="87">
        <f>IF(N46="Oferta",J46*$D$60,J46)</f>
        <v/>
      </c>
      <c r="M46" s="92" t="n">
        <v>45792</v>
      </c>
      <c r="N46" s="88" t="inlineStr">
        <is>
          <t>Oferta</t>
        </is>
      </c>
      <c r="O46" s="88" t="inlineStr">
        <is>
          <t>https://www.aguacircular.cl/00546-060-06</t>
        </is>
      </c>
    </row>
    <row r="47" hidden="1" ht="27" customHeight="1">
      <c r="A47" s="759" t="inlineStr">
        <is>
          <t>VI</t>
        </is>
      </c>
      <c r="B47" s="88" t="inlineStr">
        <is>
          <t>Chimbarongo</t>
        </is>
      </c>
      <c r="C47" s="88" t="inlineStr">
        <is>
          <t>Estero Chimbarongo</t>
        </is>
      </c>
      <c r="D47" s="1328" t="inlineStr">
        <is>
          <t>Canal</t>
        </is>
      </c>
      <c r="E47" s="1328" t="inlineStr">
        <is>
          <t>La Cuesta</t>
        </is>
      </c>
      <c r="F47" s="762" t="n">
        <v>1.75</v>
      </c>
      <c r="G47" s="1328" t="inlineStr">
        <is>
          <t>L/s</t>
        </is>
      </c>
      <c r="H47" s="760" t="n">
        <v>1.75</v>
      </c>
      <c r="I47" s="90" t="n">
        <v>8227</v>
      </c>
      <c r="J47" s="91">
        <f>I47/H47</f>
        <v/>
      </c>
      <c r="K47" s="761">
        <f>J47*1000/$K$2</f>
        <v/>
      </c>
      <c r="L47" s="87">
        <f>IF(N47="Oferta",J47*$D$60,J47)</f>
        <v/>
      </c>
      <c r="M47" s="92" t="n">
        <v>46157</v>
      </c>
      <c r="N47" s="88" t="inlineStr">
        <is>
          <t>Oferta</t>
        </is>
      </c>
      <c r="O47" s="954" t="inlineStr">
        <is>
          <t>https://www.aguacircular.cl/00447-060-06</t>
        </is>
      </c>
    </row>
    <row r="48" hidden="1" ht="27" customHeight="1">
      <c r="A48" s="759" t="inlineStr">
        <is>
          <t>VI</t>
        </is>
      </c>
      <c r="B48" s="88" t="inlineStr">
        <is>
          <t>Santa Cruz</t>
        </is>
      </c>
      <c r="C48" s="88" t="inlineStr">
        <is>
          <t>Estero Chimbarongo</t>
        </is>
      </c>
      <c r="D48" s="1328" t="inlineStr">
        <is>
          <t>Canal</t>
        </is>
      </c>
      <c r="E48" s="1328" t="inlineStr">
        <is>
          <t>Santa Cruz y Población</t>
        </is>
      </c>
      <c r="F48" s="762" t="n">
        <v>2.95</v>
      </c>
      <c r="G48" s="1328" t="inlineStr">
        <is>
          <t>L/s</t>
        </is>
      </c>
      <c r="H48" s="762" t="n">
        <v>2.95</v>
      </c>
      <c r="I48" s="90" t="n">
        <v>43200</v>
      </c>
      <c r="J48" s="91">
        <f>I48/H48</f>
        <v/>
      </c>
      <c r="K48" s="761">
        <f>J48*1000/$K$2</f>
        <v/>
      </c>
      <c r="L48" s="87">
        <f>IF(N48="Oferta",J48*$D$60,J48)</f>
        <v/>
      </c>
      <c r="M48" s="92" t="n">
        <v>45792</v>
      </c>
      <c r="N48" s="88" t="inlineStr">
        <is>
          <t>Oferta</t>
        </is>
      </c>
      <c r="O48" s="88" t="inlineStr">
        <is>
          <t>https://www.aguacircular.cl/00888-060-06</t>
        </is>
      </c>
    </row>
    <row r="49" hidden="1" ht="27" customHeight="1">
      <c r="A49" s="759" t="inlineStr">
        <is>
          <t>VI</t>
        </is>
      </c>
      <c r="B49" s="88" t="inlineStr">
        <is>
          <t>Nancagua</t>
        </is>
      </c>
      <c r="C49" s="88" t="inlineStr">
        <is>
          <t>Estero Chimbarongo</t>
        </is>
      </c>
      <c r="D49" s="1328" t="inlineStr">
        <is>
          <t>Estero</t>
        </is>
      </c>
      <c r="E49" s="1328" t="inlineStr">
        <is>
          <t>Chimbarongo</t>
        </is>
      </c>
      <c r="F49" s="762" t="n">
        <v>90</v>
      </c>
      <c r="G49" s="1328" t="inlineStr">
        <is>
          <t>L/s</t>
        </is>
      </c>
      <c r="H49" s="762" t="n">
        <v>90</v>
      </c>
      <c r="I49" s="90" t="n">
        <v>540720</v>
      </c>
      <c r="J49" s="91">
        <f>I49/H49</f>
        <v/>
      </c>
      <c r="K49" s="761">
        <f>J49*1000/$K$2</f>
        <v/>
      </c>
      <c r="L49" s="87">
        <f>IF(N49="Oferta",J49*$D$60,J49)</f>
        <v/>
      </c>
      <c r="M49" s="92" t="n">
        <v>46157</v>
      </c>
      <c r="N49" s="88" t="inlineStr">
        <is>
          <t>Oferta</t>
        </is>
      </c>
      <c r="O49" s="954" t="inlineStr">
        <is>
          <t>https://www.aguacircular.cl/00317-060-06</t>
        </is>
      </c>
    </row>
    <row r="50" hidden="1" ht="27" customHeight="1">
      <c r="A50" s="759" t="inlineStr">
        <is>
          <t>VI</t>
        </is>
      </c>
      <c r="B50" s="88" t="inlineStr">
        <is>
          <t>Chimbarongo</t>
        </is>
      </c>
      <c r="C50" s="88" t="inlineStr">
        <is>
          <t>Estero Chimbarongo</t>
        </is>
      </c>
      <c r="D50" s="1328" t="inlineStr">
        <is>
          <t>Canal</t>
        </is>
      </c>
      <c r="E50" s="1328" t="inlineStr">
        <is>
          <t>Santa Rita</t>
        </is>
      </c>
      <c r="F50" s="762" t="n">
        <v>12.4</v>
      </c>
      <c r="G50" s="1328" t="inlineStr">
        <is>
          <t>L/s</t>
        </is>
      </c>
      <c r="H50" s="762" t="n">
        <v>12.4</v>
      </c>
      <c r="I50" s="90" t="n">
        <v>43400</v>
      </c>
      <c r="J50" s="91">
        <f>I50/H50</f>
        <v/>
      </c>
      <c r="K50" s="761">
        <f>J50*1000/$K$2</f>
        <v/>
      </c>
      <c r="L50" s="87">
        <f>IF(N50="Oferta",J50*$D$60,J50)</f>
        <v/>
      </c>
      <c r="M50" s="92" t="n">
        <v>46157</v>
      </c>
      <c r="N50" s="88" t="inlineStr">
        <is>
          <t>Oferta</t>
        </is>
      </c>
      <c r="O50" s="954" t="inlineStr">
        <is>
          <t>https://www.aguacircular.cl/00666-060-06</t>
        </is>
      </c>
    </row>
    <row r="51" hidden="1" ht="27" customHeight="1">
      <c r="A51" s="759" t="inlineStr">
        <is>
          <t>VI</t>
        </is>
      </c>
      <c r="B51" s="88" t="inlineStr">
        <is>
          <t>San Vicente TT</t>
        </is>
      </c>
      <c r="C51" s="88" t="inlineStr">
        <is>
          <t>Río Rapel</t>
        </is>
      </c>
      <c r="D51" s="1328" t="inlineStr">
        <is>
          <t>Canal</t>
        </is>
      </c>
      <c r="E51" s="1328" t="inlineStr">
        <is>
          <t>Cocalán Aguas Claras</t>
        </is>
      </c>
      <c r="F51" s="762" t="n">
        <v>5.37</v>
      </c>
      <c r="G51" s="1328" t="inlineStr">
        <is>
          <t>L/s</t>
        </is>
      </c>
      <c r="H51" s="762" t="n">
        <v>5.37</v>
      </c>
      <c r="I51" s="90" t="n">
        <v>22161</v>
      </c>
      <c r="J51" s="91">
        <f>I51/H51</f>
        <v/>
      </c>
      <c r="K51" s="761">
        <f>J51*1000/$K$2</f>
        <v/>
      </c>
      <c r="L51" s="87">
        <f>IF(N51="Oferta",J51*$D$60,J51)</f>
        <v/>
      </c>
      <c r="M51" s="92" t="n">
        <v>46157</v>
      </c>
      <c r="N51" s="88" t="inlineStr">
        <is>
          <t>Oferta</t>
        </is>
      </c>
      <c r="O51" s="954" t="inlineStr">
        <is>
          <t>https://www.aguacircular.cl/01063-060-06</t>
        </is>
      </c>
    </row>
    <row r="52" hidden="1" ht="27" customHeight="1">
      <c r="A52" s="759" t="inlineStr">
        <is>
          <t>VI</t>
        </is>
      </c>
      <c r="B52" s="88" t="inlineStr">
        <is>
          <t>Peralillo</t>
        </is>
      </c>
      <c r="C52" s="88" t="inlineStr">
        <is>
          <t>Río Rapel</t>
        </is>
      </c>
      <c r="D52" s="1328" t="inlineStr">
        <is>
          <t>Estero</t>
        </is>
      </c>
      <c r="E52" s="1328" t="inlineStr">
        <is>
          <t>Las Cadenas</t>
        </is>
      </c>
      <c r="F52" s="762" t="n">
        <v>145</v>
      </c>
      <c r="G52" s="1328" t="inlineStr">
        <is>
          <t>L/s</t>
        </is>
      </c>
      <c r="H52" s="762" t="n">
        <v>145</v>
      </c>
      <c r="I52" s="90" t="n">
        <v>232000</v>
      </c>
      <c r="J52" s="91">
        <f>I52/H52</f>
        <v/>
      </c>
      <c r="K52" s="761">
        <f>J52*1000/$K$2</f>
        <v/>
      </c>
      <c r="L52" s="87">
        <f>IF(N52="Oferta",J52*$D$60,J52)</f>
        <v/>
      </c>
      <c r="M52" s="92" t="n">
        <v>45792</v>
      </c>
      <c r="N52" s="88" t="inlineStr">
        <is>
          <t>Oferta</t>
        </is>
      </c>
      <c r="O52" s="88" t="inlineStr">
        <is>
          <t>https://www.aguacircular.cl/00639-060-06</t>
        </is>
      </c>
    </row>
    <row r="53" hidden="1" ht="27" customHeight="1">
      <c r="A53" s="759" t="inlineStr">
        <is>
          <t>VI</t>
        </is>
      </c>
      <c r="B53" s="88" t="inlineStr">
        <is>
          <t>Coltauco</t>
        </is>
      </c>
      <c r="C53" s="88" t="inlineStr">
        <is>
          <t>Río Rapel</t>
        </is>
      </c>
      <c r="D53" s="1328" t="inlineStr">
        <is>
          <t>Canal</t>
        </is>
      </c>
      <c r="E53" s="1328" t="inlineStr">
        <is>
          <t>San Luis de Idahue</t>
        </is>
      </c>
      <c r="F53" s="762" t="n">
        <v>7</v>
      </c>
      <c r="G53" s="1328" t="inlineStr">
        <is>
          <t>L/s</t>
        </is>
      </c>
      <c r="H53" s="762" t="n">
        <v>7</v>
      </c>
      <c r="I53" s="90" t="n">
        <v>39148</v>
      </c>
      <c r="J53" s="91">
        <f>I53/H53</f>
        <v/>
      </c>
      <c r="K53" s="761">
        <f>J53*1000/$K$2</f>
        <v/>
      </c>
      <c r="L53" s="87">
        <f>IF(N53="Oferta",J53*$D$60,J53)</f>
        <v/>
      </c>
      <c r="M53" s="92" t="n">
        <v>46157</v>
      </c>
      <c r="N53" s="88" t="inlineStr">
        <is>
          <t>Oferta</t>
        </is>
      </c>
      <c r="O53" s="954" t="inlineStr">
        <is>
          <t>https://www.aguacircular.cl/00974-060-06</t>
        </is>
      </c>
    </row>
    <row r="54" hidden="1" ht="27" customHeight="1">
      <c r="A54" s="759" t="inlineStr">
        <is>
          <t>VI</t>
        </is>
      </c>
      <c r="B54" s="88" t="inlineStr">
        <is>
          <t>Coltauco</t>
        </is>
      </c>
      <c r="C54" s="88" t="inlineStr">
        <is>
          <t>Río Rapel</t>
        </is>
      </c>
      <c r="D54" s="1328" t="inlineStr">
        <is>
          <t>Canal</t>
        </is>
      </c>
      <c r="E54" s="1328" t="inlineStr">
        <is>
          <t>San Luis de Idahue</t>
        </is>
      </c>
      <c r="F54" s="762" t="n">
        <v>113.43</v>
      </c>
      <c r="G54" s="1328" t="inlineStr">
        <is>
          <t>L/s</t>
        </is>
      </c>
      <c r="H54" s="762">
        <f>F54</f>
        <v/>
      </c>
      <c r="I54" s="90" t="n">
        <v>851404</v>
      </c>
      <c r="J54" s="91">
        <f>I54/H54</f>
        <v/>
      </c>
      <c r="K54" s="761">
        <f>J54*1000/$K$2</f>
        <v/>
      </c>
      <c r="L54" s="87">
        <f>IF(N54="Oferta",J54*$D$60,J54)</f>
        <v/>
      </c>
      <c r="M54" s="92" t="n">
        <v>45792</v>
      </c>
      <c r="N54" s="88" t="inlineStr">
        <is>
          <t>Oferta</t>
        </is>
      </c>
      <c r="O54" s="88" t="inlineStr">
        <is>
          <t>https://www.aguacircular.cl/00621-060-06</t>
        </is>
      </c>
    </row>
    <row r="55" hidden="1" ht="27" customHeight="1">
      <c r="A55" s="759" t="inlineStr">
        <is>
          <t>V</t>
        </is>
      </c>
      <c r="B55" s="88" t="inlineStr">
        <is>
          <t>Los Andes</t>
        </is>
      </c>
      <c r="C55" s="88" t="inlineStr">
        <is>
          <t>Río Aconcagua</t>
        </is>
      </c>
      <c r="D55" s="1328" t="inlineStr">
        <is>
          <t>Pozo</t>
        </is>
      </c>
      <c r="E55" s="1328" t="inlineStr">
        <is>
          <t>sin nombre</t>
        </is>
      </c>
      <c r="F55" s="762" t="n">
        <v>50</v>
      </c>
      <c r="G55" s="1328" t="inlineStr">
        <is>
          <t>L/s</t>
        </is>
      </c>
      <c r="H55" s="760">
        <f>+F55</f>
        <v/>
      </c>
      <c r="I55" s="90" t="n">
        <v>341250</v>
      </c>
      <c r="J55" s="91">
        <f>I55/H55</f>
        <v/>
      </c>
      <c r="K55" s="761">
        <f>J55*1000/$K$2</f>
        <v/>
      </c>
      <c r="L55" s="87">
        <f>IF(N55="Oferta",J55*$D$60,J55)</f>
        <v/>
      </c>
      <c r="M55" s="92" t="n">
        <v>43467</v>
      </c>
      <c r="N55" s="88" t="inlineStr">
        <is>
          <t>Venta</t>
        </is>
      </c>
      <c r="O55" s="88" t="inlineStr">
        <is>
          <t>1 / 1 / 2019 / Los Andes</t>
        </is>
      </c>
    </row>
    <row r="57" ht="9" customHeight="1">
      <c r="A57" s="93" t="n"/>
      <c r="B57" s="654" t="n"/>
      <c r="C57" s="654" t="n"/>
      <c r="D57" s="1316" t="n"/>
      <c r="E57" s="1316" t="n"/>
      <c r="F57" s="1316" t="n"/>
      <c r="G57" s="1316" t="n"/>
      <c r="H57" s="1316" t="n"/>
      <c r="I57" s="1316" t="n"/>
      <c r="J57" s="1317" t="n"/>
      <c r="K57" s="654" t="n"/>
      <c r="L57" s="654" t="n"/>
      <c r="M57" s="94" t="n"/>
      <c r="N57" s="654" t="n"/>
      <c r="O57" s="94" t="n"/>
    </row>
    <row r="58" ht="12" customHeight="1">
      <c r="A58" s="95" t="n"/>
      <c r="B58" s="1318" t="n"/>
      <c r="C58" s="1318" t="n"/>
      <c r="D58" s="1319" t="n"/>
      <c r="E58" s="1319" t="n"/>
      <c r="F58" s="1319" t="n"/>
      <c r="G58" s="1319" t="n"/>
      <c r="H58" s="1319" t="n"/>
      <c r="I58" s="1319" t="n"/>
      <c r="J58" s="1319" t="n"/>
      <c r="K58" s="1318" t="n"/>
      <c r="L58" s="1318" t="n"/>
      <c r="M58" s="96" t="n"/>
      <c r="N58" s="1318" t="n"/>
      <c r="O58" s="96" t="n"/>
    </row>
    <row r="59" ht="18">
      <c r="A59" s="792" t="inlineStr">
        <is>
          <t>A N Á L I S I S    E S T A D Í S T I C O    R E F E R E N C I A S</t>
        </is>
      </c>
      <c r="B59" s="793" t="n"/>
      <c r="C59" s="793" t="n"/>
      <c r="D59" s="794" t="n"/>
    </row>
    <row r="60" ht="20.1" customHeight="1">
      <c r="A60" s="99" t="inlineStr">
        <is>
          <t>Total Muestra</t>
        </is>
      </c>
      <c r="B60" s="663">
        <f>SUBTOTAL(102,L5:L57)</f>
        <v/>
      </c>
      <c r="C60" s="763" t="inlineStr">
        <is>
          <t>Ajuste Oferta a Venta</t>
        </is>
      </c>
      <c r="D60" s="764" t="n">
        <v>0.85</v>
      </c>
    </row>
    <row r="61" ht="20.1" customHeight="1">
      <c r="A61" s="99" t="inlineStr">
        <is>
          <t>Coef.  Asimetría</t>
        </is>
      </c>
      <c r="B61" s="752" t="n"/>
      <c r="C61" s="100" t="inlineStr">
        <is>
          <t>Curtosis Ajustada</t>
        </is>
      </c>
      <c r="D61" s="955" t="n"/>
    </row>
    <row r="62">
      <c r="A62" s="99" t="n"/>
      <c r="B62" s="663" t="n"/>
      <c r="D62" s="795" t="n"/>
    </row>
    <row r="63" ht="24" customHeight="1">
      <c r="A63" s="765" t="inlineStr">
        <is>
          <t>Media Aritmética</t>
        </is>
      </c>
      <c r="B63" s="672" t="n"/>
      <c r="C63" s="753">
        <f>IFERROR(SUBTOTAL(101,L5:L57),"")</f>
        <v/>
      </c>
      <c r="D63" s="766" t="inlineStr">
        <is>
          <t>M$/(L/s)</t>
        </is>
      </c>
    </row>
    <row r="64" ht="24" customHeight="1">
      <c r="A64" s="767" t="inlineStr">
        <is>
          <t>Desviación Estándar</t>
        </is>
      </c>
      <c r="B64" s="691" t="n"/>
      <c r="C64" s="754">
        <f>SUBTOTAL(107,L5:L57)</f>
        <v/>
      </c>
      <c r="D64" s="768" t="inlineStr">
        <is>
          <t>M$/(L/s)</t>
        </is>
      </c>
    </row>
    <row r="65" ht="24" customHeight="1">
      <c r="A65" s="769" t="inlineStr">
        <is>
          <t>Valor Mínimo</t>
        </is>
      </c>
      <c r="B65" s="697" t="n"/>
      <c r="C65" s="755">
        <f>SUBTOTAL(105,L5:L57)</f>
        <v/>
      </c>
      <c r="D65" s="770" t="inlineStr">
        <is>
          <t>M$/(L/s)</t>
        </is>
      </c>
    </row>
    <row r="66" ht="24" customHeight="1">
      <c r="A66" s="771" t="inlineStr">
        <is>
          <t>Valor Máximo</t>
        </is>
      </c>
      <c r="B66" s="679" t="n"/>
      <c r="C66" s="756">
        <f>SUBTOTAL(104,L5:L57)</f>
        <v/>
      </c>
      <c r="D66" s="772" t="inlineStr">
        <is>
          <t>M$/(L/s)</t>
        </is>
      </c>
    </row>
    <row r="67" ht="24" customHeight="1">
      <c r="A67" s="773" t="n"/>
      <c r="C67" s="83" t="n"/>
      <c r="D67" s="774" t="n"/>
    </row>
    <row r="68" ht="24" customHeight="1">
      <c r="A68" s="767" t="inlineStr">
        <is>
          <t>Intervalo Confianza 95%</t>
        </is>
      </c>
      <c r="B68" s="691" t="n"/>
      <c r="C68" s="754">
        <f>_xlfn.CONFIDENCE.T(0.05,C64,B60)</f>
        <v/>
      </c>
      <c r="D68" s="768" t="inlineStr">
        <is>
          <t>M$/(L/s)</t>
        </is>
      </c>
    </row>
    <row r="69" ht="24" customHeight="1">
      <c r="A69" s="769" t="inlineStr">
        <is>
          <t>Límite inferior</t>
        </is>
      </c>
      <c r="B69" s="697" t="n"/>
      <c r="C69" s="755">
        <f>C63-C68</f>
        <v/>
      </c>
      <c r="D69" s="770" t="inlineStr">
        <is>
          <t>M$/(L/s)</t>
        </is>
      </c>
    </row>
    <row r="70" ht="24" customHeight="1">
      <c r="A70" s="771" t="inlineStr">
        <is>
          <t>Límite Superior</t>
        </is>
      </c>
      <c r="B70" s="679" t="n"/>
      <c r="C70" s="756">
        <f>C63+C68</f>
        <v/>
      </c>
      <c r="D70" s="772" t="inlineStr">
        <is>
          <t>M$/(L/s)</t>
        </is>
      </c>
    </row>
    <row r="71" ht="24" customHeight="1">
      <c r="A71" s="773" t="n"/>
      <c r="D71" s="775" t="n"/>
    </row>
    <row r="72" ht="24" customHeight="1">
      <c r="A72" s="767" t="inlineStr">
        <is>
          <t>Mediana</t>
        </is>
      </c>
      <c r="B72" s="691" t="n"/>
      <c r="C72" s="754">
        <f>_xlfn.AGGREGATE(12,7,L6:L55)</f>
        <v/>
      </c>
      <c r="D72" s="768" t="inlineStr">
        <is>
          <t>M$/(L/s)</t>
        </is>
      </c>
    </row>
    <row r="73" ht="24" customHeight="1">
      <c r="A73" s="769" t="inlineStr">
        <is>
          <t>Percentil 25</t>
        </is>
      </c>
      <c r="B73" s="697" t="n"/>
      <c r="C73" s="755">
        <f>_xlfn.AGGREGATE(16,7,L6:L55,0.25)</f>
        <v/>
      </c>
      <c r="D73" s="770" t="inlineStr">
        <is>
          <t>M$/(L/s)</t>
        </is>
      </c>
    </row>
    <row r="74" ht="24" customHeight="1">
      <c r="A74" s="776" t="inlineStr">
        <is>
          <t>Percentil 75</t>
        </is>
      </c>
      <c r="B74" s="777" t="n"/>
      <c r="C74" s="778">
        <f>_xlfn.AGGREGATE(16,7,L6:L55,0.75)</f>
        <v/>
      </c>
      <c r="D74" s="779" t="inlineStr">
        <is>
          <t>M$/(L/s)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hv/hXu3afBQuNjZYBhPuJg==" formatRows="1" sort="1" spinCount="100000" hashValue="0tamOCIEzPfBrom0fhcKiEE1g9JFOtvwSssjONrRZd9EQeLb2AG1jLT4kJETKo+R5mbH4dmhIKKhOfKgDSdt4A=="/>
  <autoFilter ref="A5:O55"/>
  <dataValidations count="3">
    <dataValidation sqref="D10:D55" showDropDown="0" showInputMessage="1" showErrorMessage="1" allowBlank="1" type="list">
      <formula1>"Canal, Pozo, Río, Estero, Embalse, Tranque"</formula1>
    </dataValidation>
    <dataValidation sqref="G10:G55" showDropDown="0" showInputMessage="1" showErrorMessage="1" allowBlank="1" type="list">
      <formula1>"acción, L/s, regador, derecho, parte, %, cuadra"</formula1>
    </dataValidation>
    <dataValidation sqref="N10:N55" showDropDown="0" showInputMessage="1" showErrorMessage="1" allowBlank="1" type="list">
      <formula1>"Oferta, Venta"</formula1>
    </dataValidation>
  </dataValidations>
  <hyperlinks>
    <hyperlink xmlns:r="http://schemas.openxmlformats.org/officeDocument/2006/relationships" ref="O6" r:id="rId1"/>
    <hyperlink xmlns:r="http://schemas.openxmlformats.org/officeDocument/2006/relationships" ref="O13" r:id="rId2"/>
    <hyperlink xmlns:r="http://schemas.openxmlformats.org/officeDocument/2006/relationships" ref="O14" r:id="rId3"/>
    <hyperlink xmlns:r="http://schemas.openxmlformats.org/officeDocument/2006/relationships" ref="O15" r:id="rId4"/>
    <hyperlink xmlns:r="http://schemas.openxmlformats.org/officeDocument/2006/relationships" ref="O16" r:id="rId5"/>
    <hyperlink xmlns:r="http://schemas.openxmlformats.org/officeDocument/2006/relationships" ref="O17" r:id="rId6"/>
    <hyperlink xmlns:r="http://schemas.openxmlformats.org/officeDocument/2006/relationships" ref="O18" r:id="rId7"/>
    <hyperlink xmlns:r="http://schemas.openxmlformats.org/officeDocument/2006/relationships" ref="O19" r:id="rId8"/>
    <hyperlink xmlns:r="http://schemas.openxmlformats.org/officeDocument/2006/relationships" ref="O25" r:id="rId9"/>
    <hyperlink xmlns:r="http://schemas.openxmlformats.org/officeDocument/2006/relationships" ref="O26" r:id="rId10"/>
    <hyperlink xmlns:r="http://schemas.openxmlformats.org/officeDocument/2006/relationships" ref="O27" r:id="rId11"/>
    <hyperlink xmlns:r="http://schemas.openxmlformats.org/officeDocument/2006/relationships" ref="O28" r:id="rId12"/>
    <hyperlink xmlns:r="http://schemas.openxmlformats.org/officeDocument/2006/relationships" ref="O38" r:id="rId13"/>
    <hyperlink xmlns:r="http://schemas.openxmlformats.org/officeDocument/2006/relationships" ref="O39" r:id="rId14"/>
    <hyperlink xmlns:r="http://schemas.openxmlformats.org/officeDocument/2006/relationships" ref="O40" r:id="rId15"/>
    <hyperlink xmlns:r="http://schemas.openxmlformats.org/officeDocument/2006/relationships" ref="O42" r:id="rId16"/>
    <hyperlink xmlns:r="http://schemas.openxmlformats.org/officeDocument/2006/relationships" ref="O43" r:id="rId17"/>
    <hyperlink xmlns:r="http://schemas.openxmlformats.org/officeDocument/2006/relationships" ref="O44" r:id="rId18"/>
    <hyperlink xmlns:r="http://schemas.openxmlformats.org/officeDocument/2006/relationships" ref="O45" r:id="rId19"/>
    <hyperlink xmlns:r="http://schemas.openxmlformats.org/officeDocument/2006/relationships" ref="O47" r:id="rId20"/>
    <hyperlink xmlns:r="http://schemas.openxmlformats.org/officeDocument/2006/relationships" ref="O49" r:id="rId21"/>
    <hyperlink xmlns:r="http://schemas.openxmlformats.org/officeDocument/2006/relationships" ref="O50" r:id="rId22"/>
    <hyperlink xmlns:r="http://schemas.openxmlformats.org/officeDocument/2006/relationships" ref="O51" r:id="rId23"/>
    <hyperlink xmlns:r="http://schemas.openxmlformats.org/officeDocument/2006/relationships" ref="O53" r:id="rId24"/>
  </hyperlink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35"/>
  <drawing xmlns:r="http://schemas.openxmlformats.org/officeDocument/2006/relationships" r:id="rId2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EC7DF5"/>
    <outlinePr summaryBelow="1" summaryRight="1"/>
    <pageSetUpPr/>
  </sheetPr>
  <dimension ref="A1:Z1050"/>
  <sheetViews>
    <sheetView showGridLines="0" view="pageBreakPreview" topLeftCell="B1" zoomScale="82" zoomScaleNormal="100" zoomScaleSheetLayoutView="97" workbookViewId="0">
      <pane ySplit="1" topLeftCell="A2" activePane="bottomLeft" state="frozen"/>
      <selection activeCell="H66" sqref="H66"/>
      <selection pane="bottomLeft" activeCell="F14" sqref="F14"/>
    </sheetView>
  </sheetViews>
  <sheetFormatPr baseColWidth="10" defaultColWidth="14.44140625" defaultRowHeight="15" customHeight="1"/>
  <cols>
    <col width="15.109375" customWidth="1" style="1064" min="1" max="1"/>
    <col width="17" customWidth="1" style="1064" min="2" max="2"/>
    <col width="32.44140625" customWidth="1" style="1064" min="3" max="3"/>
    <col width="11.44140625" customWidth="1" style="1064" min="4" max="4"/>
    <col width="12.6640625" customWidth="1" style="1064" min="5" max="5"/>
    <col width="14.6640625" customWidth="1" style="1064" min="6" max="6"/>
    <col width="14.33203125" customWidth="1" style="1064" min="7" max="7"/>
    <col width="11.44140625" customWidth="1" style="1064" min="8" max="8"/>
    <col width="13.44140625" customWidth="1" style="1064" min="9" max="9"/>
    <col width="15.109375" customWidth="1" style="1064" min="10" max="10"/>
    <col width="17.6640625" customWidth="1" style="1064" min="11" max="11"/>
    <col width="12.44140625" customWidth="1" style="1064" min="12" max="12"/>
    <col width="18.6640625" customWidth="1" style="1064" min="13" max="13"/>
    <col width="27.33203125" customWidth="1" style="1064" min="14" max="14"/>
    <col width="23.33203125" customWidth="1" style="1064" min="15" max="15"/>
    <col width="11.44140625" customWidth="1" style="1064" min="16" max="26"/>
    <col width="14.44140625" customWidth="1" style="1064" min="27" max="27"/>
    <col width="14.44140625" customWidth="1" style="1064" min="28" max="16384"/>
  </cols>
  <sheetData>
    <row r="1" ht="30" customHeight="1">
      <c r="A1" s="472" t="inlineStr">
        <is>
          <t xml:space="preserve">fecha </t>
        </is>
      </c>
      <c r="B1" s="472" t="inlineStr">
        <is>
          <t xml:space="preserve">UF </t>
        </is>
      </c>
      <c r="C1" s="473" t="inlineStr">
        <is>
          <t xml:space="preserve">CLIENTE </t>
        </is>
      </c>
      <c r="D1" s="474" t="inlineStr">
        <is>
          <t>Región</t>
        </is>
      </c>
      <c r="E1" s="474" t="inlineStr">
        <is>
          <t>Comuna</t>
        </is>
      </c>
      <c r="F1" s="474" t="inlineStr">
        <is>
          <t xml:space="preserve">Rol </t>
        </is>
      </c>
      <c r="G1" s="474" t="inlineStr">
        <is>
          <t xml:space="preserve">Uso de Suelo </t>
        </is>
      </c>
      <c r="H1" s="475" t="inlineStr">
        <is>
          <t xml:space="preserve">Clase </t>
        </is>
      </c>
      <c r="I1" s="474" t="inlineStr">
        <is>
          <t>m2</t>
        </is>
      </c>
      <c r="J1" s="474" t="inlineStr">
        <is>
          <t>Valor X UF/ m2</t>
        </is>
      </c>
      <c r="K1" s="476" t="inlineStr">
        <is>
          <t xml:space="preserve">Valor Total </t>
        </is>
      </c>
      <c r="L1" s="476" t="inlineStr">
        <is>
          <t xml:space="preserve">Valor UF X Has </t>
        </is>
      </c>
      <c r="M1" s="476" t="inlineStr">
        <is>
          <t xml:space="preserve">Valor UF Total </t>
        </is>
      </c>
      <c r="N1" s="474" t="inlineStr">
        <is>
          <t xml:space="preserve">OBSERVACIONES </t>
        </is>
      </c>
      <c r="O1" s="476" t="inlineStr">
        <is>
          <t xml:space="preserve">Tasador </t>
        </is>
      </c>
      <c r="P1" s="477" t="n"/>
      <c r="Q1" s="477" t="n"/>
      <c r="R1" s="477" t="n"/>
      <c r="S1" s="477" t="n"/>
      <c r="T1" s="477" t="n"/>
      <c r="U1" s="477" t="n"/>
      <c r="V1" s="477" t="n"/>
      <c r="W1" s="477" t="n"/>
      <c r="X1" s="477" t="n"/>
      <c r="Y1" s="477" t="n"/>
      <c r="Z1" s="477" t="n"/>
    </row>
    <row r="2" ht="28.8" customHeight="1">
      <c r="A2" s="1329">
        <f>PORTADA!H7</f>
        <v/>
      </c>
      <c r="B2" s="530">
        <f>UF</f>
        <v/>
      </c>
      <c r="C2" s="536">
        <f>PORTADA!C14</f>
        <v/>
      </c>
      <c r="D2" s="536">
        <f>PORTADA!H12</f>
        <v/>
      </c>
      <c r="E2" s="536">
        <f>PORTADA!H11</f>
        <v/>
      </c>
      <c r="F2" s="531">
        <f>LEGAL!G6</f>
        <v/>
      </c>
      <c r="G2" s="532" t="n"/>
      <c r="H2" s="532">
        <f>'SUELOS  '!C46</f>
        <v/>
      </c>
      <c r="I2" s="533">
        <f>'SUELOS  '!E46</f>
        <v/>
      </c>
      <c r="J2" s="1330">
        <f>'SUELOS  '!F46</f>
        <v/>
      </c>
      <c r="K2" s="506">
        <f>'SUELOS  '!G46</f>
        <v/>
      </c>
      <c r="L2" s="1331">
        <f>J2*10000</f>
        <v/>
      </c>
      <c r="M2" s="1331">
        <f>L2*I2/10000</f>
        <v/>
      </c>
      <c r="N2" s="534" t="n"/>
      <c r="O2" s="535">
        <f>'RESUMEN VALOR'!B26</f>
        <v/>
      </c>
      <c r="P2" s="489" t="n"/>
      <c r="Q2" s="489" t="n"/>
      <c r="R2" s="489" t="n"/>
      <c r="S2" s="489" t="n"/>
      <c r="T2" s="489" t="n"/>
      <c r="U2" s="489" t="n"/>
      <c r="V2" s="489" t="n"/>
      <c r="W2" s="489" t="n"/>
      <c r="X2" s="489" t="n"/>
      <c r="Y2" s="489" t="n"/>
      <c r="Z2" s="489" t="n"/>
    </row>
    <row r="3" ht="25.2" customHeight="1">
      <c r="A3" s="1332" t="n"/>
      <c r="B3" s="479" t="n"/>
      <c r="C3" s="480" t="n"/>
      <c r="D3" s="480" t="n"/>
      <c r="E3" s="480" t="n"/>
      <c r="F3" s="481" t="n"/>
      <c r="G3" s="482" t="n"/>
      <c r="H3" s="482" t="n"/>
      <c r="I3" s="483" t="n"/>
      <c r="J3" s="484" t="n"/>
      <c r="K3" s="485" t="n"/>
      <c r="L3" s="1333" t="n"/>
      <c r="M3" s="1333" t="n"/>
      <c r="N3" s="487" t="n"/>
      <c r="O3" s="488" t="n"/>
      <c r="P3" s="477" t="n"/>
      <c r="Q3" s="477" t="n"/>
      <c r="R3" s="477" t="n"/>
      <c r="S3" s="477" t="n"/>
      <c r="T3" s="477" t="n"/>
      <c r="U3" s="477" t="n"/>
      <c r="V3" s="477" t="n"/>
      <c r="W3" s="477" t="n"/>
      <c r="X3" s="477" t="n"/>
      <c r="Y3" s="477" t="n"/>
      <c r="Z3" s="477" t="n"/>
    </row>
    <row r="4" ht="15.75" customHeight="1">
      <c r="A4" s="1332" t="n"/>
      <c r="B4" s="479" t="n"/>
      <c r="C4" s="490" t="n"/>
      <c r="D4" s="491" t="n"/>
      <c r="E4" s="491" t="n"/>
      <c r="F4" s="481" t="n"/>
      <c r="G4" s="482" t="n"/>
      <c r="H4" s="482" t="n"/>
      <c r="I4" s="483" t="n"/>
      <c r="J4" s="484" t="n"/>
      <c r="K4" s="485" t="n"/>
      <c r="L4" s="1333" t="n"/>
      <c r="M4" s="1333" t="n"/>
      <c r="N4" s="492" t="n"/>
      <c r="O4" s="488" t="n"/>
      <c r="P4" s="477" t="n"/>
      <c r="Q4" s="477" t="n"/>
      <c r="R4" s="477" t="n"/>
      <c r="S4" s="477" t="n"/>
      <c r="T4" s="477" t="n"/>
      <c r="U4" s="477" t="n"/>
      <c r="V4" s="477" t="n"/>
      <c r="W4" s="477" t="n"/>
      <c r="X4" s="477" t="n"/>
      <c r="Y4" s="477" t="n"/>
      <c r="Z4" s="477" t="n"/>
    </row>
    <row r="5" ht="15.75" customHeight="1">
      <c r="A5" s="1332" t="n"/>
      <c r="B5" s="479" t="n"/>
      <c r="C5" s="490" t="n"/>
      <c r="D5" s="491" t="n"/>
      <c r="E5" s="491" t="n"/>
      <c r="F5" s="481" t="n"/>
      <c r="G5" s="482" t="n"/>
      <c r="H5" s="482" t="n"/>
      <c r="I5" s="483" t="n"/>
      <c r="J5" s="484" t="n"/>
      <c r="K5" s="485" t="n"/>
      <c r="L5" s="1333" t="n"/>
      <c r="M5" s="1333" t="n"/>
      <c r="N5" s="492" t="n"/>
      <c r="O5" s="492" t="n"/>
      <c r="P5" s="477" t="n"/>
      <c r="Q5" s="477" t="n"/>
      <c r="R5" s="477" t="n"/>
      <c r="S5" s="477" t="n"/>
      <c r="T5" s="477" t="n"/>
      <c r="U5" s="477" t="n"/>
      <c r="V5" s="477" t="n"/>
      <c r="W5" s="477" t="n"/>
      <c r="X5" s="477" t="n"/>
      <c r="Y5" s="477" t="n"/>
      <c r="Z5" s="477" t="n"/>
    </row>
    <row r="6" ht="15.75" customHeight="1">
      <c r="A6" s="1332" t="n"/>
      <c r="B6" s="479" t="n"/>
      <c r="C6" s="490" t="n"/>
      <c r="D6" s="491" t="n"/>
      <c r="E6" s="491" t="n"/>
      <c r="F6" s="481" t="n"/>
      <c r="G6" s="482" t="n"/>
      <c r="H6" s="482" t="n"/>
      <c r="I6" s="483" t="n"/>
      <c r="J6" s="484" t="n"/>
      <c r="K6" s="485" t="n"/>
      <c r="L6" s="1333" t="n"/>
      <c r="M6" s="1333" t="n"/>
      <c r="N6" s="492" t="n"/>
      <c r="O6" s="492" t="n"/>
      <c r="P6" s="477" t="n"/>
      <c r="Q6" s="477" t="n"/>
      <c r="R6" s="477" t="n"/>
      <c r="S6" s="477" t="n"/>
      <c r="T6" s="477" t="n"/>
      <c r="U6" s="477" t="n"/>
      <c r="V6" s="477" t="n"/>
      <c r="W6" s="477" t="n"/>
      <c r="X6" s="477" t="n"/>
      <c r="Y6" s="477" t="n"/>
      <c r="Z6" s="477" t="n"/>
    </row>
    <row r="7" ht="15.75" customHeight="1">
      <c r="A7" s="1332" t="n"/>
      <c r="B7" s="479" t="n"/>
      <c r="C7" s="490" t="n"/>
      <c r="D7" s="491" t="n"/>
      <c r="E7" s="491" t="n"/>
      <c r="F7" s="481" t="n"/>
      <c r="G7" s="482" t="n"/>
      <c r="H7" s="482" t="n"/>
      <c r="I7" s="483" t="n"/>
      <c r="J7" s="484" t="n"/>
      <c r="K7" s="485" t="n"/>
      <c r="L7" s="1333" t="n"/>
      <c r="M7" s="1333" t="n"/>
      <c r="N7" s="492" t="n"/>
      <c r="O7" s="492" t="n"/>
      <c r="P7" s="477" t="n"/>
      <c r="Q7" s="477" t="n"/>
      <c r="R7" s="477" t="n"/>
      <c r="S7" s="477" t="n"/>
      <c r="T7" s="477" t="n"/>
      <c r="U7" s="477" t="n"/>
      <c r="V7" s="477" t="n"/>
      <c r="W7" s="477" t="n"/>
      <c r="X7" s="477" t="n"/>
      <c r="Y7" s="477" t="n"/>
      <c r="Z7" s="477" t="n"/>
    </row>
    <row r="8" ht="15.75" customHeight="1">
      <c r="A8" s="1332" t="n"/>
      <c r="B8" s="479" t="n"/>
      <c r="C8" s="490" t="n"/>
      <c r="D8" s="491" t="n"/>
      <c r="E8" s="491" t="n"/>
      <c r="F8" s="481" t="n"/>
      <c r="G8" s="482" t="n"/>
      <c r="H8" s="482" t="n"/>
      <c r="I8" s="483" t="n"/>
      <c r="J8" s="484" t="n"/>
      <c r="K8" s="485" t="n"/>
      <c r="L8" s="1333" t="n"/>
      <c r="M8" s="1333" t="n"/>
      <c r="N8" s="492" t="n"/>
      <c r="O8" s="492" t="n"/>
      <c r="P8" s="477" t="n"/>
      <c r="Q8" s="477" t="n"/>
      <c r="R8" s="477" t="n"/>
      <c r="S8" s="477" t="n"/>
      <c r="T8" s="477" t="n"/>
      <c r="U8" s="477" t="n"/>
      <c r="V8" s="477" t="n"/>
      <c r="W8" s="477" t="n"/>
      <c r="X8" s="477" t="n"/>
      <c r="Y8" s="477" t="n"/>
      <c r="Z8" s="477" t="n"/>
    </row>
    <row r="9" ht="15.75" customHeight="1">
      <c r="A9" s="1332" t="n"/>
      <c r="B9" s="479" t="n"/>
      <c r="C9" s="490" t="n"/>
      <c r="D9" s="491" t="n"/>
      <c r="E9" s="491" t="n"/>
      <c r="F9" s="481" t="n"/>
      <c r="G9" s="482" t="n"/>
      <c r="H9" s="482" t="n"/>
      <c r="I9" s="483" t="n"/>
      <c r="J9" s="484" t="n"/>
      <c r="K9" s="485" t="n"/>
      <c r="L9" s="1333" t="n"/>
      <c r="M9" s="1333" t="n"/>
      <c r="N9" s="492" t="n"/>
      <c r="O9" s="492" t="n"/>
      <c r="P9" s="477" t="n"/>
      <c r="Q9" s="477" t="n"/>
      <c r="R9" s="477" t="n"/>
      <c r="S9" s="477" t="n"/>
      <c r="T9" s="477" t="n"/>
      <c r="U9" s="477" t="n"/>
      <c r="V9" s="477" t="n"/>
      <c r="W9" s="477" t="n"/>
      <c r="X9" s="477" t="n"/>
      <c r="Y9" s="477" t="n"/>
      <c r="Z9" s="477" t="n"/>
    </row>
    <row r="10" ht="15.75" customHeight="1">
      <c r="A10" s="1332" t="n"/>
      <c r="B10" s="479" t="n"/>
      <c r="C10" s="490" t="n"/>
      <c r="D10" s="491" t="n"/>
      <c r="E10" s="491" t="n"/>
      <c r="F10" s="481" t="n"/>
      <c r="G10" s="482" t="n"/>
      <c r="H10" s="482" t="n"/>
      <c r="I10" s="483" t="n"/>
      <c r="J10" s="484" t="n"/>
      <c r="K10" s="485" t="n"/>
      <c r="L10" s="1333" t="n"/>
      <c r="M10" s="1333" t="n"/>
      <c r="N10" s="492" t="n"/>
      <c r="O10" s="492" t="n"/>
      <c r="P10" s="477" t="n"/>
      <c r="Q10" s="477" t="n"/>
      <c r="R10" s="477" t="n"/>
      <c r="S10" s="477" t="n"/>
      <c r="T10" s="477" t="n"/>
      <c r="U10" s="477" t="n"/>
      <c r="V10" s="477" t="n"/>
      <c r="W10" s="477" t="n"/>
      <c r="X10" s="477" t="n"/>
      <c r="Y10" s="477" t="n"/>
      <c r="Z10" s="477" t="n"/>
    </row>
    <row r="11" ht="15.75" customHeight="1">
      <c r="A11" s="1332" t="n"/>
      <c r="B11" s="479" t="n"/>
      <c r="C11" s="490" t="n"/>
      <c r="D11" s="491" t="n"/>
      <c r="E11" s="491" t="n"/>
      <c r="F11" s="481" t="n"/>
      <c r="G11" s="482" t="n"/>
      <c r="H11" s="482" t="n"/>
      <c r="I11" s="483" t="n"/>
      <c r="J11" s="484" t="n"/>
      <c r="K11" s="485" t="n"/>
      <c r="L11" s="1333" t="n"/>
      <c r="M11" s="1333" t="n"/>
      <c r="N11" s="492" t="n"/>
      <c r="O11" s="492" t="n"/>
      <c r="P11" s="477" t="n"/>
      <c r="Q11" s="477" t="n"/>
      <c r="R11" s="477" t="n"/>
      <c r="S11" s="477" t="n"/>
      <c r="T11" s="477" t="n"/>
      <c r="U11" s="477" t="n"/>
      <c r="V11" s="477" t="n"/>
      <c r="W11" s="477" t="n"/>
      <c r="X11" s="477" t="n"/>
      <c r="Y11" s="477" t="n"/>
      <c r="Z11" s="477" t="n"/>
    </row>
    <row r="12" ht="15.75" customHeight="1">
      <c r="A12" s="1332" t="n"/>
      <c r="B12" s="479" t="n"/>
      <c r="C12" s="490" t="n"/>
      <c r="D12" s="491" t="n"/>
      <c r="E12" s="491" t="n"/>
      <c r="F12" s="481" t="n"/>
      <c r="G12" s="482" t="n"/>
      <c r="H12" s="482" t="n"/>
      <c r="I12" s="483" t="n"/>
      <c r="J12" s="484" t="n"/>
      <c r="K12" s="485" t="n"/>
      <c r="L12" s="1333" t="n"/>
      <c r="M12" s="1333" t="n"/>
      <c r="N12" s="492" t="n"/>
      <c r="O12" s="492" t="n"/>
      <c r="P12" s="477" t="n"/>
      <c r="Q12" s="477" t="n"/>
      <c r="R12" s="477" t="n"/>
      <c r="S12" s="477" t="n"/>
      <c r="T12" s="477" t="n"/>
      <c r="U12" s="477" t="n"/>
      <c r="V12" s="477" t="n"/>
      <c r="W12" s="477" t="n"/>
      <c r="X12" s="477" t="n"/>
      <c r="Y12" s="477" t="n"/>
      <c r="Z12" s="477" t="n"/>
    </row>
    <row r="13" ht="15.75" customHeight="1">
      <c r="A13" s="1332" t="n"/>
      <c r="B13" s="479" t="n"/>
      <c r="C13" s="490" t="n"/>
      <c r="D13" s="491" t="n"/>
      <c r="E13" s="491" t="n"/>
      <c r="F13" s="481" t="n"/>
      <c r="G13" s="482" t="n"/>
      <c r="H13" s="482" t="n"/>
      <c r="I13" s="483" t="n"/>
      <c r="J13" s="484" t="n"/>
      <c r="K13" s="485" t="n"/>
      <c r="L13" s="1333" t="n"/>
      <c r="M13" s="1333" t="n"/>
      <c r="N13" s="492" t="n"/>
      <c r="O13" s="492" t="n"/>
      <c r="P13" s="477" t="n"/>
      <c r="Q13" s="477" t="n"/>
      <c r="R13" s="477" t="n"/>
      <c r="S13" s="477" t="n"/>
      <c r="T13" s="477" t="n"/>
      <c r="U13" s="477" t="n"/>
      <c r="V13" s="477" t="n"/>
      <c r="W13" s="477" t="n"/>
      <c r="X13" s="477" t="n"/>
      <c r="Y13" s="477" t="n"/>
      <c r="Z13" s="477" t="n"/>
    </row>
    <row r="14" ht="15.75" customHeight="1">
      <c r="A14" s="1332" t="n"/>
      <c r="B14" s="479" t="n"/>
      <c r="C14" s="490" t="n"/>
      <c r="D14" s="491" t="n"/>
      <c r="E14" s="491" t="n"/>
      <c r="F14" s="481" t="n"/>
      <c r="G14" s="482" t="n"/>
      <c r="H14" s="482" t="n"/>
      <c r="I14" s="483" t="n"/>
      <c r="J14" s="484" t="n"/>
      <c r="K14" s="485" t="n"/>
      <c r="L14" s="1333" t="n"/>
      <c r="M14" s="1333" t="n"/>
      <c r="N14" s="492" t="n"/>
      <c r="O14" s="492" t="n"/>
      <c r="P14" s="477" t="n"/>
      <c r="Q14" s="477" t="n"/>
      <c r="R14" s="477" t="n"/>
      <c r="S14" s="477" t="n"/>
      <c r="T14" s="477" t="n"/>
      <c r="U14" s="477" t="n"/>
      <c r="V14" s="477" t="n"/>
      <c r="W14" s="477" t="n"/>
      <c r="X14" s="477" t="n"/>
      <c r="Y14" s="477" t="n"/>
      <c r="Z14" s="477" t="n"/>
    </row>
    <row r="15" ht="15.75" customHeight="1">
      <c r="A15" s="1332" t="n"/>
      <c r="B15" s="479" t="n"/>
      <c r="C15" s="490" t="n"/>
      <c r="D15" s="491" t="n"/>
      <c r="E15" s="491" t="n"/>
      <c r="F15" s="481" t="n"/>
      <c r="G15" s="482" t="n"/>
      <c r="H15" s="482" t="n"/>
      <c r="I15" s="483" t="n"/>
      <c r="J15" s="484" t="n"/>
      <c r="K15" s="485" t="n"/>
      <c r="L15" s="1333" t="n"/>
      <c r="M15" s="1333" t="n"/>
      <c r="N15" s="492" t="n"/>
      <c r="O15" s="492" t="n"/>
      <c r="P15" s="477" t="n"/>
      <c r="Q15" s="477" t="n"/>
      <c r="R15" s="477" t="n"/>
      <c r="S15" s="477" t="n"/>
      <c r="T15" s="477" t="n"/>
      <c r="U15" s="477" t="n"/>
      <c r="V15" s="477" t="n"/>
      <c r="W15" s="477" t="n"/>
      <c r="X15" s="477" t="n"/>
      <c r="Y15" s="477" t="n"/>
      <c r="Z15" s="477" t="n"/>
    </row>
    <row r="16" ht="15.75" customHeight="1">
      <c r="A16" s="1332" t="n"/>
      <c r="B16" s="479" t="n"/>
      <c r="C16" s="490" t="n"/>
      <c r="D16" s="491" t="n"/>
      <c r="E16" s="491" t="n"/>
      <c r="F16" s="481" t="n"/>
      <c r="G16" s="482" t="n"/>
      <c r="H16" s="482" t="n"/>
      <c r="I16" s="483" t="n"/>
      <c r="J16" s="484" t="n"/>
      <c r="K16" s="485" t="n"/>
      <c r="L16" s="1333" t="n"/>
      <c r="M16" s="1333" t="n"/>
      <c r="N16" s="492" t="n"/>
      <c r="O16" s="492" t="n"/>
      <c r="P16" s="477" t="n"/>
      <c r="Q16" s="477" t="n"/>
      <c r="R16" s="477" t="n"/>
      <c r="S16" s="477" t="n"/>
      <c r="T16" s="477" t="n"/>
      <c r="U16" s="477" t="n"/>
      <c r="V16" s="477" t="n"/>
      <c r="W16" s="477" t="n"/>
      <c r="X16" s="477" t="n"/>
      <c r="Y16" s="477" t="n"/>
      <c r="Z16" s="477" t="n"/>
    </row>
    <row r="17" ht="15.75" customHeight="1">
      <c r="A17" s="1332" t="n"/>
      <c r="B17" s="479" t="n"/>
      <c r="C17" s="490" t="n"/>
      <c r="D17" s="491" t="n"/>
      <c r="E17" s="491" t="n"/>
      <c r="F17" s="481" t="n"/>
      <c r="G17" s="482" t="n"/>
      <c r="H17" s="482" t="n"/>
      <c r="I17" s="483" t="n"/>
      <c r="J17" s="484" t="n"/>
      <c r="K17" s="485" t="n"/>
      <c r="L17" s="1333" t="n"/>
      <c r="M17" s="1333" t="n"/>
      <c r="N17" s="492" t="n"/>
      <c r="O17" s="492" t="n"/>
      <c r="P17" s="477" t="n"/>
      <c r="Q17" s="477" t="n"/>
      <c r="R17" s="477" t="n"/>
      <c r="S17" s="477" t="n"/>
      <c r="T17" s="477" t="n"/>
      <c r="U17" s="477" t="n"/>
      <c r="V17" s="477" t="n"/>
      <c r="W17" s="477" t="n"/>
      <c r="X17" s="477" t="n"/>
      <c r="Y17" s="477" t="n"/>
      <c r="Z17" s="477" t="n"/>
    </row>
    <row r="18" ht="15.75" customHeight="1">
      <c r="A18" s="1332" t="n"/>
      <c r="B18" s="479" t="n"/>
      <c r="C18" s="490" t="n"/>
      <c r="D18" s="491" t="n"/>
      <c r="E18" s="491" t="n"/>
      <c r="F18" s="481" t="n"/>
      <c r="G18" s="482" t="n"/>
      <c r="H18" s="482" t="n"/>
      <c r="I18" s="483" t="n"/>
      <c r="J18" s="484" t="n"/>
      <c r="K18" s="485" t="n"/>
      <c r="L18" s="1333" t="n"/>
      <c r="M18" s="1333" t="n"/>
      <c r="N18" s="492" t="n"/>
      <c r="O18" s="492" t="n"/>
      <c r="P18" s="477" t="n"/>
      <c r="Q18" s="477" t="n"/>
      <c r="R18" s="477" t="n"/>
      <c r="S18" s="477" t="n"/>
      <c r="T18" s="477" t="n"/>
      <c r="U18" s="477" t="n"/>
      <c r="V18" s="477" t="n"/>
      <c r="W18" s="477" t="n"/>
      <c r="X18" s="477" t="n"/>
      <c r="Y18" s="477" t="n"/>
      <c r="Z18" s="477" t="n"/>
    </row>
    <row r="19" ht="15.75" customHeight="1">
      <c r="A19" s="1332" t="n"/>
      <c r="B19" s="479" t="n"/>
      <c r="C19" s="490" t="n"/>
      <c r="D19" s="491" t="n"/>
      <c r="E19" s="491" t="n"/>
      <c r="F19" s="481" t="n"/>
      <c r="G19" s="482" t="n"/>
      <c r="H19" s="482" t="n"/>
      <c r="I19" s="483" t="n"/>
      <c r="J19" s="484" t="n"/>
      <c r="K19" s="485" t="n"/>
      <c r="L19" s="1333" t="n"/>
      <c r="M19" s="1333" t="n"/>
      <c r="N19" s="492" t="n"/>
      <c r="O19" s="492" t="n"/>
      <c r="P19" s="477" t="n"/>
      <c r="Q19" s="477" t="n"/>
      <c r="R19" s="477" t="n"/>
      <c r="S19" s="477" t="n"/>
      <c r="T19" s="477" t="n"/>
      <c r="U19" s="477" t="n"/>
      <c r="V19" s="477" t="n"/>
      <c r="W19" s="477" t="n"/>
      <c r="X19" s="477" t="n"/>
      <c r="Y19" s="477" t="n"/>
      <c r="Z19" s="477" t="n"/>
    </row>
    <row r="20" ht="15.75" customHeight="1">
      <c r="A20" s="1334" t="n"/>
      <c r="B20" s="494" t="n"/>
      <c r="C20" s="492" t="n"/>
      <c r="D20" s="492" t="n"/>
      <c r="E20" s="492" t="n"/>
      <c r="F20" s="481" t="n"/>
      <c r="G20" s="495" t="n"/>
      <c r="H20" s="496" t="n"/>
      <c r="I20" s="497" t="n"/>
      <c r="J20" s="498" t="n"/>
      <c r="K20" s="498" t="n"/>
      <c r="L20" s="498" t="n"/>
      <c r="M20" s="498" t="n"/>
      <c r="N20" s="492" t="n"/>
      <c r="O20" s="492" t="n"/>
      <c r="P20" s="477" t="n"/>
      <c r="Q20" s="477" t="n"/>
      <c r="R20" s="477" t="n"/>
      <c r="S20" s="477" t="n"/>
      <c r="T20" s="477" t="n"/>
      <c r="U20" s="477" t="n"/>
      <c r="V20" s="477" t="n"/>
      <c r="W20" s="477" t="n"/>
      <c r="X20" s="477" t="n"/>
      <c r="Y20" s="477" t="n"/>
      <c r="Z20" s="477" t="n"/>
    </row>
    <row r="21" ht="15.75" customHeight="1">
      <c r="A21" s="1334" t="n"/>
      <c r="B21" s="494" t="n"/>
      <c r="C21" s="492" t="n"/>
      <c r="D21" s="492" t="n"/>
      <c r="E21" s="492" t="n"/>
      <c r="F21" s="481" t="n"/>
      <c r="G21" s="495" t="n"/>
      <c r="H21" s="496" t="n"/>
      <c r="I21" s="497" t="n"/>
      <c r="J21" s="498" t="n"/>
      <c r="K21" s="498" t="n"/>
      <c r="L21" s="498" t="n"/>
      <c r="M21" s="498" t="n"/>
      <c r="N21" s="492" t="n"/>
      <c r="O21" s="492" t="n"/>
      <c r="P21" s="477" t="n"/>
      <c r="Q21" s="477" t="n"/>
      <c r="R21" s="477" t="n"/>
      <c r="S21" s="477" t="n"/>
      <c r="T21" s="477" t="n"/>
      <c r="U21" s="477" t="n"/>
      <c r="V21" s="477" t="n"/>
      <c r="W21" s="477" t="n"/>
      <c r="X21" s="477" t="n"/>
      <c r="Y21" s="477" t="n"/>
      <c r="Z21" s="477" t="n"/>
    </row>
    <row r="22" ht="15.75" customHeight="1">
      <c r="A22" s="1334" t="n"/>
      <c r="B22" s="494" t="n"/>
      <c r="C22" s="492" t="n"/>
      <c r="D22" s="492" t="n"/>
      <c r="E22" s="492" t="n"/>
      <c r="F22" s="481" t="n"/>
      <c r="G22" s="495" t="n"/>
      <c r="H22" s="496" t="n"/>
      <c r="I22" s="497" t="n"/>
      <c r="J22" s="498" t="n"/>
      <c r="K22" s="498" t="n"/>
      <c r="L22" s="498" t="n"/>
      <c r="M22" s="498" t="n"/>
      <c r="N22" s="492" t="n"/>
      <c r="O22" s="492" t="n"/>
      <c r="P22" s="477" t="n"/>
      <c r="Q22" s="477" t="n"/>
      <c r="R22" s="477" t="n"/>
      <c r="S22" s="477" t="n"/>
      <c r="T22" s="477" t="n"/>
      <c r="U22" s="477" t="n"/>
      <c r="V22" s="477" t="n"/>
      <c r="W22" s="477" t="n"/>
      <c r="X22" s="477" t="n"/>
      <c r="Y22" s="477" t="n"/>
      <c r="Z22" s="477" t="n"/>
    </row>
    <row r="23" ht="15.75" customHeight="1">
      <c r="A23" s="1334" t="n"/>
      <c r="B23" s="494" t="n"/>
      <c r="C23" s="492" t="n"/>
      <c r="D23" s="492" t="n"/>
      <c r="E23" s="492" t="n"/>
      <c r="F23" s="481" t="n"/>
      <c r="G23" s="495" t="n"/>
      <c r="H23" s="496" t="n"/>
      <c r="I23" s="497" t="n"/>
      <c r="J23" s="498" t="n"/>
      <c r="K23" s="498" t="n"/>
      <c r="L23" s="498" t="n"/>
      <c r="M23" s="498" t="n"/>
      <c r="N23" s="492" t="n"/>
      <c r="O23" s="492" t="n"/>
      <c r="P23" s="477" t="n"/>
      <c r="Q23" s="477" t="n"/>
      <c r="R23" s="477" t="n"/>
      <c r="S23" s="477" t="n"/>
      <c r="T23" s="477" t="n"/>
      <c r="U23" s="477" t="n"/>
      <c r="V23" s="477" t="n"/>
      <c r="W23" s="477" t="n"/>
      <c r="X23" s="477" t="n"/>
      <c r="Y23" s="477" t="n"/>
      <c r="Z23" s="477" t="n"/>
    </row>
    <row r="24" ht="15.75" customHeight="1">
      <c r="A24" s="1334" t="n"/>
      <c r="B24" s="494" t="n"/>
      <c r="C24" s="492" t="n"/>
      <c r="D24" s="492" t="n"/>
      <c r="E24" s="492" t="n"/>
      <c r="F24" s="492" t="n"/>
      <c r="G24" s="495" t="n"/>
      <c r="H24" s="496" t="n"/>
      <c r="I24" s="497" t="n"/>
      <c r="J24" s="498" t="n"/>
      <c r="K24" s="498" t="n"/>
      <c r="L24" s="498" t="n"/>
      <c r="M24" s="498" t="n"/>
      <c r="N24" s="492" t="n"/>
      <c r="O24" s="492" t="n"/>
      <c r="P24" s="477" t="n"/>
      <c r="Q24" s="477" t="n"/>
      <c r="R24" s="477" t="n"/>
      <c r="S24" s="477" t="n"/>
      <c r="T24" s="477" t="n"/>
      <c r="U24" s="477" t="n"/>
      <c r="V24" s="477" t="n"/>
      <c r="W24" s="477" t="n"/>
      <c r="X24" s="477" t="n"/>
      <c r="Y24" s="477" t="n"/>
      <c r="Z24" s="477" t="n"/>
    </row>
    <row r="25" ht="15.75" customHeight="1">
      <c r="A25" s="1334" t="n"/>
      <c r="B25" s="494" t="n"/>
      <c r="C25" s="492" t="n"/>
      <c r="D25" s="492" t="n"/>
      <c r="E25" s="492" t="n"/>
      <c r="F25" s="492" t="n"/>
      <c r="G25" s="495" t="n"/>
      <c r="H25" s="496" t="n"/>
      <c r="I25" s="497" t="n"/>
      <c r="J25" s="498" t="n"/>
      <c r="K25" s="498" t="n"/>
      <c r="L25" s="498" t="n"/>
      <c r="M25" s="498" t="n"/>
      <c r="N25" s="492" t="n"/>
      <c r="O25" s="492" t="n"/>
      <c r="P25" s="477" t="n"/>
      <c r="Q25" s="477" t="n"/>
      <c r="R25" s="477" t="n"/>
      <c r="S25" s="477" t="n"/>
      <c r="T25" s="477" t="n"/>
      <c r="U25" s="477" t="n"/>
      <c r="V25" s="477" t="n"/>
      <c r="W25" s="477" t="n"/>
      <c r="X25" s="477" t="n"/>
      <c r="Y25" s="477" t="n"/>
      <c r="Z25" s="477" t="n"/>
    </row>
    <row r="26" ht="15.75" customHeight="1">
      <c r="A26" s="1334" t="n"/>
      <c r="B26" s="494" t="n"/>
      <c r="C26" s="492" t="n"/>
      <c r="D26" s="492" t="n"/>
      <c r="E26" s="492" t="n"/>
      <c r="F26" s="492" t="n"/>
      <c r="G26" s="495" t="n"/>
      <c r="H26" s="496" t="n"/>
      <c r="I26" s="497" t="n"/>
      <c r="J26" s="498" t="n"/>
      <c r="K26" s="498" t="n"/>
      <c r="L26" s="498" t="n"/>
      <c r="M26" s="498" t="n"/>
      <c r="N26" s="492" t="n"/>
      <c r="O26" s="492" t="n"/>
      <c r="P26" s="477" t="n"/>
      <c r="Q26" s="477" t="n"/>
      <c r="R26" s="477" t="n"/>
      <c r="S26" s="477" t="n"/>
      <c r="T26" s="477" t="n"/>
      <c r="U26" s="477" t="n"/>
      <c r="V26" s="477" t="n"/>
      <c r="W26" s="477" t="n"/>
      <c r="X26" s="477" t="n"/>
      <c r="Y26" s="477" t="n"/>
      <c r="Z26" s="477" t="n"/>
    </row>
    <row r="27" ht="15.75" customHeight="1">
      <c r="A27" s="1334" t="n"/>
      <c r="B27" s="494" t="n"/>
      <c r="C27" s="492" t="n"/>
      <c r="D27" s="492" t="n"/>
      <c r="E27" s="495" t="n"/>
      <c r="F27" s="495" t="n"/>
      <c r="G27" s="495" t="n"/>
      <c r="H27" s="496" t="n"/>
      <c r="I27" s="497" t="n"/>
      <c r="J27" s="498" t="n"/>
      <c r="K27" s="498" t="n"/>
      <c r="L27" s="498" t="n"/>
      <c r="M27" s="498" t="n"/>
      <c r="N27" s="492" t="n"/>
      <c r="O27" s="492" t="n"/>
      <c r="P27" s="477" t="n"/>
      <c r="Q27" s="477" t="n"/>
      <c r="R27" s="477" t="n"/>
      <c r="S27" s="477" t="n"/>
      <c r="T27" s="477" t="n"/>
      <c r="U27" s="477" t="n"/>
      <c r="V27" s="477" t="n"/>
      <c r="W27" s="477" t="n"/>
      <c r="X27" s="477" t="n"/>
      <c r="Y27" s="477" t="n"/>
      <c r="Z27" s="477" t="n"/>
    </row>
    <row r="28" ht="15.75" customHeight="1">
      <c r="A28" s="1334" t="n"/>
      <c r="B28" s="494" t="n"/>
      <c r="C28" s="492" t="n"/>
      <c r="D28" s="492" t="n"/>
      <c r="E28" s="495" t="n"/>
      <c r="F28" s="495" t="n"/>
      <c r="G28" s="495" t="n"/>
      <c r="H28" s="496" t="n"/>
      <c r="I28" s="497" t="n"/>
      <c r="J28" s="498" t="n"/>
      <c r="K28" s="498" t="n"/>
      <c r="L28" s="498" t="n"/>
      <c r="M28" s="498" t="n"/>
      <c r="N28" s="492" t="n"/>
      <c r="O28" s="492" t="n"/>
      <c r="P28" s="477" t="n"/>
      <c r="Q28" s="477" t="n"/>
      <c r="R28" s="477" t="n"/>
      <c r="S28" s="477" t="n"/>
      <c r="T28" s="477" t="n"/>
      <c r="U28" s="477" t="n"/>
      <c r="V28" s="477" t="n"/>
      <c r="W28" s="477" t="n"/>
      <c r="X28" s="477" t="n"/>
      <c r="Y28" s="477" t="n"/>
      <c r="Z28" s="477" t="n"/>
    </row>
    <row r="29" ht="15.75" customHeight="1">
      <c r="A29" s="1334" t="n"/>
      <c r="B29" s="494" t="n"/>
      <c r="C29" s="492" t="n"/>
      <c r="D29" s="492" t="n"/>
      <c r="E29" s="495" t="n"/>
      <c r="F29" s="495" t="n"/>
      <c r="G29" s="495" t="n"/>
      <c r="H29" s="496" t="n"/>
      <c r="I29" s="497" t="n"/>
      <c r="J29" s="498" t="n"/>
      <c r="K29" s="498" t="n"/>
      <c r="L29" s="498" t="n"/>
      <c r="M29" s="498" t="n"/>
      <c r="N29" s="492" t="n"/>
      <c r="O29" s="492" t="n"/>
      <c r="P29" s="477" t="n"/>
      <c r="Q29" s="477" t="n"/>
      <c r="R29" s="477" t="n"/>
      <c r="S29" s="477" t="n"/>
      <c r="T29" s="477" t="n"/>
      <c r="U29" s="477" t="n"/>
      <c r="V29" s="477" t="n"/>
      <c r="W29" s="477" t="n"/>
      <c r="X29" s="477" t="n"/>
      <c r="Y29" s="477" t="n"/>
      <c r="Z29" s="477" t="n"/>
    </row>
    <row r="30" ht="15.75" customHeight="1">
      <c r="A30" s="1334" t="n"/>
      <c r="B30" s="494" t="n"/>
      <c r="C30" s="492" t="n"/>
      <c r="D30" s="492" t="n"/>
      <c r="E30" s="492" t="n"/>
      <c r="F30" s="492" t="n"/>
      <c r="G30" s="495" t="n"/>
      <c r="H30" s="496" t="n"/>
      <c r="I30" s="497" t="n"/>
      <c r="J30" s="498" t="n"/>
      <c r="K30" s="498" t="n"/>
      <c r="L30" s="498" t="n"/>
      <c r="M30" s="498" t="n"/>
      <c r="N30" s="492" t="n"/>
      <c r="O30" s="492" t="n"/>
      <c r="P30" s="477" t="n"/>
      <c r="Q30" s="477" t="n"/>
      <c r="R30" s="477" t="n"/>
      <c r="S30" s="477" t="n"/>
      <c r="T30" s="477" t="n"/>
      <c r="U30" s="477" t="n"/>
      <c r="V30" s="477" t="n"/>
      <c r="W30" s="477" t="n"/>
      <c r="X30" s="477" t="n"/>
      <c r="Y30" s="477" t="n"/>
      <c r="Z30" s="477" t="n"/>
    </row>
    <row r="31" ht="15.75" customHeight="1">
      <c r="A31" s="1334" t="n"/>
      <c r="B31" s="494" t="n"/>
      <c r="C31" s="492" t="n"/>
      <c r="D31" s="492" t="n"/>
      <c r="E31" s="492" t="n"/>
      <c r="F31" s="492" t="n"/>
      <c r="G31" s="495" t="n"/>
      <c r="H31" s="496" t="n"/>
      <c r="I31" s="497" t="n"/>
      <c r="J31" s="498" t="n"/>
      <c r="K31" s="498" t="n"/>
      <c r="L31" s="498" t="n"/>
      <c r="M31" s="498" t="n"/>
      <c r="N31" s="492" t="n"/>
      <c r="O31" s="492" t="n"/>
      <c r="P31" s="477" t="n"/>
      <c r="Q31" s="477" t="n"/>
      <c r="R31" s="477" t="n"/>
      <c r="S31" s="477" t="n"/>
      <c r="T31" s="477" t="n"/>
      <c r="U31" s="477" t="n"/>
      <c r="V31" s="477" t="n"/>
      <c r="W31" s="477" t="n"/>
      <c r="X31" s="477" t="n"/>
      <c r="Y31" s="477" t="n"/>
      <c r="Z31" s="477" t="n"/>
    </row>
    <row r="32" ht="15.75" customHeight="1">
      <c r="A32" s="1334" t="n"/>
      <c r="B32" s="494" t="n"/>
      <c r="C32" s="492" t="n"/>
      <c r="D32" s="492" t="n"/>
      <c r="E32" s="492" t="n"/>
      <c r="F32" s="492" t="n"/>
      <c r="G32" s="495" t="n"/>
      <c r="H32" s="496" t="n"/>
      <c r="I32" s="497" t="n"/>
      <c r="J32" s="498" t="n"/>
      <c r="K32" s="498" t="n"/>
      <c r="L32" s="498" t="n"/>
      <c r="M32" s="498" t="n"/>
      <c r="N32" s="492" t="n"/>
      <c r="O32" s="492" t="n"/>
      <c r="P32" s="477" t="n"/>
      <c r="Q32" s="477" t="n"/>
      <c r="R32" s="477" t="n"/>
      <c r="S32" s="477" t="n"/>
      <c r="T32" s="477" t="n"/>
      <c r="U32" s="477" t="n"/>
      <c r="V32" s="477" t="n"/>
      <c r="W32" s="477" t="n"/>
      <c r="X32" s="477" t="n"/>
      <c r="Y32" s="477" t="n"/>
      <c r="Z32" s="477" t="n"/>
    </row>
    <row r="33" ht="15.75" customHeight="1">
      <c r="A33" s="1334" t="n"/>
      <c r="B33" s="494" t="n"/>
      <c r="C33" s="492" t="n"/>
      <c r="D33" s="492" t="n"/>
      <c r="E33" s="492" t="n"/>
      <c r="F33" s="492" t="n"/>
      <c r="G33" s="495" t="n"/>
      <c r="H33" s="496" t="n"/>
      <c r="I33" s="497" t="n"/>
      <c r="J33" s="498" t="n"/>
      <c r="K33" s="498" t="n"/>
      <c r="L33" s="498" t="n"/>
      <c r="M33" s="498" t="n"/>
      <c r="N33" s="492" t="n"/>
      <c r="O33" s="492" t="n"/>
      <c r="P33" s="477" t="n"/>
      <c r="Q33" s="477" t="n"/>
      <c r="R33" s="477" t="n"/>
      <c r="S33" s="477" t="n"/>
      <c r="T33" s="477" t="n"/>
      <c r="U33" s="477" t="n"/>
      <c r="V33" s="477" t="n"/>
      <c r="W33" s="477" t="n"/>
      <c r="X33" s="477" t="n"/>
      <c r="Y33" s="477" t="n"/>
      <c r="Z33" s="477" t="n"/>
    </row>
    <row r="34" ht="15.75" customHeight="1">
      <c r="A34" s="1334" t="n"/>
      <c r="B34" s="494" t="n"/>
      <c r="C34" s="492" t="n"/>
      <c r="D34" s="492" t="n"/>
      <c r="E34" s="492" t="n"/>
      <c r="F34" s="492" t="n"/>
      <c r="G34" s="495" t="n"/>
      <c r="H34" s="496" t="n"/>
      <c r="I34" s="497" t="n"/>
      <c r="J34" s="498" t="n"/>
      <c r="K34" s="498" t="n"/>
      <c r="L34" s="498" t="n"/>
      <c r="M34" s="498" t="n"/>
      <c r="N34" s="492" t="n"/>
      <c r="O34" s="492" t="n"/>
      <c r="P34" s="477" t="n"/>
      <c r="Q34" s="477" t="n"/>
      <c r="R34" s="477" t="n"/>
      <c r="S34" s="477" t="n"/>
      <c r="T34" s="477" t="n"/>
      <c r="U34" s="477" t="n"/>
      <c r="V34" s="477" t="n"/>
      <c r="W34" s="477" t="n"/>
      <c r="X34" s="477" t="n"/>
      <c r="Y34" s="477" t="n"/>
      <c r="Z34" s="477" t="n"/>
    </row>
    <row r="35" ht="15.75" customHeight="1">
      <c r="A35" s="1334" t="n"/>
      <c r="B35" s="494" t="n"/>
      <c r="C35" s="492" t="n"/>
      <c r="D35" s="492" t="n"/>
      <c r="E35" s="492" t="n"/>
      <c r="F35" s="492" t="n"/>
      <c r="G35" s="495" t="n"/>
      <c r="H35" s="496" t="n"/>
      <c r="I35" s="497" t="n"/>
      <c r="J35" s="498" t="n"/>
      <c r="K35" s="498" t="n"/>
      <c r="L35" s="498" t="n"/>
      <c r="M35" s="498" t="n"/>
      <c r="N35" s="492" t="n"/>
      <c r="O35" s="492" t="n"/>
      <c r="P35" s="477" t="n"/>
      <c r="Q35" s="477" t="n"/>
      <c r="R35" s="477" t="n"/>
      <c r="S35" s="477" t="n"/>
      <c r="T35" s="477" t="n"/>
      <c r="U35" s="477" t="n"/>
      <c r="V35" s="477" t="n"/>
      <c r="W35" s="477" t="n"/>
      <c r="X35" s="477" t="n"/>
      <c r="Y35" s="477" t="n"/>
      <c r="Z35" s="477" t="n"/>
    </row>
    <row r="36" ht="15.75" customHeight="1">
      <c r="A36" s="1334" t="n"/>
      <c r="B36" s="494" t="n"/>
      <c r="C36" s="492" t="n"/>
      <c r="D36" s="492" t="n"/>
      <c r="E36" s="492" t="n"/>
      <c r="F36" s="492" t="n"/>
      <c r="G36" s="495" t="n"/>
      <c r="H36" s="496" t="n"/>
      <c r="I36" s="497" t="n"/>
      <c r="J36" s="498" t="n"/>
      <c r="K36" s="498" t="n"/>
      <c r="L36" s="498" t="n"/>
      <c r="M36" s="498" t="n"/>
      <c r="N36" s="1334" t="n"/>
      <c r="O36" s="499" t="n"/>
      <c r="P36" s="477" t="n"/>
      <c r="Q36" s="477" t="n"/>
      <c r="R36" s="477" t="n"/>
      <c r="S36" s="477" t="n"/>
      <c r="T36" s="477" t="n"/>
      <c r="U36" s="477" t="n"/>
      <c r="V36" s="477" t="n"/>
      <c r="W36" s="477" t="n"/>
      <c r="X36" s="477" t="n"/>
      <c r="Y36" s="477" t="n"/>
      <c r="Z36" s="477" t="n"/>
    </row>
    <row r="37" ht="15.75" customHeight="1">
      <c r="A37" s="1334" t="n"/>
      <c r="B37" s="494" t="n"/>
      <c r="C37" s="492" t="n"/>
      <c r="D37" s="492" t="n"/>
      <c r="E37" s="492" t="n"/>
      <c r="F37" s="492" t="n"/>
      <c r="G37" s="495" t="n"/>
      <c r="H37" s="496" t="n"/>
      <c r="I37" s="497" t="n"/>
      <c r="J37" s="498" t="n"/>
      <c r="K37" s="498" t="n"/>
      <c r="L37" s="498" t="n"/>
      <c r="M37" s="498" t="n"/>
      <c r="N37" s="1334" t="n"/>
      <c r="O37" s="499" t="n"/>
      <c r="P37" s="477" t="n"/>
      <c r="Q37" s="477" t="n"/>
      <c r="R37" s="477" t="n"/>
      <c r="S37" s="477" t="n"/>
      <c r="T37" s="477" t="n"/>
      <c r="U37" s="477" t="n"/>
      <c r="V37" s="477" t="n"/>
      <c r="W37" s="477" t="n"/>
      <c r="X37" s="477" t="n"/>
      <c r="Y37" s="477" t="n"/>
      <c r="Z37" s="477" t="n"/>
    </row>
    <row r="38" ht="15.75" customHeight="1">
      <c r="A38" s="1334" t="n"/>
      <c r="B38" s="494" t="n"/>
      <c r="C38" s="492" t="n"/>
      <c r="D38" s="492" t="n"/>
      <c r="E38" s="492" t="n"/>
      <c r="F38" s="492" t="n"/>
      <c r="G38" s="495" t="n"/>
      <c r="H38" s="496" t="n"/>
      <c r="I38" s="497" t="n"/>
      <c r="J38" s="498" t="n"/>
      <c r="K38" s="498" t="n"/>
      <c r="L38" s="498" t="n"/>
      <c r="M38" s="498" t="n"/>
      <c r="N38" s="1334" t="n"/>
      <c r="O38" s="499" t="n"/>
      <c r="P38" s="477" t="n"/>
      <c r="Q38" s="477" t="n"/>
      <c r="R38" s="477" t="n"/>
      <c r="S38" s="477" t="n"/>
      <c r="T38" s="477" t="n"/>
      <c r="U38" s="477" t="n"/>
      <c r="V38" s="477" t="n"/>
      <c r="W38" s="477" t="n"/>
      <c r="X38" s="477" t="n"/>
      <c r="Y38" s="477" t="n"/>
      <c r="Z38" s="477" t="n"/>
    </row>
    <row r="39" ht="15.75" customHeight="1">
      <c r="A39" s="1334" t="n"/>
      <c r="B39" s="494" t="n"/>
      <c r="C39" s="492" t="n"/>
      <c r="D39" s="492" t="n"/>
      <c r="E39" s="492" t="n"/>
      <c r="F39" s="492" t="n"/>
      <c r="G39" s="495" t="n"/>
      <c r="H39" s="496" t="n"/>
      <c r="I39" s="497" t="n"/>
      <c r="J39" s="498" t="n"/>
      <c r="K39" s="498" t="n"/>
      <c r="L39" s="498" t="n"/>
      <c r="M39" s="498" t="n"/>
      <c r="N39" s="1334" t="n"/>
      <c r="O39" s="499" t="n"/>
      <c r="P39" s="477" t="n"/>
      <c r="Q39" s="477" t="n"/>
      <c r="R39" s="477" t="n"/>
      <c r="S39" s="477" t="n"/>
      <c r="T39" s="477" t="n"/>
      <c r="U39" s="477" t="n"/>
      <c r="V39" s="477" t="n"/>
      <c r="W39" s="477" t="n"/>
      <c r="X39" s="477" t="n"/>
      <c r="Y39" s="477" t="n"/>
      <c r="Z39" s="477" t="n"/>
    </row>
    <row r="40" ht="15.75" customHeight="1">
      <c r="A40" s="1334" t="n"/>
      <c r="B40" s="494" t="n"/>
      <c r="C40" s="492" t="n"/>
      <c r="D40" s="492" t="n"/>
      <c r="E40" s="492" t="n"/>
      <c r="F40" s="492" t="n"/>
      <c r="G40" s="495" t="n"/>
      <c r="H40" s="496" t="n"/>
      <c r="I40" s="497" t="n"/>
      <c r="J40" s="498" t="n"/>
      <c r="K40" s="498" t="n"/>
      <c r="L40" s="498" t="n"/>
      <c r="M40" s="498" t="n"/>
      <c r="N40" s="1334" t="n"/>
      <c r="O40" s="499" t="n"/>
      <c r="P40" s="477" t="n"/>
      <c r="Q40" s="477" t="n"/>
      <c r="R40" s="477" t="n"/>
      <c r="S40" s="477" t="n"/>
      <c r="T40" s="477" t="n"/>
      <c r="U40" s="477" t="n"/>
      <c r="V40" s="477" t="n"/>
      <c r="W40" s="477" t="n"/>
      <c r="X40" s="477" t="n"/>
      <c r="Y40" s="477" t="n"/>
      <c r="Z40" s="477" t="n"/>
    </row>
    <row r="41" ht="15.75" customHeight="1">
      <c r="A41" s="1334" t="n"/>
      <c r="B41" s="494" t="n"/>
      <c r="C41" s="492" t="n"/>
      <c r="D41" s="492" t="n"/>
      <c r="E41" s="492" t="n"/>
      <c r="F41" s="492" t="n"/>
      <c r="G41" s="495" t="n"/>
      <c r="H41" s="496" t="n"/>
      <c r="I41" s="497" t="n"/>
      <c r="J41" s="498" t="n"/>
      <c r="K41" s="498" t="n"/>
      <c r="L41" s="498" t="n"/>
      <c r="M41" s="498" t="n"/>
      <c r="N41" s="1334" t="n"/>
      <c r="O41" s="499" t="n"/>
      <c r="P41" s="477" t="n"/>
      <c r="Q41" s="477" t="n"/>
      <c r="R41" s="477" t="n"/>
      <c r="S41" s="477" t="n"/>
      <c r="T41" s="477" t="n"/>
      <c r="U41" s="477" t="n"/>
      <c r="V41" s="477" t="n"/>
      <c r="W41" s="477" t="n"/>
      <c r="X41" s="477" t="n"/>
      <c r="Y41" s="477" t="n"/>
      <c r="Z41" s="477" t="n"/>
    </row>
    <row r="42" ht="15.75" customHeight="1">
      <c r="A42" s="1334" t="n"/>
      <c r="B42" s="494" t="n"/>
      <c r="C42" s="492" t="n"/>
      <c r="D42" s="492" t="n"/>
      <c r="E42" s="492" t="n"/>
      <c r="F42" s="492" t="n"/>
      <c r="G42" s="495" t="n"/>
      <c r="H42" s="496" t="n"/>
      <c r="I42" s="497" t="n"/>
      <c r="J42" s="498" t="n"/>
      <c r="K42" s="498" t="n"/>
      <c r="L42" s="498" t="n"/>
      <c r="M42" s="498" t="n"/>
      <c r="N42" s="1334" t="n"/>
      <c r="O42" s="499" t="n"/>
      <c r="P42" s="477" t="n"/>
      <c r="Q42" s="477" t="n"/>
      <c r="R42" s="477" t="n"/>
      <c r="S42" s="477" t="n"/>
      <c r="T42" s="477" t="n"/>
      <c r="U42" s="477" t="n"/>
      <c r="V42" s="477" t="n"/>
      <c r="W42" s="477" t="n"/>
      <c r="X42" s="477" t="n"/>
      <c r="Y42" s="477" t="n"/>
      <c r="Z42" s="477" t="n"/>
    </row>
    <row r="43" ht="15.75" customHeight="1">
      <c r="A43" s="1334" t="n"/>
      <c r="B43" s="494" t="n"/>
      <c r="C43" s="492" t="n"/>
      <c r="D43" s="492" t="n"/>
      <c r="E43" s="492" t="n"/>
      <c r="F43" s="492" t="n"/>
      <c r="G43" s="495" t="n"/>
      <c r="H43" s="496" t="n"/>
      <c r="I43" s="497" t="n"/>
      <c r="J43" s="498" t="n"/>
      <c r="K43" s="498" t="n"/>
      <c r="L43" s="498" t="n"/>
      <c r="M43" s="498" t="n"/>
      <c r="N43" s="1334" t="n"/>
      <c r="O43" s="499" t="n"/>
      <c r="P43" s="477" t="n"/>
      <c r="Q43" s="477" t="n"/>
      <c r="R43" s="477" t="n"/>
      <c r="S43" s="477" t="n"/>
      <c r="T43" s="477" t="n"/>
      <c r="U43" s="477" t="n"/>
      <c r="V43" s="477" t="n"/>
      <c r="W43" s="477" t="n"/>
      <c r="X43" s="477" t="n"/>
      <c r="Y43" s="477" t="n"/>
      <c r="Z43" s="477" t="n"/>
    </row>
    <row r="44" ht="15.75" customHeight="1">
      <c r="A44" s="1334" t="n"/>
      <c r="B44" s="494" t="n"/>
      <c r="C44" s="492" t="n"/>
      <c r="D44" s="492" t="n"/>
      <c r="E44" s="492" t="n"/>
      <c r="F44" s="492" t="n"/>
      <c r="G44" s="495" t="n"/>
      <c r="H44" s="496" t="n"/>
      <c r="I44" s="497" t="n"/>
      <c r="J44" s="498" t="n"/>
      <c r="K44" s="498" t="n"/>
      <c r="L44" s="498" t="n"/>
      <c r="M44" s="498" t="n"/>
      <c r="N44" s="1334" t="n"/>
      <c r="O44" s="499" t="n"/>
      <c r="P44" s="477" t="n"/>
      <c r="Q44" s="477" t="n"/>
      <c r="R44" s="477" t="n"/>
      <c r="S44" s="477" t="n"/>
      <c r="T44" s="477" t="n"/>
      <c r="U44" s="477" t="n"/>
      <c r="V44" s="477" t="n"/>
      <c r="W44" s="477" t="n"/>
      <c r="X44" s="477" t="n"/>
      <c r="Y44" s="477" t="n"/>
      <c r="Z44" s="477" t="n"/>
    </row>
    <row r="45" ht="15.75" customHeight="1">
      <c r="A45" s="1334" t="n"/>
      <c r="B45" s="494" t="n"/>
      <c r="C45" s="492" t="n"/>
      <c r="D45" s="492" t="n"/>
      <c r="E45" s="492" t="n"/>
      <c r="F45" s="492" t="n"/>
      <c r="G45" s="495" t="n"/>
      <c r="H45" s="496" t="n"/>
      <c r="I45" s="497" t="n"/>
      <c r="J45" s="498" t="n"/>
      <c r="K45" s="498" t="n"/>
      <c r="L45" s="498" t="n"/>
      <c r="M45" s="498" t="n"/>
      <c r="N45" s="1334" t="n"/>
      <c r="O45" s="499" t="n"/>
      <c r="P45" s="477" t="n"/>
      <c r="Q45" s="477" t="n"/>
      <c r="R45" s="477" t="n"/>
      <c r="S45" s="477" t="n"/>
      <c r="T45" s="477" t="n"/>
      <c r="U45" s="477" t="n"/>
      <c r="V45" s="477" t="n"/>
      <c r="W45" s="477" t="n"/>
      <c r="X45" s="477" t="n"/>
      <c r="Y45" s="477" t="n"/>
      <c r="Z45" s="477" t="n"/>
    </row>
    <row r="46" ht="15.75" customHeight="1">
      <c r="A46" s="1334" t="n"/>
      <c r="B46" s="494" t="n"/>
      <c r="C46" s="492" t="n"/>
      <c r="D46" s="492" t="n"/>
      <c r="E46" s="492" t="n"/>
      <c r="F46" s="492" t="n"/>
      <c r="G46" s="495" t="n"/>
      <c r="H46" s="496" t="n"/>
      <c r="I46" s="497" t="n"/>
      <c r="J46" s="498" t="n"/>
      <c r="K46" s="498" t="n"/>
      <c r="L46" s="498" t="n"/>
      <c r="M46" s="498" t="n"/>
      <c r="N46" s="1334" t="n"/>
      <c r="O46" s="499" t="n"/>
      <c r="P46" s="477" t="n"/>
      <c r="Q46" s="477" t="n"/>
      <c r="R46" s="477" t="n"/>
      <c r="S46" s="477" t="n"/>
      <c r="T46" s="477" t="n"/>
      <c r="U46" s="477" t="n"/>
      <c r="V46" s="477" t="n"/>
      <c r="W46" s="477" t="n"/>
      <c r="X46" s="477" t="n"/>
      <c r="Y46" s="477" t="n"/>
      <c r="Z46" s="477" t="n"/>
    </row>
    <row r="47" ht="15.75" customHeight="1">
      <c r="A47" s="1334" t="n"/>
      <c r="B47" s="494" t="n"/>
      <c r="C47" s="492" t="n"/>
      <c r="D47" s="492" t="n"/>
      <c r="E47" s="492" t="n"/>
      <c r="F47" s="492" t="n"/>
      <c r="G47" s="495" t="n"/>
      <c r="H47" s="496" t="n"/>
      <c r="I47" s="497" t="n"/>
      <c r="J47" s="498" t="n"/>
      <c r="K47" s="498" t="n"/>
      <c r="L47" s="498" t="n"/>
      <c r="M47" s="498" t="n"/>
      <c r="N47" s="1334" t="n"/>
      <c r="O47" s="499" t="n"/>
      <c r="P47" s="477" t="n"/>
      <c r="Q47" s="477" t="n"/>
      <c r="R47" s="477" t="n"/>
      <c r="S47" s="477" t="n"/>
      <c r="T47" s="477" t="n"/>
      <c r="U47" s="477" t="n"/>
      <c r="V47" s="477" t="n"/>
      <c r="W47" s="477" t="n"/>
      <c r="X47" s="477" t="n"/>
      <c r="Y47" s="477" t="n"/>
      <c r="Z47" s="477" t="n"/>
    </row>
    <row r="48" ht="15.75" customHeight="1">
      <c r="A48" s="1334" t="n"/>
      <c r="B48" s="494" t="n"/>
      <c r="C48" s="492" t="n"/>
      <c r="D48" s="492" t="n"/>
      <c r="E48" s="492" t="n"/>
      <c r="F48" s="492" t="n"/>
      <c r="G48" s="495" t="n"/>
      <c r="H48" s="496" t="n"/>
      <c r="I48" s="497" t="n"/>
      <c r="J48" s="498" t="n"/>
      <c r="K48" s="498" t="n"/>
      <c r="L48" s="498" t="n"/>
      <c r="M48" s="498" t="n"/>
      <c r="N48" s="1334" t="n"/>
      <c r="O48" s="499" t="n"/>
      <c r="P48" s="477" t="n"/>
      <c r="Q48" s="477" t="n"/>
      <c r="R48" s="477" t="n"/>
      <c r="S48" s="477" t="n"/>
      <c r="T48" s="477" t="n"/>
      <c r="U48" s="477" t="n"/>
      <c r="V48" s="477" t="n"/>
      <c r="W48" s="477" t="n"/>
      <c r="X48" s="477" t="n"/>
      <c r="Y48" s="477" t="n"/>
      <c r="Z48" s="477" t="n"/>
    </row>
    <row r="49" ht="15.75" customHeight="1">
      <c r="A49" s="1334" t="n"/>
      <c r="B49" s="494" t="n"/>
      <c r="C49" s="492" t="n"/>
      <c r="D49" s="492" t="n"/>
      <c r="E49" s="492" t="n"/>
      <c r="F49" s="492" t="n"/>
      <c r="G49" s="495" t="n"/>
      <c r="H49" s="496" t="n"/>
      <c r="I49" s="497" t="n"/>
      <c r="J49" s="498" t="n"/>
      <c r="K49" s="498" t="n"/>
      <c r="L49" s="498" t="n"/>
      <c r="M49" s="498" t="n"/>
      <c r="N49" s="1334" t="n"/>
      <c r="O49" s="499" t="n"/>
      <c r="P49" s="477" t="n"/>
      <c r="Q49" s="477" t="n"/>
      <c r="R49" s="477" t="n"/>
      <c r="S49" s="477" t="n"/>
      <c r="T49" s="477" t="n"/>
      <c r="U49" s="477" t="n"/>
      <c r="V49" s="477" t="n"/>
      <c r="W49" s="477" t="n"/>
      <c r="X49" s="477" t="n"/>
      <c r="Y49" s="477" t="n"/>
      <c r="Z49" s="477" t="n"/>
    </row>
    <row r="50" ht="15.75" customHeight="1">
      <c r="A50" s="1334" t="n"/>
      <c r="B50" s="494" t="n"/>
      <c r="C50" s="492" t="n"/>
      <c r="D50" s="492" t="n"/>
      <c r="E50" s="492" t="n"/>
      <c r="F50" s="492" t="n"/>
      <c r="G50" s="495" t="n"/>
      <c r="H50" s="496" t="n"/>
      <c r="I50" s="497" t="n"/>
      <c r="J50" s="498" t="n"/>
      <c r="K50" s="498" t="n"/>
      <c r="L50" s="498" t="n"/>
      <c r="M50" s="498" t="n"/>
      <c r="N50" s="1334" t="n"/>
      <c r="O50" s="499" t="n"/>
      <c r="P50" s="477" t="n"/>
      <c r="Q50" s="477" t="n"/>
      <c r="R50" s="477" t="n"/>
      <c r="S50" s="477" t="n"/>
      <c r="T50" s="477" t="n"/>
      <c r="U50" s="477" t="n"/>
      <c r="V50" s="477" t="n"/>
      <c r="W50" s="477" t="n"/>
      <c r="X50" s="477" t="n"/>
      <c r="Y50" s="477" t="n"/>
      <c r="Z50" s="477" t="n"/>
    </row>
    <row r="51" ht="15.75" customHeight="1">
      <c r="A51" s="1334" t="n"/>
      <c r="B51" s="494" t="n"/>
      <c r="C51" s="492" t="n"/>
      <c r="D51" s="492" t="n"/>
      <c r="E51" s="492" t="n"/>
      <c r="F51" s="492" t="n"/>
      <c r="G51" s="495" t="n"/>
      <c r="H51" s="496" t="n"/>
      <c r="I51" s="497" t="n"/>
      <c r="J51" s="498" t="n"/>
      <c r="K51" s="498" t="n"/>
      <c r="L51" s="498" t="n"/>
      <c r="M51" s="498" t="n"/>
      <c r="N51" s="1334" t="n"/>
      <c r="O51" s="499" t="n"/>
      <c r="P51" s="477" t="n"/>
      <c r="Q51" s="477" t="n"/>
      <c r="R51" s="477" t="n"/>
      <c r="S51" s="477" t="n"/>
      <c r="T51" s="477" t="n"/>
      <c r="U51" s="477" t="n"/>
      <c r="V51" s="477" t="n"/>
      <c r="W51" s="477" t="n"/>
      <c r="X51" s="477" t="n"/>
      <c r="Y51" s="477" t="n"/>
      <c r="Z51" s="477" t="n"/>
    </row>
    <row r="52" ht="15.75" customHeight="1">
      <c r="A52" s="1334" t="n"/>
      <c r="B52" s="494" t="n"/>
      <c r="C52" s="492" t="n"/>
      <c r="D52" s="492" t="n"/>
      <c r="E52" s="492" t="n"/>
      <c r="F52" s="492" t="n"/>
      <c r="G52" s="495" t="n"/>
      <c r="H52" s="496" t="n"/>
      <c r="I52" s="497" t="n"/>
      <c r="J52" s="498" t="n"/>
      <c r="K52" s="498" t="n"/>
      <c r="L52" s="498" t="n"/>
      <c r="M52" s="498" t="n"/>
      <c r="N52" s="1334" t="n"/>
      <c r="O52" s="499" t="n"/>
      <c r="P52" s="477" t="n"/>
      <c r="Q52" s="477" t="n"/>
      <c r="R52" s="477" t="n"/>
      <c r="S52" s="477" t="n"/>
      <c r="T52" s="477" t="n"/>
      <c r="U52" s="477" t="n"/>
      <c r="V52" s="477" t="n"/>
      <c r="W52" s="477" t="n"/>
      <c r="X52" s="477" t="n"/>
      <c r="Y52" s="477" t="n"/>
      <c r="Z52" s="477" t="n"/>
    </row>
    <row r="53" ht="15.75" customHeight="1">
      <c r="A53" s="1334" t="n"/>
      <c r="B53" s="494" t="n"/>
      <c r="C53" s="492" t="n"/>
      <c r="D53" s="492" t="n"/>
      <c r="E53" s="492" t="n"/>
      <c r="F53" s="492" t="n"/>
      <c r="G53" s="495" t="n"/>
      <c r="H53" s="496" t="n"/>
      <c r="I53" s="497" t="n"/>
      <c r="J53" s="498" t="n"/>
      <c r="K53" s="498" t="n"/>
      <c r="L53" s="498" t="n"/>
      <c r="M53" s="498" t="n"/>
      <c r="N53" s="1334" t="n"/>
      <c r="O53" s="499" t="n"/>
      <c r="P53" s="477" t="n"/>
      <c r="Q53" s="477" t="n"/>
      <c r="R53" s="477" t="n"/>
      <c r="S53" s="477" t="n"/>
      <c r="T53" s="477" t="n"/>
      <c r="U53" s="477" t="n"/>
      <c r="V53" s="477" t="n"/>
      <c r="W53" s="477" t="n"/>
      <c r="X53" s="477" t="n"/>
      <c r="Y53" s="477" t="n"/>
      <c r="Z53" s="477" t="n"/>
    </row>
    <row r="54" ht="15.75" customHeight="1">
      <c r="A54" s="1334" t="n"/>
      <c r="B54" s="494" t="n"/>
      <c r="C54" s="492" t="n"/>
      <c r="D54" s="492" t="n"/>
      <c r="E54" s="492" t="n"/>
      <c r="F54" s="492" t="n"/>
      <c r="G54" s="495" t="n"/>
      <c r="H54" s="496" t="n"/>
      <c r="I54" s="497" t="n"/>
      <c r="J54" s="498" t="n"/>
      <c r="K54" s="498" t="n"/>
      <c r="L54" s="498" t="n"/>
      <c r="M54" s="498" t="n"/>
      <c r="N54" s="1334" t="n"/>
      <c r="O54" s="499" t="n"/>
      <c r="P54" s="477" t="n"/>
      <c r="Q54" s="477" t="n"/>
      <c r="R54" s="477" t="n"/>
      <c r="S54" s="477" t="n"/>
      <c r="T54" s="477" t="n"/>
      <c r="U54" s="477" t="n"/>
      <c r="V54" s="477" t="n"/>
      <c r="W54" s="477" t="n"/>
      <c r="X54" s="477" t="n"/>
      <c r="Y54" s="477" t="n"/>
      <c r="Z54" s="477" t="n"/>
    </row>
    <row r="55" ht="15.75" customHeight="1">
      <c r="A55" s="1334" t="n"/>
      <c r="B55" s="494" t="n"/>
      <c r="C55" s="492" t="n"/>
      <c r="D55" s="492" t="n"/>
      <c r="E55" s="492" t="n"/>
      <c r="F55" s="492" t="n"/>
      <c r="G55" s="495" t="n"/>
      <c r="H55" s="496" t="n"/>
      <c r="I55" s="497" t="n"/>
      <c r="J55" s="498" t="n"/>
      <c r="K55" s="498" t="n"/>
      <c r="L55" s="498" t="n"/>
      <c r="M55" s="498" t="n"/>
      <c r="N55" s="1334" t="n"/>
      <c r="O55" s="499" t="n"/>
      <c r="P55" s="477" t="n"/>
      <c r="Q55" s="477" t="n"/>
      <c r="R55" s="477" t="n"/>
      <c r="S55" s="477" t="n"/>
      <c r="T55" s="477" t="n"/>
      <c r="U55" s="477" t="n"/>
      <c r="V55" s="477" t="n"/>
      <c r="W55" s="477" t="n"/>
      <c r="X55" s="477" t="n"/>
      <c r="Y55" s="477" t="n"/>
      <c r="Z55" s="477" t="n"/>
    </row>
    <row r="56" ht="15.75" customHeight="1">
      <c r="A56" s="1334" t="n"/>
      <c r="B56" s="494" t="n"/>
      <c r="C56" s="492" t="n"/>
      <c r="D56" s="492" t="n"/>
      <c r="E56" s="492" t="n"/>
      <c r="F56" s="492" t="n"/>
      <c r="G56" s="495" t="n"/>
      <c r="H56" s="496" t="n"/>
      <c r="I56" s="497" t="n"/>
      <c r="J56" s="498" t="n"/>
      <c r="K56" s="498" t="n"/>
      <c r="L56" s="498" t="n"/>
      <c r="M56" s="498" t="n"/>
      <c r="N56" s="1334" t="n"/>
      <c r="O56" s="499" t="n"/>
      <c r="P56" s="477" t="n"/>
      <c r="Q56" s="477" t="n"/>
      <c r="R56" s="477" t="n"/>
      <c r="S56" s="477" t="n"/>
      <c r="T56" s="477" t="n"/>
      <c r="U56" s="477" t="n"/>
      <c r="V56" s="477" t="n"/>
      <c r="W56" s="477" t="n"/>
      <c r="X56" s="477" t="n"/>
      <c r="Y56" s="477" t="n"/>
      <c r="Z56" s="477" t="n"/>
    </row>
    <row r="57" ht="15.75" customHeight="1">
      <c r="A57" s="1334" t="n"/>
      <c r="B57" s="494" t="n"/>
      <c r="C57" s="492" t="n"/>
      <c r="D57" s="492" t="n"/>
      <c r="E57" s="492" t="n"/>
      <c r="F57" s="492" t="n"/>
      <c r="G57" s="495" t="n"/>
      <c r="H57" s="496" t="n"/>
      <c r="I57" s="497" t="n"/>
      <c r="J57" s="498" t="n"/>
      <c r="K57" s="498" t="n"/>
      <c r="L57" s="498" t="n"/>
      <c r="M57" s="498" t="n"/>
      <c r="N57" s="1334" t="n"/>
      <c r="O57" s="499" t="n"/>
      <c r="P57" s="477" t="n"/>
      <c r="Q57" s="477" t="n"/>
      <c r="R57" s="477" t="n"/>
      <c r="S57" s="477" t="n"/>
      <c r="T57" s="477" t="n"/>
      <c r="U57" s="477" t="n"/>
      <c r="V57" s="477" t="n"/>
      <c r="W57" s="477" t="n"/>
      <c r="X57" s="477" t="n"/>
      <c r="Y57" s="477" t="n"/>
      <c r="Z57" s="477" t="n"/>
    </row>
    <row r="58" ht="15.75" customHeight="1">
      <c r="A58" s="1334" t="n"/>
      <c r="B58" s="494" t="n"/>
      <c r="C58" s="492" t="n"/>
      <c r="D58" s="492" t="n"/>
      <c r="E58" s="492" t="n"/>
      <c r="F58" s="492" t="n"/>
      <c r="G58" s="495" t="n"/>
      <c r="H58" s="496" t="n"/>
      <c r="I58" s="497" t="n"/>
      <c r="J58" s="498" t="n"/>
      <c r="K58" s="498" t="n"/>
      <c r="L58" s="498" t="n"/>
      <c r="M58" s="498" t="n"/>
      <c r="N58" s="1334" t="n"/>
      <c r="O58" s="1334" t="n"/>
      <c r="P58" s="477" t="n"/>
      <c r="Q58" s="477" t="n"/>
      <c r="R58" s="477" t="n"/>
      <c r="S58" s="477" t="n"/>
      <c r="T58" s="477" t="n"/>
      <c r="U58" s="477" t="n"/>
      <c r="V58" s="477" t="n"/>
      <c r="W58" s="477" t="n"/>
      <c r="X58" s="477" t="n"/>
      <c r="Y58" s="477" t="n"/>
      <c r="Z58" s="477" t="n"/>
    </row>
    <row r="59" ht="15.75" customHeight="1">
      <c r="A59" s="1334" t="n"/>
      <c r="B59" s="494" t="n"/>
      <c r="C59" s="492" t="n"/>
      <c r="D59" s="492" t="n"/>
      <c r="E59" s="492" t="n"/>
      <c r="F59" s="492" t="n"/>
      <c r="G59" s="495" t="n"/>
      <c r="H59" s="496" t="n"/>
      <c r="I59" s="497" t="n"/>
      <c r="J59" s="498" t="n"/>
      <c r="K59" s="498" t="n"/>
      <c r="L59" s="498" t="n"/>
      <c r="M59" s="498" t="n"/>
      <c r="N59" s="1334" t="n"/>
      <c r="O59" s="1334" t="n"/>
      <c r="P59" s="477" t="n"/>
      <c r="Q59" s="477" t="n"/>
      <c r="R59" s="477" t="n"/>
      <c r="S59" s="477" t="n"/>
      <c r="T59" s="477" t="n"/>
      <c r="U59" s="477" t="n"/>
      <c r="V59" s="477" t="n"/>
      <c r="W59" s="477" t="n"/>
      <c r="X59" s="477" t="n"/>
      <c r="Y59" s="477" t="n"/>
      <c r="Z59" s="477" t="n"/>
    </row>
    <row r="60" ht="15.75" customHeight="1">
      <c r="A60" s="1334" t="n"/>
      <c r="B60" s="494" t="n"/>
      <c r="C60" s="492" t="n"/>
      <c r="D60" s="492" t="n"/>
      <c r="E60" s="492" t="n"/>
      <c r="F60" s="492" t="n"/>
      <c r="G60" s="495" t="n"/>
      <c r="H60" s="496" t="n"/>
      <c r="I60" s="497" t="n"/>
      <c r="J60" s="498" t="n"/>
      <c r="K60" s="498" t="n"/>
      <c r="L60" s="498" t="n"/>
      <c r="M60" s="498" t="n"/>
      <c r="N60" s="1334" t="n"/>
      <c r="O60" s="1334" t="n"/>
      <c r="P60" s="477" t="n"/>
      <c r="Q60" s="477" t="n"/>
      <c r="R60" s="477" t="n"/>
      <c r="S60" s="477" t="n"/>
      <c r="T60" s="477" t="n"/>
      <c r="U60" s="477" t="n"/>
      <c r="V60" s="477" t="n"/>
      <c r="W60" s="477" t="n"/>
      <c r="X60" s="477" t="n"/>
      <c r="Y60" s="477" t="n"/>
      <c r="Z60" s="477" t="n"/>
    </row>
    <row r="61" ht="15.75" customHeight="1">
      <c r="A61" s="1334" t="n"/>
      <c r="B61" s="494" t="n"/>
      <c r="C61" s="492" t="n"/>
      <c r="D61" s="492" t="n"/>
      <c r="E61" s="492" t="n"/>
      <c r="F61" s="492" t="n"/>
      <c r="G61" s="495" t="n"/>
      <c r="H61" s="496" t="n"/>
      <c r="I61" s="497" t="n"/>
      <c r="J61" s="498" t="n"/>
      <c r="K61" s="498" t="n"/>
      <c r="L61" s="498" t="n"/>
      <c r="M61" s="498" t="n"/>
      <c r="N61" s="1334" t="n"/>
      <c r="O61" s="492" t="n"/>
      <c r="P61" s="477" t="n"/>
      <c r="Q61" s="477" t="n"/>
      <c r="R61" s="477" t="n"/>
      <c r="S61" s="477" t="n"/>
      <c r="T61" s="477" t="n"/>
      <c r="U61" s="477" t="n"/>
      <c r="V61" s="477" t="n"/>
      <c r="W61" s="477" t="n"/>
      <c r="X61" s="477" t="n"/>
      <c r="Y61" s="477" t="n"/>
      <c r="Z61" s="477" t="n"/>
    </row>
    <row r="62" ht="15.75" customHeight="1">
      <c r="A62" s="1334" t="n"/>
      <c r="B62" s="494" t="n"/>
      <c r="C62" s="492" t="n"/>
      <c r="D62" s="492" t="n"/>
      <c r="E62" s="492" t="n"/>
      <c r="F62" s="492" t="n"/>
      <c r="G62" s="495" t="n"/>
      <c r="H62" s="496" t="n"/>
      <c r="I62" s="497" t="n"/>
      <c r="J62" s="497" t="n"/>
      <c r="K62" s="498" t="n"/>
      <c r="L62" s="498" t="n"/>
      <c r="M62" s="498" t="n"/>
      <c r="N62" s="1334" t="n"/>
      <c r="O62" s="492" t="n"/>
      <c r="P62" s="477" t="n"/>
      <c r="Q62" s="477" t="n"/>
      <c r="R62" s="477" t="n"/>
      <c r="S62" s="477" t="n"/>
      <c r="T62" s="477" t="n"/>
      <c r="U62" s="477" t="n"/>
      <c r="V62" s="477" t="n"/>
      <c r="W62" s="477" t="n"/>
      <c r="X62" s="477" t="n"/>
      <c r="Y62" s="477" t="n"/>
      <c r="Z62" s="477" t="n"/>
    </row>
    <row r="63" ht="15.75" customHeight="1">
      <c r="A63" s="1334" t="n"/>
      <c r="B63" s="494" t="n"/>
      <c r="C63" s="492" t="n"/>
      <c r="D63" s="492" t="n"/>
      <c r="E63" s="492" t="n"/>
      <c r="F63" s="492" t="n"/>
      <c r="G63" s="495" t="n"/>
      <c r="H63" s="496" t="n"/>
      <c r="I63" s="497" t="n"/>
      <c r="J63" s="497" t="n"/>
      <c r="K63" s="498" t="n"/>
      <c r="L63" s="498" t="n"/>
      <c r="M63" s="498" t="n"/>
      <c r="N63" s="1334" t="n"/>
      <c r="O63" s="492" t="n"/>
      <c r="P63" s="477" t="n"/>
      <c r="Q63" s="477" t="n"/>
      <c r="R63" s="477" t="n"/>
      <c r="S63" s="477" t="n"/>
      <c r="T63" s="477" t="n"/>
      <c r="U63" s="477" t="n"/>
      <c r="V63" s="477" t="n"/>
      <c r="W63" s="477" t="n"/>
      <c r="X63" s="477" t="n"/>
      <c r="Y63" s="477" t="n"/>
      <c r="Z63" s="477" t="n"/>
    </row>
    <row r="64" ht="15.75" customHeight="1">
      <c r="A64" s="1334" t="n"/>
      <c r="B64" s="494" t="n"/>
      <c r="C64" s="492" t="n"/>
      <c r="D64" s="492" t="n"/>
      <c r="E64" s="492" t="n"/>
      <c r="F64" s="492" t="n"/>
      <c r="G64" s="495" t="n"/>
      <c r="H64" s="496" t="n"/>
      <c r="I64" s="497" t="n"/>
      <c r="J64" s="497" t="n"/>
      <c r="K64" s="498" t="n"/>
      <c r="L64" s="498" t="n"/>
      <c r="M64" s="498" t="n"/>
      <c r="N64" s="1334" t="n"/>
      <c r="O64" s="492" t="n"/>
      <c r="P64" s="477" t="n"/>
      <c r="Q64" s="477" t="n"/>
      <c r="R64" s="477" t="n"/>
      <c r="S64" s="477" t="n"/>
      <c r="T64" s="477" t="n"/>
      <c r="U64" s="477" t="n"/>
      <c r="V64" s="477" t="n"/>
      <c r="W64" s="477" t="n"/>
      <c r="X64" s="477" t="n"/>
      <c r="Y64" s="477" t="n"/>
      <c r="Z64" s="477" t="n"/>
    </row>
    <row r="65" ht="15.75" customHeight="1">
      <c r="A65" s="1334" t="n"/>
      <c r="B65" s="494" t="n"/>
      <c r="C65" s="492" t="n"/>
      <c r="D65" s="492" t="n"/>
      <c r="E65" s="492" t="n"/>
      <c r="F65" s="492" t="n"/>
      <c r="G65" s="495" t="n"/>
      <c r="H65" s="496" t="n"/>
      <c r="I65" s="497" t="n"/>
      <c r="J65" s="497" t="n"/>
      <c r="K65" s="498" t="n"/>
      <c r="L65" s="498" t="n"/>
      <c r="M65" s="498" t="n"/>
      <c r="N65" s="1334" t="n"/>
      <c r="O65" s="492" t="n"/>
      <c r="P65" s="477" t="n"/>
      <c r="Q65" s="477" t="n"/>
      <c r="R65" s="477" t="n"/>
      <c r="S65" s="477" t="n"/>
      <c r="T65" s="477" t="n"/>
      <c r="U65" s="477" t="n"/>
      <c r="V65" s="477" t="n"/>
      <c r="W65" s="477" t="n"/>
      <c r="X65" s="477" t="n"/>
      <c r="Y65" s="477" t="n"/>
      <c r="Z65" s="477" t="n"/>
    </row>
    <row r="66" ht="15.75" customHeight="1">
      <c r="A66" s="1334" t="n"/>
      <c r="B66" s="494" t="n"/>
      <c r="C66" s="492" t="n"/>
      <c r="D66" s="492" t="n"/>
      <c r="E66" s="492" t="n"/>
      <c r="F66" s="492" t="n"/>
      <c r="G66" s="495" t="n"/>
      <c r="H66" s="496" t="n"/>
      <c r="I66" s="497" t="n"/>
      <c r="J66" s="497" t="n"/>
      <c r="K66" s="498" t="n"/>
      <c r="L66" s="498" t="n"/>
      <c r="M66" s="498" t="n"/>
      <c r="N66" s="1334" t="n"/>
      <c r="O66" s="492" t="n"/>
      <c r="P66" s="477" t="n"/>
      <c r="Q66" s="477" t="n"/>
      <c r="R66" s="477" t="n"/>
      <c r="S66" s="477" t="n"/>
      <c r="T66" s="477" t="n"/>
      <c r="U66" s="477" t="n"/>
      <c r="V66" s="477" t="n"/>
      <c r="W66" s="477" t="n"/>
      <c r="X66" s="477" t="n"/>
      <c r="Y66" s="477" t="n"/>
      <c r="Z66" s="477" t="n"/>
    </row>
    <row r="67" ht="15.75" customHeight="1">
      <c r="A67" s="1334" t="n"/>
      <c r="B67" s="494" t="n"/>
      <c r="C67" s="492" t="n"/>
      <c r="D67" s="492" t="n"/>
      <c r="E67" s="492" t="n"/>
      <c r="F67" s="492" t="n"/>
      <c r="G67" s="495" t="n"/>
      <c r="H67" s="496" t="n"/>
      <c r="I67" s="497" t="n"/>
      <c r="J67" s="497" t="n"/>
      <c r="K67" s="498" t="n"/>
      <c r="L67" s="498" t="n"/>
      <c r="M67" s="498" t="n"/>
      <c r="N67" s="1334" t="n"/>
      <c r="O67" s="492" t="n"/>
      <c r="P67" s="477" t="n"/>
      <c r="Q67" s="477" t="n"/>
      <c r="R67" s="477" t="n"/>
      <c r="S67" s="477" t="n"/>
      <c r="T67" s="477" t="n"/>
      <c r="U67" s="477" t="n"/>
      <c r="V67" s="477" t="n"/>
      <c r="W67" s="477" t="n"/>
      <c r="X67" s="477" t="n"/>
      <c r="Y67" s="477" t="n"/>
      <c r="Z67" s="477" t="n"/>
    </row>
    <row r="68" ht="15.75" customHeight="1">
      <c r="A68" s="1334" t="n"/>
      <c r="B68" s="494" t="n"/>
      <c r="C68" s="492" t="n"/>
      <c r="D68" s="492" t="n"/>
      <c r="E68" s="492" t="n"/>
      <c r="F68" s="492" t="n"/>
      <c r="G68" s="495" t="n"/>
      <c r="H68" s="496" t="n"/>
      <c r="I68" s="497" t="n"/>
      <c r="J68" s="497" t="n"/>
      <c r="K68" s="498" t="n"/>
      <c r="L68" s="498" t="n"/>
      <c r="M68" s="498" t="n"/>
      <c r="N68" s="1334" t="n"/>
      <c r="O68" s="492" t="n"/>
      <c r="P68" s="477" t="n"/>
      <c r="Q68" s="477" t="n"/>
      <c r="R68" s="477" t="n"/>
      <c r="S68" s="477" t="n"/>
      <c r="T68" s="477" t="n"/>
      <c r="U68" s="477" t="n"/>
      <c r="V68" s="477" t="n"/>
      <c r="W68" s="477" t="n"/>
      <c r="X68" s="477" t="n"/>
      <c r="Y68" s="477" t="n"/>
      <c r="Z68" s="477" t="n"/>
    </row>
    <row r="69" ht="15.75" customHeight="1">
      <c r="A69" s="1334" t="n"/>
      <c r="B69" s="494" t="n"/>
      <c r="C69" s="492" t="n"/>
      <c r="D69" s="492" t="n"/>
      <c r="E69" s="492" t="n"/>
      <c r="F69" s="492" t="n"/>
      <c r="G69" s="495" t="n"/>
      <c r="H69" s="496" t="n"/>
      <c r="I69" s="497" t="n"/>
      <c r="J69" s="497" t="n"/>
      <c r="K69" s="498" t="n"/>
      <c r="L69" s="498" t="n"/>
      <c r="M69" s="498" t="n"/>
      <c r="N69" s="1334" t="n"/>
      <c r="O69" s="492" t="n"/>
      <c r="P69" s="477" t="n"/>
      <c r="Q69" s="477" t="n"/>
      <c r="R69" s="477" t="n"/>
      <c r="S69" s="477" t="n"/>
      <c r="T69" s="477" t="n"/>
      <c r="U69" s="477" t="n"/>
      <c r="V69" s="477" t="n"/>
      <c r="W69" s="477" t="n"/>
      <c r="X69" s="477" t="n"/>
      <c r="Y69" s="477" t="n"/>
      <c r="Z69" s="477" t="n"/>
    </row>
    <row r="70" ht="15.75" customHeight="1">
      <c r="A70" s="1334" t="n"/>
      <c r="B70" s="494" t="n"/>
      <c r="C70" s="492" t="n"/>
      <c r="D70" s="492" t="n"/>
      <c r="E70" s="492" t="n"/>
      <c r="F70" s="492" t="n"/>
      <c r="G70" s="495" t="n"/>
      <c r="H70" s="496" t="n"/>
      <c r="I70" s="497" t="n"/>
      <c r="J70" s="500" t="n"/>
      <c r="K70" s="498" t="n"/>
      <c r="L70" s="498" t="n"/>
      <c r="M70" s="498" t="n"/>
      <c r="N70" s="1334" t="n"/>
      <c r="O70" s="492" t="n"/>
      <c r="P70" s="477" t="n"/>
      <c r="Q70" s="477" t="n"/>
      <c r="R70" s="477" t="n"/>
      <c r="S70" s="477" t="n"/>
      <c r="T70" s="477" t="n"/>
      <c r="U70" s="477" t="n"/>
      <c r="V70" s="477" t="n"/>
      <c r="W70" s="477" t="n"/>
      <c r="X70" s="477" t="n"/>
      <c r="Y70" s="477" t="n"/>
      <c r="Z70" s="477" t="n"/>
    </row>
    <row r="71" ht="15.75" customHeight="1">
      <c r="A71" s="1334" t="n"/>
      <c r="B71" s="494" t="n"/>
      <c r="C71" s="492" t="n"/>
      <c r="D71" s="492" t="n"/>
      <c r="E71" s="492" t="n"/>
      <c r="F71" s="492" t="n"/>
      <c r="G71" s="495" t="n"/>
      <c r="H71" s="496" t="n"/>
      <c r="I71" s="497" t="n"/>
      <c r="J71" s="497" t="n"/>
      <c r="K71" s="498" t="n"/>
      <c r="L71" s="498" t="n"/>
      <c r="M71" s="498" t="n"/>
      <c r="N71" s="1334" t="n"/>
      <c r="O71" s="492" t="n"/>
      <c r="P71" s="477" t="n"/>
      <c r="Q71" s="477" t="n"/>
      <c r="R71" s="477" t="n"/>
      <c r="S71" s="477" t="n"/>
      <c r="T71" s="477" t="n"/>
      <c r="U71" s="477" t="n"/>
      <c r="V71" s="477" t="n"/>
      <c r="W71" s="477" t="n"/>
      <c r="X71" s="477" t="n"/>
      <c r="Y71" s="477" t="n"/>
      <c r="Z71" s="477" t="n"/>
    </row>
    <row r="72" ht="15.75" customHeight="1">
      <c r="A72" s="1334" t="n"/>
      <c r="B72" s="494" t="n"/>
      <c r="C72" s="492" t="n"/>
      <c r="D72" s="492" t="n"/>
      <c r="E72" s="492" t="n"/>
      <c r="F72" s="492" t="n"/>
      <c r="G72" s="495" t="n"/>
      <c r="H72" s="496" t="n"/>
      <c r="I72" s="497" t="n"/>
      <c r="J72" s="497" t="n"/>
      <c r="K72" s="498" t="n"/>
      <c r="L72" s="498" t="n"/>
      <c r="M72" s="498" t="n"/>
      <c r="N72" s="1334" t="n"/>
      <c r="O72" s="492" t="n"/>
      <c r="P72" s="477" t="n"/>
      <c r="Q72" s="477" t="n"/>
      <c r="R72" s="477" t="n"/>
      <c r="S72" s="477" t="n"/>
      <c r="T72" s="477" t="n"/>
      <c r="U72" s="477" t="n"/>
      <c r="V72" s="477" t="n"/>
      <c r="W72" s="477" t="n"/>
      <c r="X72" s="477" t="n"/>
      <c r="Y72" s="477" t="n"/>
      <c r="Z72" s="477" t="n"/>
    </row>
    <row r="73" ht="15.75" customHeight="1">
      <c r="A73" s="1334" t="n"/>
      <c r="B73" s="494" t="n"/>
      <c r="C73" s="492" t="n"/>
      <c r="D73" s="492" t="n"/>
      <c r="E73" s="492" t="n"/>
      <c r="F73" s="492" t="n"/>
      <c r="G73" s="495" t="n"/>
      <c r="H73" s="496" t="n"/>
      <c r="I73" s="496" t="n"/>
      <c r="J73" s="498" t="n"/>
      <c r="K73" s="498" t="n"/>
      <c r="L73" s="498" t="n"/>
      <c r="M73" s="498" t="n"/>
      <c r="N73" s="1334" t="n"/>
      <c r="O73" s="492" t="n"/>
      <c r="P73" s="477" t="n"/>
      <c r="Q73" s="477" t="n"/>
      <c r="R73" s="477" t="n"/>
      <c r="S73" s="477" t="n"/>
      <c r="T73" s="477" t="n"/>
      <c r="U73" s="477" t="n"/>
      <c r="V73" s="477" t="n"/>
      <c r="W73" s="477" t="n"/>
      <c r="X73" s="477" t="n"/>
      <c r="Y73" s="477" t="n"/>
      <c r="Z73" s="477" t="n"/>
    </row>
    <row r="74" ht="15.75" customHeight="1">
      <c r="A74" s="1334" t="n"/>
      <c r="B74" s="494" t="n"/>
      <c r="C74" s="492" t="n"/>
      <c r="D74" s="492" t="n"/>
      <c r="E74" s="492" t="n"/>
      <c r="F74" s="492" t="n"/>
      <c r="G74" s="495" t="n"/>
      <c r="H74" s="496" t="n"/>
      <c r="I74" s="497" t="n"/>
      <c r="J74" s="498" t="n"/>
      <c r="K74" s="498" t="n"/>
      <c r="L74" s="498" t="n"/>
      <c r="M74" s="498" t="n"/>
      <c r="N74" s="1334" t="n"/>
      <c r="O74" s="492" t="n"/>
      <c r="P74" s="477" t="n"/>
      <c r="Q74" s="477" t="n"/>
      <c r="R74" s="477" t="n"/>
      <c r="S74" s="477" t="n"/>
      <c r="T74" s="477" t="n"/>
      <c r="U74" s="477" t="n"/>
      <c r="V74" s="477" t="n"/>
      <c r="W74" s="477" t="n"/>
      <c r="X74" s="477" t="n"/>
      <c r="Y74" s="477" t="n"/>
      <c r="Z74" s="477" t="n"/>
    </row>
    <row r="75" ht="15.75" customHeight="1">
      <c r="A75" s="1334" t="n"/>
      <c r="B75" s="494" t="n"/>
      <c r="C75" s="492" t="n"/>
      <c r="D75" s="492" t="n"/>
      <c r="E75" s="492" t="n"/>
      <c r="F75" s="492" t="n"/>
      <c r="G75" s="495" t="n"/>
      <c r="H75" s="496" t="n"/>
      <c r="I75" s="497" t="n"/>
      <c r="J75" s="498" t="n"/>
      <c r="K75" s="498" t="n"/>
      <c r="L75" s="498" t="n"/>
      <c r="M75" s="498" t="n"/>
      <c r="N75" s="1334" t="n"/>
      <c r="O75" s="492" t="n"/>
      <c r="P75" s="477" t="n"/>
      <c r="Q75" s="477" t="n"/>
      <c r="R75" s="477" t="n"/>
      <c r="S75" s="477" t="n"/>
      <c r="T75" s="477" t="n"/>
      <c r="U75" s="477" t="n"/>
      <c r="V75" s="477" t="n"/>
      <c r="W75" s="477" t="n"/>
      <c r="X75" s="477" t="n"/>
      <c r="Y75" s="477" t="n"/>
      <c r="Z75" s="477" t="n"/>
    </row>
    <row r="76" ht="15.75" customHeight="1">
      <c r="A76" s="1334" t="n"/>
      <c r="B76" s="494" t="n"/>
      <c r="C76" s="492" t="n"/>
      <c r="D76" s="492" t="n"/>
      <c r="E76" s="492" t="n"/>
      <c r="F76" s="492" t="n"/>
      <c r="G76" s="495" t="n"/>
      <c r="H76" s="496" t="n"/>
      <c r="I76" s="497" t="n"/>
      <c r="J76" s="498" t="n"/>
      <c r="K76" s="498" t="n"/>
      <c r="L76" s="498" t="n"/>
      <c r="M76" s="498" t="n"/>
      <c r="N76" s="1334" t="n"/>
      <c r="O76" s="492" t="n"/>
      <c r="P76" s="477" t="n"/>
      <c r="Q76" s="477" t="n"/>
      <c r="R76" s="477" t="n"/>
      <c r="S76" s="477" t="n"/>
      <c r="T76" s="477" t="n"/>
      <c r="U76" s="477" t="n"/>
      <c r="V76" s="477" t="n"/>
      <c r="W76" s="477" t="n"/>
      <c r="X76" s="477" t="n"/>
      <c r="Y76" s="477" t="n"/>
      <c r="Z76" s="477" t="n"/>
    </row>
    <row r="77" ht="15.75" customHeight="1">
      <c r="A77" s="1334" t="n"/>
      <c r="B77" s="494" t="n"/>
      <c r="C77" s="492" t="n"/>
      <c r="D77" s="492" t="n"/>
      <c r="E77" s="492" t="n"/>
      <c r="F77" s="492" t="n"/>
      <c r="G77" s="495" t="n"/>
      <c r="H77" s="496" t="n"/>
      <c r="I77" s="497" t="n"/>
      <c r="J77" s="498" t="n"/>
      <c r="K77" s="498" t="n"/>
      <c r="L77" s="498" t="n"/>
      <c r="M77" s="498" t="n"/>
      <c r="N77" s="1334" t="n"/>
      <c r="O77" s="492" t="n"/>
      <c r="P77" s="477" t="n"/>
      <c r="Q77" s="477" t="n"/>
      <c r="R77" s="477" t="n"/>
      <c r="S77" s="477" t="n"/>
      <c r="T77" s="477" t="n"/>
      <c r="U77" s="477" t="n"/>
      <c r="V77" s="477" t="n"/>
      <c r="W77" s="477" t="n"/>
      <c r="X77" s="477" t="n"/>
      <c r="Y77" s="477" t="n"/>
      <c r="Z77" s="477" t="n"/>
    </row>
    <row r="78" ht="57.75" customHeight="1">
      <c r="A78" s="1334" t="n"/>
      <c r="B78" s="494" t="n"/>
      <c r="C78" s="492" t="n"/>
      <c r="D78" s="492" t="n"/>
      <c r="E78" s="492" t="n"/>
      <c r="F78" s="492" t="n"/>
      <c r="G78" s="495" t="n"/>
      <c r="H78" s="496" t="n"/>
      <c r="I78" s="497" t="n"/>
      <c r="J78" s="498" t="n"/>
      <c r="K78" s="498" t="n"/>
      <c r="L78" s="498" t="n"/>
      <c r="M78" s="498" t="n"/>
      <c r="N78" s="1334" t="n"/>
      <c r="O78" s="492" t="n"/>
      <c r="P78" s="477" t="n"/>
      <c r="Q78" s="477" t="n"/>
      <c r="R78" s="477" t="n"/>
      <c r="S78" s="477" t="n"/>
      <c r="T78" s="477" t="n"/>
      <c r="U78" s="477" t="n"/>
      <c r="V78" s="477" t="n"/>
      <c r="W78" s="477" t="n"/>
      <c r="X78" s="477" t="n"/>
      <c r="Y78" s="477" t="n"/>
      <c r="Z78" s="477" t="n"/>
    </row>
    <row r="79" ht="15.75" customHeight="1">
      <c r="A79" s="1334" t="n"/>
      <c r="B79" s="494" t="n"/>
      <c r="C79" s="492" t="n"/>
      <c r="D79" s="492" t="n"/>
      <c r="E79" s="492" t="n"/>
      <c r="F79" s="492" t="n"/>
      <c r="G79" s="495" t="n"/>
      <c r="H79" s="496" t="n"/>
      <c r="I79" s="497" t="n"/>
      <c r="J79" s="498" t="n"/>
      <c r="K79" s="498" t="n"/>
      <c r="L79" s="498" t="n"/>
      <c r="M79" s="498" t="n"/>
      <c r="N79" s="1334" t="n"/>
      <c r="O79" s="492" t="n"/>
      <c r="P79" s="477" t="n"/>
      <c r="Q79" s="477" t="n"/>
      <c r="R79" s="477" t="n"/>
      <c r="S79" s="477" t="n"/>
      <c r="T79" s="477" t="n"/>
      <c r="U79" s="477" t="n"/>
      <c r="V79" s="477" t="n"/>
      <c r="W79" s="477" t="n"/>
      <c r="X79" s="477" t="n"/>
      <c r="Y79" s="477" t="n"/>
      <c r="Z79" s="477" t="n"/>
    </row>
    <row r="80" ht="15.75" customHeight="1">
      <c r="A80" s="1334" t="n"/>
      <c r="B80" s="494" t="n"/>
      <c r="C80" s="492" t="n"/>
      <c r="D80" s="492" t="n"/>
      <c r="E80" s="492" t="n"/>
      <c r="F80" s="492" t="n"/>
      <c r="G80" s="495" t="n"/>
      <c r="H80" s="496" t="n"/>
      <c r="I80" s="497" t="n"/>
      <c r="J80" s="498" t="n"/>
      <c r="K80" s="498" t="n"/>
      <c r="L80" s="498" t="n"/>
      <c r="M80" s="498" t="n"/>
      <c r="N80" s="1334" t="n"/>
      <c r="O80" s="492" t="n"/>
      <c r="P80" s="477" t="n"/>
      <c r="Q80" s="477" t="n"/>
      <c r="R80" s="477" t="n"/>
      <c r="S80" s="477" t="n"/>
      <c r="T80" s="477" t="n"/>
      <c r="U80" s="477" t="n"/>
      <c r="V80" s="477" t="n"/>
      <c r="W80" s="477" t="n"/>
      <c r="X80" s="477" t="n"/>
      <c r="Y80" s="477" t="n"/>
      <c r="Z80" s="477" t="n"/>
    </row>
    <row r="81" ht="178.5" customHeight="1">
      <c r="A81" s="1334" t="n"/>
      <c r="B81" s="494" t="n"/>
      <c r="C81" s="492" t="n"/>
      <c r="D81" s="492" t="n"/>
      <c r="E81" s="492" t="n"/>
      <c r="F81" s="492" t="n"/>
      <c r="G81" s="495" t="n"/>
      <c r="H81" s="496" t="n"/>
      <c r="I81" s="497" t="n"/>
      <c r="J81" s="498" t="n"/>
      <c r="K81" s="498" t="n"/>
      <c r="L81" s="498" t="n"/>
      <c r="M81" s="498" t="n"/>
      <c r="N81" s="1334" t="n"/>
      <c r="O81" s="492" t="n"/>
      <c r="P81" s="477" t="n"/>
      <c r="Q81" s="477" t="n"/>
      <c r="R81" s="477" t="n"/>
      <c r="S81" s="477" t="n"/>
      <c r="T81" s="477" t="n"/>
      <c r="U81" s="477" t="n"/>
      <c r="V81" s="477" t="n"/>
      <c r="W81" s="477" t="n"/>
      <c r="X81" s="477" t="n"/>
      <c r="Y81" s="477" t="n"/>
      <c r="Z81" s="477" t="n"/>
    </row>
    <row r="82" ht="15.75" customHeight="1">
      <c r="A82" s="1334" t="n"/>
      <c r="B82" s="494" t="n"/>
      <c r="C82" s="492" t="n"/>
      <c r="D82" s="492" t="n"/>
      <c r="E82" s="492" t="n"/>
      <c r="F82" s="492" t="n"/>
      <c r="G82" s="495" t="n"/>
      <c r="H82" s="496" t="n"/>
      <c r="I82" s="497" t="n"/>
      <c r="J82" s="498" t="n"/>
      <c r="K82" s="498" t="n"/>
      <c r="L82" s="498" t="n"/>
      <c r="M82" s="498" t="n"/>
      <c r="N82" s="1334" t="n"/>
      <c r="O82" s="492" t="n"/>
      <c r="P82" s="477" t="n"/>
      <c r="Q82" s="477" t="n"/>
      <c r="R82" s="477" t="n"/>
      <c r="S82" s="477" t="n"/>
      <c r="T82" s="477" t="n"/>
      <c r="U82" s="477" t="n"/>
      <c r="V82" s="477" t="n"/>
      <c r="W82" s="477" t="n"/>
      <c r="X82" s="477" t="n"/>
      <c r="Y82" s="477" t="n"/>
      <c r="Z82" s="477" t="n"/>
    </row>
    <row r="83" ht="15.75" customHeight="1">
      <c r="A83" s="1334" t="n"/>
      <c r="B83" s="494" t="n"/>
      <c r="C83" s="492" t="n"/>
      <c r="D83" s="492" t="n"/>
      <c r="E83" s="492" t="n"/>
      <c r="F83" s="492" t="n"/>
      <c r="G83" s="495" t="n"/>
      <c r="H83" s="496" t="n"/>
      <c r="I83" s="497" t="n"/>
      <c r="J83" s="498" t="n"/>
      <c r="K83" s="498" t="n"/>
      <c r="L83" s="498" t="n"/>
      <c r="M83" s="498" t="n"/>
      <c r="N83" s="1334" t="n"/>
      <c r="O83" s="1334" t="n"/>
      <c r="P83" s="477" t="n"/>
      <c r="Q83" s="477" t="n"/>
      <c r="R83" s="477" t="n"/>
      <c r="S83" s="477" t="n"/>
      <c r="T83" s="477" t="n"/>
      <c r="U83" s="477" t="n"/>
      <c r="V83" s="477" t="n"/>
      <c r="W83" s="477" t="n"/>
      <c r="X83" s="477" t="n"/>
      <c r="Y83" s="477" t="n"/>
      <c r="Z83" s="477" t="n"/>
    </row>
    <row r="84" ht="15.75" customHeight="1">
      <c r="A84" s="1334" t="n"/>
      <c r="B84" s="494" t="n"/>
      <c r="C84" s="492" t="n"/>
      <c r="D84" s="492" t="n"/>
      <c r="E84" s="492" t="n"/>
      <c r="F84" s="492" t="n"/>
      <c r="G84" s="495" t="n"/>
      <c r="H84" s="496" t="n"/>
      <c r="I84" s="497" t="n"/>
      <c r="J84" s="498" t="n"/>
      <c r="K84" s="498" t="n"/>
      <c r="L84" s="498" t="n"/>
      <c r="M84" s="498" t="n"/>
      <c r="N84" s="1334" t="n"/>
      <c r="O84" s="1334" t="n"/>
      <c r="P84" s="477" t="n"/>
      <c r="Q84" s="477" t="n"/>
      <c r="R84" s="477" t="n"/>
      <c r="S84" s="477" t="n"/>
      <c r="T84" s="477" t="n"/>
      <c r="U84" s="477" t="n"/>
      <c r="V84" s="477" t="n"/>
      <c r="W84" s="477" t="n"/>
      <c r="X84" s="477" t="n"/>
      <c r="Y84" s="477" t="n"/>
      <c r="Z84" s="477" t="n"/>
    </row>
    <row r="85" ht="15.75" customHeight="1">
      <c r="A85" s="1334" t="n"/>
      <c r="B85" s="494" t="n"/>
      <c r="C85" s="492" t="n"/>
      <c r="D85" s="492" t="n"/>
      <c r="E85" s="492" t="n"/>
      <c r="F85" s="492" t="n"/>
      <c r="G85" s="495" t="n"/>
      <c r="H85" s="496" t="n"/>
      <c r="I85" s="497" t="n"/>
      <c r="J85" s="498" t="n"/>
      <c r="K85" s="498" t="n"/>
      <c r="L85" s="498" t="n"/>
      <c r="M85" s="498" t="n"/>
      <c r="N85" s="1334" t="n"/>
      <c r="O85" s="1334" t="n"/>
      <c r="P85" s="477" t="n"/>
      <c r="Q85" s="477" t="n"/>
      <c r="R85" s="477" t="n"/>
      <c r="S85" s="477" t="n"/>
      <c r="T85" s="477" t="n"/>
      <c r="U85" s="477" t="n"/>
      <c r="V85" s="477" t="n"/>
      <c r="W85" s="477" t="n"/>
      <c r="X85" s="477" t="n"/>
      <c r="Y85" s="477" t="n"/>
      <c r="Z85" s="477" t="n"/>
    </row>
    <row r="86" ht="15.75" customHeight="1">
      <c r="A86" s="1334" t="n"/>
      <c r="B86" s="494" t="n"/>
      <c r="C86" s="492" t="n"/>
      <c r="D86" s="492" t="n"/>
      <c r="E86" s="492" t="n"/>
      <c r="F86" s="492" t="n"/>
      <c r="G86" s="495" t="n"/>
      <c r="H86" s="496" t="n"/>
      <c r="I86" s="497" t="n"/>
      <c r="J86" s="498" t="n"/>
      <c r="K86" s="498" t="n"/>
      <c r="L86" s="498" t="n"/>
      <c r="M86" s="498" t="n"/>
      <c r="N86" s="1334" t="n"/>
      <c r="O86" s="492" t="n"/>
      <c r="P86" s="477" t="n"/>
      <c r="Q86" s="477" t="n"/>
      <c r="R86" s="477" t="n"/>
      <c r="S86" s="477" t="n"/>
      <c r="T86" s="477" t="n"/>
      <c r="U86" s="477" t="n"/>
      <c r="V86" s="477" t="n"/>
      <c r="W86" s="477" t="n"/>
      <c r="X86" s="477" t="n"/>
      <c r="Y86" s="477" t="n"/>
      <c r="Z86" s="477" t="n"/>
    </row>
    <row r="87" ht="15.75" customHeight="1">
      <c r="A87" s="1334" t="n"/>
      <c r="B87" s="494" t="n"/>
      <c r="C87" s="492" t="n"/>
      <c r="D87" s="492" t="n"/>
      <c r="E87" s="492" t="n"/>
      <c r="F87" s="492" t="n"/>
      <c r="G87" s="495" t="n"/>
      <c r="H87" s="496" t="n"/>
      <c r="I87" s="497" t="n"/>
      <c r="J87" s="498" t="n"/>
      <c r="K87" s="498" t="n"/>
      <c r="L87" s="498" t="n"/>
      <c r="M87" s="498" t="n"/>
      <c r="N87" s="1334" t="n"/>
      <c r="O87" s="492" t="n"/>
      <c r="P87" s="477" t="n"/>
      <c r="Q87" s="477" t="n"/>
      <c r="R87" s="477" t="n"/>
      <c r="S87" s="477" t="n"/>
      <c r="T87" s="477" t="n"/>
      <c r="U87" s="477" t="n"/>
      <c r="V87" s="477" t="n"/>
      <c r="W87" s="477" t="n"/>
      <c r="X87" s="477" t="n"/>
      <c r="Y87" s="477" t="n"/>
      <c r="Z87" s="477" t="n"/>
    </row>
    <row r="88" ht="15.75" customHeight="1">
      <c r="A88" s="1334" t="n"/>
      <c r="B88" s="494" t="n"/>
      <c r="C88" s="492" t="n"/>
      <c r="D88" s="492" t="n"/>
      <c r="E88" s="492" t="n"/>
      <c r="F88" s="492" t="n"/>
      <c r="G88" s="495" t="n"/>
      <c r="H88" s="496" t="n"/>
      <c r="I88" s="497" t="n"/>
      <c r="J88" s="498" t="n"/>
      <c r="K88" s="498" t="n"/>
      <c r="L88" s="498" t="n"/>
      <c r="M88" s="498" t="n"/>
      <c r="N88" s="1334" t="n"/>
      <c r="O88" s="492" t="n"/>
      <c r="P88" s="477" t="n"/>
      <c r="Q88" s="477" t="n"/>
      <c r="R88" s="477" t="n"/>
      <c r="S88" s="477" t="n"/>
      <c r="T88" s="477" t="n"/>
      <c r="U88" s="477" t="n"/>
      <c r="V88" s="477" t="n"/>
      <c r="W88" s="477" t="n"/>
      <c r="X88" s="477" t="n"/>
      <c r="Y88" s="477" t="n"/>
      <c r="Z88" s="477" t="n"/>
    </row>
    <row r="89" ht="15.75" customHeight="1">
      <c r="A89" s="1334" t="n"/>
      <c r="B89" s="494" t="n"/>
      <c r="C89" s="492" t="n"/>
      <c r="D89" s="492" t="n"/>
      <c r="E89" s="492" t="n"/>
      <c r="F89" s="492" t="n"/>
      <c r="G89" s="495" t="n"/>
      <c r="H89" s="496" t="n"/>
      <c r="I89" s="497" t="n"/>
      <c r="J89" s="498" t="n"/>
      <c r="K89" s="498" t="n"/>
      <c r="L89" s="498" t="n"/>
      <c r="M89" s="498" t="n"/>
      <c r="N89" s="1334" t="n"/>
      <c r="O89" s="492" t="n"/>
      <c r="P89" s="477" t="n"/>
      <c r="Q89" s="477" t="n"/>
      <c r="R89" s="477" t="n"/>
      <c r="S89" s="477" t="n"/>
      <c r="T89" s="477" t="n"/>
      <c r="U89" s="477" t="n"/>
      <c r="V89" s="477" t="n"/>
      <c r="W89" s="477" t="n"/>
      <c r="X89" s="477" t="n"/>
      <c r="Y89" s="477" t="n"/>
      <c r="Z89" s="477" t="n"/>
    </row>
    <row r="90" ht="15.75" customHeight="1">
      <c r="A90" s="1334" t="n"/>
      <c r="B90" s="494" t="n"/>
      <c r="C90" s="492" t="n"/>
      <c r="D90" s="492" t="n"/>
      <c r="E90" s="492" t="n"/>
      <c r="F90" s="492" t="n"/>
      <c r="G90" s="495" t="n"/>
      <c r="H90" s="496" t="n"/>
      <c r="I90" s="497" t="n"/>
      <c r="J90" s="498" t="n"/>
      <c r="K90" s="498" t="n"/>
      <c r="L90" s="498" t="n"/>
      <c r="M90" s="498" t="n"/>
      <c r="N90" s="492" t="n"/>
      <c r="O90" s="492" t="n"/>
      <c r="P90" s="477" t="n"/>
      <c r="Q90" s="477" t="n"/>
      <c r="R90" s="477" t="n"/>
      <c r="S90" s="477" t="n"/>
      <c r="T90" s="477" t="n"/>
      <c r="U90" s="477" t="n"/>
      <c r="V90" s="477" t="n"/>
      <c r="W90" s="477" t="n"/>
      <c r="X90" s="477" t="n"/>
      <c r="Y90" s="477" t="n"/>
      <c r="Z90" s="477" t="n"/>
    </row>
    <row r="91" ht="15.75" customHeight="1">
      <c r="A91" s="1334" t="n"/>
      <c r="B91" s="494" t="n"/>
      <c r="C91" s="492" t="n"/>
      <c r="D91" s="492" t="n"/>
      <c r="E91" s="492" t="n"/>
      <c r="F91" s="492" t="n"/>
      <c r="G91" s="495" t="n"/>
      <c r="H91" s="496" t="n"/>
      <c r="I91" s="497" t="n"/>
      <c r="J91" s="498" t="n"/>
      <c r="K91" s="498" t="n"/>
      <c r="L91" s="498" t="n"/>
      <c r="M91" s="498" t="n"/>
      <c r="N91" s="492" t="n"/>
      <c r="O91" s="492" t="n"/>
      <c r="P91" s="477" t="n"/>
      <c r="Q91" s="477" t="n"/>
      <c r="R91" s="477" t="n"/>
      <c r="S91" s="477" t="n"/>
      <c r="T91" s="477" t="n"/>
      <c r="U91" s="477" t="n"/>
      <c r="V91" s="477" t="n"/>
      <c r="W91" s="477" t="n"/>
      <c r="X91" s="477" t="n"/>
      <c r="Y91" s="477" t="n"/>
      <c r="Z91" s="477" t="n"/>
    </row>
    <row r="92" ht="15.75" customHeight="1">
      <c r="A92" s="1334" t="n"/>
      <c r="B92" s="494" t="n"/>
      <c r="C92" s="492" t="n"/>
      <c r="D92" s="492" t="n"/>
      <c r="E92" s="492" t="n"/>
      <c r="F92" s="492" t="n"/>
      <c r="G92" s="495" t="n"/>
      <c r="H92" s="496" t="n"/>
      <c r="I92" s="497" t="n"/>
      <c r="J92" s="498" t="n"/>
      <c r="K92" s="498" t="n"/>
      <c r="L92" s="498" t="n"/>
      <c r="M92" s="498" t="n"/>
      <c r="N92" s="492" t="n"/>
      <c r="O92" s="492" t="n"/>
      <c r="P92" s="477" t="n"/>
      <c r="Q92" s="477" t="n"/>
      <c r="R92" s="477" t="n"/>
      <c r="S92" s="477" t="n"/>
      <c r="T92" s="477" t="n"/>
      <c r="U92" s="477" t="n"/>
      <c r="V92" s="477" t="n"/>
      <c r="W92" s="477" t="n"/>
      <c r="X92" s="477" t="n"/>
      <c r="Y92" s="477" t="n"/>
      <c r="Z92" s="477" t="n"/>
    </row>
    <row r="93" ht="15.75" customHeight="1">
      <c r="A93" s="1334" t="n"/>
      <c r="B93" s="494" t="n"/>
      <c r="C93" s="492" t="n"/>
      <c r="D93" s="492" t="n"/>
      <c r="E93" s="492" t="n"/>
      <c r="F93" s="492" t="n"/>
      <c r="G93" s="495" t="n"/>
      <c r="H93" s="496" t="n"/>
      <c r="I93" s="497" t="n"/>
      <c r="J93" s="498" t="n"/>
      <c r="K93" s="498" t="n"/>
      <c r="L93" s="498" t="n"/>
      <c r="M93" s="498" t="n"/>
      <c r="N93" s="492" t="n"/>
      <c r="O93" s="492" t="n"/>
      <c r="P93" s="477" t="n"/>
      <c r="Q93" s="477" t="n"/>
      <c r="R93" s="477" t="n"/>
      <c r="S93" s="477" t="n"/>
      <c r="T93" s="477" t="n"/>
      <c r="U93" s="477" t="n"/>
      <c r="V93" s="477" t="n"/>
      <c r="W93" s="477" t="n"/>
      <c r="X93" s="477" t="n"/>
      <c r="Y93" s="477" t="n"/>
      <c r="Z93" s="477" t="n"/>
    </row>
    <row r="94" ht="15.75" customHeight="1">
      <c r="A94" s="1334" t="n"/>
      <c r="B94" s="494" t="n"/>
      <c r="C94" s="492" t="n"/>
      <c r="D94" s="492" t="n"/>
      <c r="E94" s="492" t="n"/>
      <c r="F94" s="492" t="n"/>
      <c r="G94" s="495" t="n"/>
      <c r="H94" s="496" t="n"/>
      <c r="I94" s="497" t="n"/>
      <c r="J94" s="498" t="n"/>
      <c r="K94" s="498" t="n"/>
      <c r="L94" s="498" t="n"/>
      <c r="M94" s="498" t="n"/>
      <c r="N94" s="492" t="n"/>
      <c r="O94" s="492" t="n"/>
      <c r="P94" s="477" t="n"/>
      <c r="Q94" s="477" t="n"/>
      <c r="R94" s="477" t="n"/>
      <c r="S94" s="477" t="n"/>
      <c r="T94" s="477" t="n"/>
      <c r="U94" s="477" t="n"/>
      <c r="V94" s="477" t="n"/>
      <c r="W94" s="477" t="n"/>
      <c r="X94" s="477" t="n"/>
      <c r="Y94" s="477" t="n"/>
      <c r="Z94" s="477" t="n"/>
    </row>
    <row r="95" ht="15.75" customHeight="1">
      <c r="A95" s="1334" t="n"/>
      <c r="B95" s="494" t="n"/>
      <c r="C95" s="492" t="n"/>
      <c r="D95" s="492" t="n"/>
      <c r="E95" s="492" t="n"/>
      <c r="F95" s="492" t="n"/>
      <c r="G95" s="495" t="n"/>
      <c r="H95" s="496" t="n"/>
      <c r="I95" s="497" t="n"/>
      <c r="J95" s="498" t="n"/>
      <c r="K95" s="498" t="n"/>
      <c r="L95" s="498" t="n"/>
      <c r="M95" s="498" t="n"/>
      <c r="N95" s="492" t="n"/>
      <c r="O95" s="492" t="n"/>
      <c r="P95" s="477" t="n"/>
      <c r="Q95" s="477" t="n"/>
      <c r="R95" s="477" t="n"/>
      <c r="S95" s="477" t="n"/>
      <c r="T95" s="477" t="n"/>
      <c r="U95" s="477" t="n"/>
      <c r="V95" s="477" t="n"/>
      <c r="W95" s="477" t="n"/>
      <c r="X95" s="477" t="n"/>
      <c r="Y95" s="477" t="n"/>
      <c r="Z95" s="477" t="n"/>
    </row>
    <row r="96" ht="15.75" customHeight="1">
      <c r="A96" s="1334" t="n"/>
      <c r="B96" s="494" t="n"/>
      <c r="C96" s="492" t="n"/>
      <c r="D96" s="492" t="n"/>
      <c r="E96" s="492" t="n"/>
      <c r="F96" s="492" t="n"/>
      <c r="G96" s="495" t="n"/>
      <c r="H96" s="496" t="n"/>
      <c r="I96" s="497" t="n"/>
      <c r="J96" s="498" t="n"/>
      <c r="K96" s="498" t="n"/>
      <c r="L96" s="498" t="n"/>
      <c r="M96" s="498" t="n"/>
      <c r="N96" s="492" t="n"/>
      <c r="O96" s="492" t="n"/>
      <c r="P96" s="477" t="n"/>
      <c r="Q96" s="477" t="n"/>
      <c r="R96" s="477" t="n"/>
      <c r="S96" s="477" t="n"/>
      <c r="T96" s="477" t="n"/>
      <c r="U96" s="477" t="n"/>
      <c r="V96" s="477" t="n"/>
      <c r="W96" s="477" t="n"/>
      <c r="X96" s="477" t="n"/>
      <c r="Y96" s="477" t="n"/>
      <c r="Z96" s="477" t="n"/>
    </row>
    <row r="97" ht="15.75" customHeight="1">
      <c r="A97" s="1334" t="n"/>
      <c r="B97" s="494" t="n"/>
      <c r="C97" s="492" t="n"/>
      <c r="D97" s="492" t="n"/>
      <c r="E97" s="492" t="n"/>
      <c r="F97" s="492" t="n"/>
      <c r="G97" s="495" t="n"/>
      <c r="H97" s="501" t="n"/>
      <c r="I97" s="497" t="n"/>
      <c r="J97" s="498" t="n"/>
      <c r="K97" s="498" t="n"/>
      <c r="L97" s="498" t="n"/>
      <c r="M97" s="498" t="n"/>
      <c r="N97" s="495" t="n"/>
      <c r="O97" s="492" t="n"/>
      <c r="P97" s="477" t="n"/>
      <c r="Q97" s="477" t="n"/>
      <c r="R97" s="477" t="n"/>
      <c r="S97" s="477" t="n"/>
      <c r="T97" s="477" t="n"/>
      <c r="U97" s="477" t="n"/>
      <c r="V97" s="477" t="n"/>
      <c r="W97" s="477" t="n"/>
      <c r="X97" s="477" t="n"/>
      <c r="Y97" s="477" t="n"/>
      <c r="Z97" s="477" t="n"/>
    </row>
    <row r="98" ht="15.75" customHeight="1">
      <c r="A98" s="1334" t="n"/>
      <c r="B98" s="494" t="n"/>
      <c r="C98" s="492" t="n"/>
      <c r="D98" s="492" t="n"/>
      <c r="E98" s="492" t="n"/>
      <c r="F98" s="492" t="n"/>
      <c r="G98" s="495" t="n"/>
      <c r="H98" s="501" t="n"/>
      <c r="I98" s="497" t="n"/>
      <c r="J98" s="498" t="n"/>
      <c r="K98" s="498" t="n"/>
      <c r="L98" s="498" t="n"/>
      <c r="M98" s="498" t="n"/>
      <c r="N98" s="495" t="n"/>
      <c r="O98" s="492" t="n"/>
      <c r="P98" s="477" t="n"/>
      <c r="Q98" s="477" t="n"/>
      <c r="R98" s="477" t="n"/>
      <c r="S98" s="477" t="n"/>
      <c r="T98" s="477" t="n"/>
      <c r="U98" s="477" t="n"/>
      <c r="V98" s="477" t="n"/>
      <c r="W98" s="477" t="n"/>
      <c r="X98" s="477" t="n"/>
      <c r="Y98" s="477" t="n"/>
      <c r="Z98" s="477" t="n"/>
    </row>
    <row r="99" ht="15.75" customHeight="1">
      <c r="A99" s="1334" t="n"/>
      <c r="B99" s="494" t="n"/>
      <c r="C99" s="492" t="n"/>
      <c r="D99" s="492" t="n"/>
      <c r="E99" s="492" t="n"/>
      <c r="F99" s="492" t="n"/>
      <c r="G99" s="495" t="n"/>
      <c r="H99" s="501" t="n"/>
      <c r="I99" s="497" t="n"/>
      <c r="J99" s="498" t="n"/>
      <c r="K99" s="498" t="n"/>
      <c r="L99" s="498" t="n"/>
      <c r="M99" s="498" t="n"/>
      <c r="N99" s="495" t="n"/>
      <c r="O99" s="492" t="n"/>
      <c r="P99" s="477" t="n"/>
      <c r="Q99" s="477" t="n"/>
      <c r="R99" s="477" t="n"/>
      <c r="S99" s="477" t="n"/>
      <c r="T99" s="477" t="n"/>
      <c r="U99" s="477" t="n"/>
      <c r="V99" s="477" t="n"/>
      <c r="W99" s="477" t="n"/>
      <c r="X99" s="477" t="n"/>
      <c r="Y99" s="477" t="n"/>
      <c r="Z99" s="477" t="n"/>
    </row>
    <row r="100" ht="15.75" customHeight="1">
      <c r="A100" s="1334" t="n"/>
      <c r="B100" s="494" t="n"/>
      <c r="C100" s="492" t="n"/>
      <c r="D100" s="492" t="n"/>
      <c r="E100" s="492" t="n"/>
      <c r="F100" s="492" t="n"/>
      <c r="G100" s="495" t="n"/>
      <c r="H100" s="501" t="n"/>
      <c r="I100" s="497" t="n"/>
      <c r="J100" s="498" t="n"/>
      <c r="K100" s="498" t="n"/>
      <c r="L100" s="498" t="n"/>
      <c r="M100" s="498" t="n"/>
      <c r="N100" s="495" t="n"/>
      <c r="O100" s="492" t="n"/>
      <c r="P100" s="477" t="n"/>
      <c r="Q100" s="477" t="n"/>
      <c r="R100" s="477" t="n"/>
      <c r="S100" s="477" t="n"/>
      <c r="T100" s="477" t="n"/>
      <c r="U100" s="477" t="n"/>
      <c r="V100" s="477" t="n"/>
      <c r="W100" s="477" t="n"/>
      <c r="X100" s="477" t="n"/>
      <c r="Y100" s="477" t="n"/>
      <c r="Z100" s="477" t="n"/>
    </row>
    <row r="101" ht="15.75" customHeight="1">
      <c r="A101" s="1334" t="n"/>
      <c r="B101" s="494" t="n"/>
      <c r="C101" s="492" t="n"/>
      <c r="D101" s="492" t="n"/>
      <c r="E101" s="492" t="n"/>
      <c r="F101" s="492" t="n"/>
      <c r="G101" s="495" t="n"/>
      <c r="H101" s="501" t="n"/>
      <c r="I101" s="497" t="n"/>
      <c r="J101" s="498" t="n"/>
      <c r="K101" s="498" t="n"/>
      <c r="L101" s="498" t="n"/>
      <c r="M101" s="498" t="n"/>
      <c r="N101" s="495" t="n"/>
      <c r="O101" s="492" t="n"/>
      <c r="P101" s="477" t="n"/>
      <c r="Q101" s="477" t="n"/>
      <c r="R101" s="477" t="n"/>
      <c r="S101" s="477" t="n"/>
      <c r="T101" s="477" t="n"/>
      <c r="U101" s="477" t="n"/>
      <c r="V101" s="477" t="n"/>
      <c r="W101" s="477" t="n"/>
      <c r="X101" s="477" t="n"/>
      <c r="Y101" s="477" t="n"/>
      <c r="Z101" s="477" t="n"/>
    </row>
    <row r="102" ht="15.75" customHeight="1">
      <c r="A102" s="1334" t="n"/>
      <c r="B102" s="494" t="n"/>
      <c r="C102" s="492" t="n"/>
      <c r="D102" s="492" t="n"/>
      <c r="E102" s="492" t="n"/>
      <c r="F102" s="492" t="n"/>
      <c r="G102" s="495" t="n"/>
      <c r="H102" s="501" t="n"/>
      <c r="I102" s="497" t="n"/>
      <c r="J102" s="498" t="n"/>
      <c r="K102" s="498" t="n"/>
      <c r="L102" s="498" t="n"/>
      <c r="M102" s="498" t="n"/>
      <c r="N102" s="495" t="n"/>
      <c r="O102" s="492" t="n"/>
      <c r="P102" s="477" t="n"/>
      <c r="Q102" s="477" t="n"/>
      <c r="R102" s="477" t="n"/>
      <c r="S102" s="477" t="n"/>
      <c r="T102" s="477" t="n"/>
      <c r="U102" s="477" t="n"/>
      <c r="V102" s="477" t="n"/>
      <c r="W102" s="477" t="n"/>
      <c r="X102" s="477" t="n"/>
      <c r="Y102" s="477" t="n"/>
      <c r="Z102" s="477" t="n"/>
    </row>
    <row r="103" ht="15.75" customHeight="1">
      <c r="A103" s="1334" t="n"/>
      <c r="B103" s="494" t="n"/>
      <c r="C103" s="492" t="n"/>
      <c r="D103" s="492" t="n"/>
      <c r="E103" s="492" t="n"/>
      <c r="F103" s="492" t="n"/>
      <c r="G103" s="495" t="n"/>
      <c r="H103" s="496" t="n"/>
      <c r="I103" s="497" t="n"/>
      <c r="J103" s="498" t="n"/>
      <c r="K103" s="498" t="n"/>
      <c r="L103" s="498" t="n"/>
      <c r="M103" s="498" t="n"/>
      <c r="N103" s="492" t="n"/>
      <c r="O103" s="492" t="n"/>
      <c r="P103" s="477" t="n"/>
      <c r="Q103" s="477" t="n"/>
      <c r="R103" s="477" t="n"/>
      <c r="S103" s="477" t="n"/>
      <c r="T103" s="477" t="n"/>
      <c r="U103" s="477" t="n"/>
      <c r="V103" s="477" t="n"/>
      <c r="W103" s="477" t="n"/>
      <c r="X103" s="477" t="n"/>
      <c r="Y103" s="477" t="n"/>
      <c r="Z103" s="477" t="n"/>
    </row>
    <row r="104" ht="15.75" customHeight="1">
      <c r="A104" s="1334" t="n"/>
      <c r="B104" s="494" t="n"/>
      <c r="C104" s="492" t="n"/>
      <c r="D104" s="492" t="n"/>
      <c r="E104" s="492" t="n"/>
      <c r="F104" s="492" t="n"/>
      <c r="G104" s="495" t="n"/>
      <c r="H104" s="496" t="n"/>
      <c r="I104" s="497" t="n"/>
      <c r="J104" s="498" t="n"/>
      <c r="K104" s="498" t="n"/>
      <c r="L104" s="498" t="n"/>
      <c r="M104" s="498" t="n"/>
      <c r="N104" s="492" t="n"/>
      <c r="O104" s="492" t="n"/>
      <c r="P104" s="477" t="n"/>
      <c r="Q104" s="477" t="n"/>
      <c r="R104" s="477" t="n"/>
      <c r="S104" s="477" t="n"/>
      <c r="T104" s="477" t="n"/>
      <c r="U104" s="477" t="n"/>
      <c r="V104" s="477" t="n"/>
      <c r="W104" s="477" t="n"/>
      <c r="X104" s="477" t="n"/>
      <c r="Y104" s="477" t="n"/>
      <c r="Z104" s="477" t="n"/>
    </row>
    <row r="105" ht="15.75" customHeight="1">
      <c r="A105" s="1334" t="n"/>
      <c r="B105" s="494" t="n"/>
      <c r="C105" s="492" t="n"/>
      <c r="D105" s="492" t="n"/>
      <c r="E105" s="492" t="n"/>
      <c r="F105" s="492" t="n"/>
      <c r="G105" s="495" t="n"/>
      <c r="H105" s="496" t="n"/>
      <c r="I105" s="497" t="n"/>
      <c r="J105" s="498" t="n"/>
      <c r="K105" s="498" t="n"/>
      <c r="L105" s="498" t="n"/>
      <c r="M105" s="498" t="n"/>
      <c r="N105" s="492" t="n"/>
      <c r="O105" s="492" t="n"/>
      <c r="P105" s="477" t="n"/>
      <c r="Q105" s="477" t="n"/>
      <c r="R105" s="477" t="n"/>
      <c r="S105" s="477" t="n"/>
      <c r="T105" s="477" t="n"/>
      <c r="U105" s="477" t="n"/>
      <c r="V105" s="477" t="n"/>
      <c r="W105" s="477" t="n"/>
      <c r="X105" s="477" t="n"/>
      <c r="Y105" s="477" t="n"/>
      <c r="Z105" s="477" t="n"/>
    </row>
    <row r="106" ht="15.75" customHeight="1">
      <c r="A106" s="1334" t="n"/>
      <c r="B106" s="494" t="n"/>
      <c r="C106" s="492" t="n"/>
      <c r="D106" s="492" t="n"/>
      <c r="E106" s="492" t="n"/>
      <c r="F106" s="492" t="n"/>
      <c r="G106" s="492" t="n"/>
      <c r="H106" s="496" t="n"/>
      <c r="I106" s="497" t="n"/>
      <c r="J106" s="498" t="n"/>
      <c r="K106" s="498" t="n"/>
      <c r="L106" s="498" t="n"/>
      <c r="M106" s="498" t="n"/>
      <c r="N106" s="492" t="n"/>
      <c r="O106" s="492" t="n"/>
      <c r="P106" s="477" t="n"/>
      <c r="Q106" s="477" t="n"/>
      <c r="R106" s="477" t="n"/>
      <c r="S106" s="477" t="n"/>
      <c r="T106" s="477" t="n"/>
      <c r="U106" s="477" t="n"/>
      <c r="V106" s="477" t="n"/>
      <c r="W106" s="477" t="n"/>
      <c r="X106" s="477" t="n"/>
      <c r="Y106" s="477" t="n"/>
      <c r="Z106" s="477" t="n"/>
    </row>
    <row r="107" ht="15.75" customHeight="1">
      <c r="A107" s="1334" t="n"/>
      <c r="B107" s="494" t="n"/>
      <c r="C107" s="492" t="n"/>
      <c r="D107" s="492" t="n"/>
      <c r="E107" s="492" t="n"/>
      <c r="F107" s="492" t="n"/>
      <c r="G107" s="492" t="n"/>
      <c r="H107" s="496" t="n"/>
      <c r="I107" s="497" t="n"/>
      <c r="J107" s="498" t="n"/>
      <c r="K107" s="498" t="n"/>
      <c r="L107" s="498" t="n"/>
      <c r="M107" s="498" t="n"/>
      <c r="N107" s="492" t="n"/>
      <c r="O107" s="492" t="n"/>
      <c r="P107" s="477" t="n"/>
      <c r="Q107" s="477" t="n"/>
      <c r="R107" s="477" t="n"/>
      <c r="S107" s="477" t="n"/>
      <c r="T107" s="477" t="n"/>
      <c r="U107" s="477" t="n"/>
      <c r="V107" s="477" t="n"/>
      <c r="W107" s="477" t="n"/>
      <c r="X107" s="477" t="n"/>
      <c r="Y107" s="477" t="n"/>
      <c r="Z107" s="477" t="n"/>
    </row>
    <row r="108" ht="15.75" customHeight="1">
      <c r="A108" s="1334" t="n"/>
      <c r="B108" s="494" t="n"/>
      <c r="C108" s="492" t="n"/>
      <c r="D108" s="492" t="n"/>
      <c r="E108" s="492" t="n"/>
      <c r="F108" s="492" t="n"/>
      <c r="G108" s="492" t="n"/>
      <c r="H108" s="496" t="n"/>
      <c r="I108" s="497" t="n"/>
      <c r="J108" s="498" t="n"/>
      <c r="K108" s="498" t="n"/>
      <c r="L108" s="498" t="n"/>
      <c r="M108" s="498" t="n"/>
      <c r="N108" s="492" t="n"/>
      <c r="O108" s="492" t="n"/>
      <c r="P108" s="477" t="n"/>
      <c r="Q108" s="477" t="n"/>
      <c r="R108" s="477" t="n"/>
      <c r="S108" s="477" t="n"/>
      <c r="T108" s="477" t="n"/>
      <c r="U108" s="477" t="n"/>
      <c r="V108" s="477" t="n"/>
      <c r="W108" s="477" t="n"/>
      <c r="X108" s="477" t="n"/>
      <c r="Y108" s="477" t="n"/>
      <c r="Z108" s="477" t="n"/>
    </row>
    <row r="109" ht="15.75" customHeight="1">
      <c r="A109" s="1334" t="n"/>
      <c r="B109" s="494" t="n"/>
      <c r="C109" s="492" t="n"/>
      <c r="D109" s="492" t="n"/>
      <c r="E109" s="492" t="n"/>
      <c r="F109" s="492" t="n"/>
      <c r="G109" s="492" t="n"/>
      <c r="H109" s="496" t="n"/>
      <c r="I109" s="497" t="n"/>
      <c r="J109" s="498" t="n"/>
      <c r="K109" s="498" t="n"/>
      <c r="L109" s="498" t="n"/>
      <c r="M109" s="498" t="n"/>
      <c r="N109" s="492" t="n"/>
      <c r="O109" s="492" t="n"/>
      <c r="P109" s="477" t="n"/>
      <c r="Q109" s="477" t="n"/>
      <c r="R109" s="477" t="n"/>
      <c r="S109" s="477" t="n"/>
      <c r="T109" s="477" t="n"/>
      <c r="U109" s="477" t="n"/>
      <c r="V109" s="477" t="n"/>
      <c r="W109" s="477" t="n"/>
      <c r="X109" s="477" t="n"/>
      <c r="Y109" s="477" t="n"/>
      <c r="Z109" s="477" t="n"/>
    </row>
    <row r="110" ht="15.75" customHeight="1">
      <c r="A110" s="1334" t="n"/>
      <c r="B110" s="494" t="n"/>
      <c r="C110" s="492" t="n"/>
      <c r="D110" s="492" t="n"/>
      <c r="E110" s="492" t="n"/>
      <c r="F110" s="492" t="n"/>
      <c r="G110" s="492" t="n"/>
      <c r="H110" s="496" t="n"/>
      <c r="I110" s="497" t="n"/>
      <c r="J110" s="498" t="n"/>
      <c r="K110" s="498" t="n"/>
      <c r="L110" s="498" t="n"/>
      <c r="M110" s="498" t="n"/>
      <c r="N110" s="492" t="n"/>
      <c r="O110" s="492" t="n"/>
      <c r="P110" s="477" t="n"/>
      <c r="Q110" s="477" t="n"/>
      <c r="R110" s="477" t="n"/>
      <c r="S110" s="477" t="n"/>
      <c r="T110" s="477" t="n"/>
      <c r="U110" s="477" t="n"/>
      <c r="V110" s="477" t="n"/>
      <c r="W110" s="477" t="n"/>
      <c r="X110" s="477" t="n"/>
      <c r="Y110" s="477" t="n"/>
      <c r="Z110" s="477" t="n"/>
    </row>
    <row r="111" ht="15.75" customHeight="1">
      <c r="A111" s="1334" t="n"/>
      <c r="B111" s="494" t="n"/>
      <c r="C111" s="492" t="n"/>
      <c r="D111" s="492" t="n"/>
      <c r="E111" s="492" t="n"/>
      <c r="F111" s="492" t="n"/>
      <c r="G111" s="492" t="n"/>
      <c r="H111" s="496" t="n"/>
      <c r="I111" s="497" t="n"/>
      <c r="J111" s="498" t="n"/>
      <c r="K111" s="498" t="n"/>
      <c r="L111" s="498" t="n"/>
      <c r="M111" s="498" t="n"/>
      <c r="N111" s="492" t="n"/>
      <c r="O111" s="492" t="n"/>
      <c r="P111" s="477" t="n"/>
      <c r="Q111" s="477" t="n"/>
      <c r="R111" s="477" t="n"/>
      <c r="S111" s="477" t="n"/>
      <c r="T111" s="477" t="n"/>
      <c r="U111" s="477" t="n"/>
      <c r="V111" s="477" t="n"/>
      <c r="W111" s="477" t="n"/>
      <c r="X111" s="477" t="n"/>
      <c r="Y111" s="477" t="n"/>
      <c r="Z111" s="477" t="n"/>
    </row>
    <row r="112" ht="15.75" customHeight="1">
      <c r="A112" s="1334" t="n"/>
      <c r="B112" s="494" t="n"/>
      <c r="C112" s="492" t="n"/>
      <c r="D112" s="492" t="n"/>
      <c r="E112" s="492" t="n"/>
      <c r="F112" s="492" t="n"/>
      <c r="G112" s="492" t="n"/>
      <c r="H112" s="496" t="n"/>
      <c r="I112" s="497" t="n"/>
      <c r="J112" s="498" t="n"/>
      <c r="K112" s="498" t="n"/>
      <c r="L112" s="498" t="n"/>
      <c r="M112" s="498" t="n"/>
      <c r="N112" s="492" t="n"/>
      <c r="O112" s="492" t="n"/>
      <c r="P112" s="477" t="n"/>
      <c r="Q112" s="477" t="n"/>
      <c r="R112" s="477" t="n"/>
      <c r="S112" s="477" t="n"/>
      <c r="T112" s="477" t="n"/>
      <c r="U112" s="477" t="n"/>
      <c r="V112" s="477" t="n"/>
      <c r="W112" s="477" t="n"/>
      <c r="X112" s="477" t="n"/>
      <c r="Y112" s="477" t="n"/>
      <c r="Z112" s="477" t="n"/>
    </row>
    <row r="113" ht="15.75" customHeight="1">
      <c r="A113" s="1334" t="n"/>
      <c r="B113" s="494" t="n"/>
      <c r="C113" s="492" t="n"/>
      <c r="D113" s="492" t="n"/>
      <c r="E113" s="492" t="n"/>
      <c r="F113" s="492" t="n"/>
      <c r="G113" s="492" t="n"/>
      <c r="H113" s="496" t="n"/>
      <c r="I113" s="497" t="n"/>
      <c r="J113" s="498" t="n"/>
      <c r="K113" s="498" t="n"/>
      <c r="L113" s="498" t="n"/>
      <c r="M113" s="498" t="n"/>
      <c r="N113" s="492" t="n"/>
      <c r="O113" s="492" t="n"/>
      <c r="P113" s="477" t="n"/>
      <c r="Q113" s="477" t="n"/>
      <c r="R113" s="477" t="n"/>
      <c r="S113" s="477" t="n"/>
      <c r="T113" s="477" t="n"/>
      <c r="U113" s="477" t="n"/>
      <c r="V113" s="477" t="n"/>
      <c r="W113" s="477" t="n"/>
      <c r="X113" s="477" t="n"/>
      <c r="Y113" s="477" t="n"/>
      <c r="Z113" s="477" t="n"/>
    </row>
    <row r="114" ht="15.75" customHeight="1">
      <c r="A114" s="1334" t="n"/>
      <c r="B114" s="494" t="n"/>
      <c r="C114" s="492" t="n"/>
      <c r="D114" s="492" t="n"/>
      <c r="E114" s="492" t="n"/>
      <c r="F114" s="492" t="n"/>
      <c r="G114" s="492" t="n"/>
      <c r="H114" s="496" t="n"/>
      <c r="I114" s="497" t="n"/>
      <c r="J114" s="498" t="n"/>
      <c r="K114" s="498" t="n"/>
      <c r="L114" s="498" t="n"/>
      <c r="M114" s="498" t="n"/>
      <c r="N114" s="495" t="n"/>
      <c r="O114" s="492" t="n"/>
      <c r="P114" s="477" t="n"/>
      <c r="Q114" s="477" t="n"/>
      <c r="R114" s="477" t="n"/>
      <c r="S114" s="477" t="n"/>
      <c r="T114" s="477" t="n"/>
      <c r="U114" s="477" t="n"/>
      <c r="V114" s="477" t="n"/>
      <c r="W114" s="477" t="n"/>
      <c r="X114" s="477" t="n"/>
      <c r="Y114" s="477" t="n"/>
      <c r="Z114" s="477" t="n"/>
    </row>
    <row r="115" ht="15.75" customHeight="1">
      <c r="A115" s="1334" t="n"/>
      <c r="B115" s="494" t="n"/>
      <c r="C115" s="492" t="n"/>
      <c r="D115" s="492" t="n"/>
      <c r="E115" s="492" t="n"/>
      <c r="F115" s="492" t="n"/>
      <c r="G115" s="492" t="n"/>
      <c r="H115" s="496" t="n"/>
      <c r="I115" s="497" t="n"/>
      <c r="J115" s="498" t="n"/>
      <c r="K115" s="498" t="n"/>
      <c r="L115" s="498" t="n"/>
      <c r="M115" s="498" t="n"/>
      <c r="N115" s="495" t="n"/>
      <c r="O115" s="492" t="n"/>
      <c r="P115" s="477" t="n"/>
      <c r="Q115" s="477" t="n"/>
      <c r="R115" s="477" t="n"/>
      <c r="S115" s="477" t="n"/>
      <c r="T115" s="477" t="n"/>
      <c r="U115" s="477" t="n"/>
      <c r="V115" s="477" t="n"/>
      <c r="W115" s="477" t="n"/>
      <c r="X115" s="477" t="n"/>
      <c r="Y115" s="477" t="n"/>
      <c r="Z115" s="477" t="n"/>
    </row>
    <row r="116" ht="15.75" customHeight="1">
      <c r="A116" s="1334" t="n"/>
      <c r="B116" s="494" t="n"/>
      <c r="C116" s="492" t="n"/>
      <c r="D116" s="492" t="n"/>
      <c r="E116" s="492" t="n"/>
      <c r="F116" s="492" t="n"/>
      <c r="G116" s="492" t="n"/>
      <c r="H116" s="496" t="n"/>
      <c r="I116" s="497" t="n"/>
      <c r="J116" s="498" t="n"/>
      <c r="K116" s="498" t="n"/>
      <c r="L116" s="498" t="n"/>
      <c r="M116" s="498" t="n"/>
      <c r="N116" s="495" t="n"/>
      <c r="O116" s="492" t="n"/>
      <c r="P116" s="477" t="n"/>
      <c r="Q116" s="477" t="n"/>
      <c r="R116" s="477" t="n"/>
      <c r="S116" s="477" t="n"/>
      <c r="T116" s="477" t="n"/>
      <c r="U116" s="477" t="n"/>
      <c r="V116" s="477" t="n"/>
      <c r="W116" s="477" t="n"/>
      <c r="X116" s="477" t="n"/>
      <c r="Y116" s="477" t="n"/>
      <c r="Z116" s="477" t="n"/>
    </row>
    <row r="117" ht="15.75" customHeight="1">
      <c r="A117" s="1334" t="n"/>
      <c r="B117" s="494" t="n"/>
      <c r="C117" s="492" t="n"/>
      <c r="D117" s="492" t="n"/>
      <c r="E117" s="492" t="n"/>
      <c r="F117" s="492" t="n"/>
      <c r="G117" s="492" t="n"/>
      <c r="H117" s="496" t="n"/>
      <c r="I117" s="497" t="n"/>
      <c r="J117" s="498" t="n"/>
      <c r="K117" s="498" t="n"/>
      <c r="L117" s="498" t="n"/>
      <c r="M117" s="498" t="n"/>
      <c r="N117" s="495" t="n"/>
      <c r="O117" s="492" t="n"/>
      <c r="P117" s="477" t="n"/>
      <c r="Q117" s="477" t="n"/>
      <c r="R117" s="477" t="n"/>
      <c r="S117" s="477" t="n"/>
      <c r="T117" s="477" t="n"/>
      <c r="U117" s="477" t="n"/>
      <c r="V117" s="477" t="n"/>
      <c r="W117" s="477" t="n"/>
      <c r="X117" s="477" t="n"/>
      <c r="Y117" s="477" t="n"/>
      <c r="Z117" s="477" t="n"/>
    </row>
    <row r="118" ht="15.75" customHeight="1">
      <c r="A118" s="1334" t="n"/>
      <c r="B118" s="494" t="n"/>
      <c r="C118" s="492" t="n"/>
      <c r="D118" s="492" t="n"/>
      <c r="E118" s="492" t="n"/>
      <c r="F118" s="492" t="n"/>
      <c r="G118" s="492" t="n"/>
      <c r="H118" s="496" t="n"/>
      <c r="I118" s="497" t="n"/>
      <c r="J118" s="498" t="n"/>
      <c r="K118" s="498" t="n"/>
      <c r="L118" s="498" t="n"/>
      <c r="M118" s="498" t="n"/>
      <c r="N118" s="495" t="n"/>
      <c r="O118" s="492" t="n"/>
      <c r="P118" s="477" t="n"/>
      <c r="Q118" s="477" t="n"/>
      <c r="R118" s="477" t="n"/>
      <c r="S118" s="477" t="n"/>
      <c r="T118" s="477" t="n"/>
      <c r="U118" s="477" t="n"/>
      <c r="V118" s="477" t="n"/>
      <c r="W118" s="477" t="n"/>
      <c r="X118" s="477" t="n"/>
      <c r="Y118" s="477" t="n"/>
      <c r="Z118" s="477" t="n"/>
    </row>
    <row r="119" ht="15.75" customHeight="1">
      <c r="A119" s="1334" t="n"/>
      <c r="B119" s="494" t="n"/>
      <c r="C119" s="492" t="n"/>
      <c r="D119" s="492" t="n"/>
      <c r="E119" s="492" t="n"/>
      <c r="F119" s="492" t="n"/>
      <c r="G119" s="492" t="n"/>
      <c r="H119" s="496" t="n"/>
      <c r="I119" s="497" t="n"/>
      <c r="J119" s="498" t="n"/>
      <c r="K119" s="498" t="n"/>
      <c r="L119" s="498" t="n"/>
      <c r="M119" s="498" t="n"/>
      <c r="N119" s="495" t="n"/>
      <c r="O119" s="492" t="n"/>
      <c r="P119" s="477" t="n"/>
      <c r="Q119" s="477" t="n"/>
      <c r="R119" s="477" t="n"/>
      <c r="S119" s="477" t="n"/>
      <c r="T119" s="477" t="n"/>
      <c r="U119" s="477" t="n"/>
      <c r="V119" s="477" t="n"/>
      <c r="W119" s="477" t="n"/>
      <c r="X119" s="477" t="n"/>
      <c r="Y119" s="477" t="n"/>
      <c r="Z119" s="477" t="n"/>
    </row>
    <row r="120" ht="15.75" customHeight="1">
      <c r="A120" s="1334" t="n"/>
      <c r="B120" s="494" t="n"/>
      <c r="C120" s="492" t="n"/>
      <c r="D120" s="492" t="n"/>
      <c r="E120" s="492" t="n"/>
      <c r="F120" s="492" t="n"/>
      <c r="G120" s="492" t="n"/>
      <c r="H120" s="496" t="n"/>
      <c r="I120" s="497" t="n"/>
      <c r="J120" s="498" t="n"/>
      <c r="K120" s="498" t="n"/>
      <c r="L120" s="498" t="n"/>
      <c r="M120" s="498" t="n"/>
      <c r="N120" s="495" t="n"/>
      <c r="O120" s="492" t="n"/>
      <c r="P120" s="477" t="n"/>
      <c r="Q120" s="477" t="n"/>
      <c r="R120" s="477" t="n"/>
      <c r="S120" s="477" t="n"/>
      <c r="T120" s="477" t="n"/>
      <c r="U120" s="477" t="n"/>
      <c r="V120" s="477" t="n"/>
      <c r="W120" s="477" t="n"/>
      <c r="X120" s="477" t="n"/>
      <c r="Y120" s="477" t="n"/>
      <c r="Z120" s="477" t="n"/>
    </row>
    <row r="121" ht="15.75" customHeight="1">
      <c r="A121" s="1334" t="n"/>
      <c r="B121" s="494" t="n"/>
      <c r="C121" s="492" t="n"/>
      <c r="D121" s="492" t="n"/>
      <c r="E121" s="492" t="n"/>
      <c r="F121" s="492" t="n"/>
      <c r="G121" s="495" t="n"/>
      <c r="H121" s="496" t="n"/>
      <c r="I121" s="497" t="n"/>
      <c r="J121" s="498" t="n"/>
      <c r="K121" s="498" t="n"/>
      <c r="L121" s="498" t="n"/>
      <c r="M121" s="498" t="n"/>
      <c r="N121" s="502" t="n"/>
      <c r="O121" s="492" t="n"/>
      <c r="P121" s="477" t="n"/>
      <c r="Q121" s="477" t="n"/>
      <c r="R121" s="477" t="n"/>
      <c r="S121" s="477" t="n"/>
      <c r="T121" s="477" t="n"/>
      <c r="U121" s="477" t="n"/>
      <c r="V121" s="477" t="n"/>
      <c r="W121" s="477" t="n"/>
      <c r="X121" s="477" t="n"/>
      <c r="Y121" s="477" t="n"/>
      <c r="Z121" s="477" t="n"/>
    </row>
    <row r="122" ht="15.75" customHeight="1">
      <c r="A122" s="1334" t="n"/>
      <c r="B122" s="494" t="n"/>
      <c r="C122" s="492" t="n"/>
      <c r="D122" s="492" t="n"/>
      <c r="E122" s="492" t="n"/>
      <c r="F122" s="492" t="n"/>
      <c r="G122" s="495" t="n"/>
      <c r="H122" s="496" t="n"/>
      <c r="I122" s="497" t="n"/>
      <c r="J122" s="498" t="n"/>
      <c r="K122" s="498" t="n"/>
      <c r="L122" s="498" t="n"/>
      <c r="M122" s="498" t="n"/>
      <c r="N122" s="502" t="n"/>
      <c r="O122" s="492" t="n"/>
      <c r="P122" s="477" t="n"/>
      <c r="Q122" s="477" t="n"/>
      <c r="R122" s="477" t="n"/>
      <c r="S122" s="477" t="n"/>
      <c r="T122" s="477" t="n"/>
      <c r="U122" s="477" t="n"/>
      <c r="V122" s="477" t="n"/>
      <c r="W122" s="477" t="n"/>
      <c r="X122" s="477" t="n"/>
      <c r="Y122" s="477" t="n"/>
      <c r="Z122" s="477" t="n"/>
    </row>
    <row r="123" ht="15.75" customHeight="1">
      <c r="A123" s="1334" t="n"/>
      <c r="B123" s="494" t="n"/>
      <c r="C123" s="492" t="n"/>
      <c r="D123" s="492" t="n"/>
      <c r="E123" s="492" t="n"/>
      <c r="F123" s="492" t="n"/>
      <c r="G123" s="495" t="n"/>
      <c r="H123" s="496" t="n"/>
      <c r="I123" s="497" t="n"/>
      <c r="J123" s="498" t="n"/>
      <c r="K123" s="498" t="n"/>
      <c r="L123" s="498" t="n"/>
      <c r="M123" s="498" t="n"/>
      <c r="N123" s="502" t="n"/>
      <c r="O123" s="492" t="n"/>
      <c r="P123" s="477" t="n"/>
      <c r="Q123" s="477" t="n"/>
      <c r="R123" s="477" t="n"/>
      <c r="S123" s="477" t="n"/>
      <c r="T123" s="477" t="n"/>
      <c r="U123" s="477" t="n"/>
      <c r="V123" s="477" t="n"/>
      <c r="W123" s="477" t="n"/>
      <c r="X123" s="477" t="n"/>
      <c r="Y123" s="477" t="n"/>
      <c r="Z123" s="477" t="n"/>
    </row>
    <row r="124" ht="15.75" customHeight="1">
      <c r="A124" s="1334" t="n"/>
      <c r="B124" s="494" t="n"/>
      <c r="C124" s="492" t="n"/>
      <c r="D124" s="492" t="n"/>
      <c r="E124" s="492" t="n"/>
      <c r="F124" s="492" t="n"/>
      <c r="G124" s="495" t="n"/>
      <c r="H124" s="496" t="n"/>
      <c r="I124" s="497" t="n"/>
      <c r="J124" s="498" t="n"/>
      <c r="K124" s="498" t="n"/>
      <c r="L124" s="498" t="n"/>
      <c r="M124" s="498" t="n"/>
      <c r="N124" s="502" t="n"/>
      <c r="O124" s="492" t="n"/>
      <c r="P124" s="477" t="n"/>
      <c r="Q124" s="477" t="n"/>
      <c r="R124" s="477" t="n"/>
      <c r="S124" s="477" t="n"/>
      <c r="T124" s="477" t="n"/>
      <c r="U124" s="477" t="n"/>
      <c r="V124" s="477" t="n"/>
      <c r="W124" s="477" t="n"/>
      <c r="X124" s="477" t="n"/>
      <c r="Y124" s="477" t="n"/>
      <c r="Z124" s="477" t="n"/>
    </row>
    <row r="125" ht="15.75" customHeight="1">
      <c r="A125" s="1334" t="n"/>
      <c r="B125" s="494" t="n"/>
      <c r="C125" s="492" t="n"/>
      <c r="D125" s="492" t="n"/>
      <c r="E125" s="492" t="n"/>
      <c r="F125" s="492" t="n"/>
      <c r="G125" s="495" t="n"/>
      <c r="H125" s="496" t="n"/>
      <c r="I125" s="497" t="n"/>
      <c r="J125" s="498" t="n"/>
      <c r="K125" s="498" t="n"/>
      <c r="L125" s="498" t="n"/>
      <c r="M125" s="498" t="n"/>
      <c r="N125" s="502" t="n"/>
      <c r="O125" s="492" t="n"/>
      <c r="P125" s="477" t="n"/>
      <c r="Q125" s="477" t="n"/>
      <c r="R125" s="477" t="n"/>
      <c r="S125" s="477" t="n"/>
      <c r="T125" s="477" t="n"/>
      <c r="U125" s="477" t="n"/>
      <c r="V125" s="477" t="n"/>
      <c r="W125" s="477" t="n"/>
      <c r="X125" s="477" t="n"/>
      <c r="Y125" s="477" t="n"/>
      <c r="Z125" s="477" t="n"/>
    </row>
    <row r="126" ht="15.75" customHeight="1">
      <c r="A126" s="1334" t="n"/>
      <c r="B126" s="494" t="n"/>
      <c r="C126" s="492" t="n"/>
      <c r="D126" s="492" t="n"/>
      <c r="E126" s="492" t="n"/>
      <c r="F126" s="492" t="n"/>
      <c r="G126" s="495" t="n"/>
      <c r="H126" s="496" t="n"/>
      <c r="I126" s="497" t="n"/>
      <c r="J126" s="498" t="n"/>
      <c r="K126" s="498" t="n"/>
      <c r="L126" s="498" t="n"/>
      <c r="M126" s="498" t="n"/>
      <c r="N126" s="502" t="n"/>
      <c r="O126" s="492" t="n"/>
      <c r="P126" s="477" t="n"/>
      <c r="Q126" s="477" t="n"/>
      <c r="R126" s="477" t="n"/>
      <c r="S126" s="477" t="n"/>
      <c r="T126" s="477" t="n"/>
      <c r="U126" s="477" t="n"/>
      <c r="V126" s="477" t="n"/>
      <c r="W126" s="477" t="n"/>
      <c r="X126" s="477" t="n"/>
      <c r="Y126" s="477" t="n"/>
      <c r="Z126" s="477" t="n"/>
    </row>
    <row r="127" ht="15.75" customHeight="1">
      <c r="A127" s="1334" t="n"/>
      <c r="B127" s="494" t="n"/>
      <c r="C127" s="492" t="n"/>
      <c r="D127" s="492" t="n"/>
      <c r="E127" s="492" t="n"/>
      <c r="F127" s="492" t="n"/>
      <c r="G127" s="495" t="n"/>
      <c r="H127" s="496" t="n"/>
      <c r="I127" s="497" t="n"/>
      <c r="J127" s="498" t="n"/>
      <c r="K127" s="498" t="n"/>
      <c r="L127" s="498" t="n"/>
      <c r="M127" s="498" t="n"/>
      <c r="N127" s="502" t="n"/>
      <c r="O127" s="492" t="n"/>
      <c r="P127" s="477" t="n"/>
      <c r="Q127" s="477" t="n"/>
      <c r="R127" s="477" t="n"/>
      <c r="S127" s="477" t="n"/>
      <c r="T127" s="477" t="n"/>
      <c r="U127" s="477" t="n"/>
      <c r="V127" s="477" t="n"/>
      <c r="W127" s="477" t="n"/>
      <c r="X127" s="477" t="n"/>
      <c r="Y127" s="477" t="n"/>
      <c r="Z127" s="477" t="n"/>
    </row>
    <row r="128" ht="15.75" customHeight="1">
      <c r="A128" s="1334" t="n"/>
      <c r="B128" s="494" t="n"/>
      <c r="C128" s="492" t="n"/>
      <c r="D128" s="492" t="n"/>
      <c r="E128" s="492" t="n"/>
      <c r="F128" s="492" t="n"/>
      <c r="G128" s="495" t="n"/>
      <c r="H128" s="496" t="n"/>
      <c r="I128" s="497" t="n"/>
      <c r="J128" s="498" t="n"/>
      <c r="K128" s="498" t="n"/>
      <c r="L128" s="498" t="n"/>
      <c r="M128" s="498" t="n"/>
      <c r="N128" s="502" t="n"/>
      <c r="O128" s="492" t="n"/>
      <c r="P128" s="477" t="n"/>
      <c r="Q128" s="477" t="n"/>
      <c r="R128" s="477" t="n"/>
      <c r="S128" s="477" t="n"/>
      <c r="T128" s="477" t="n"/>
      <c r="U128" s="477" t="n"/>
      <c r="V128" s="477" t="n"/>
      <c r="W128" s="477" t="n"/>
      <c r="X128" s="477" t="n"/>
      <c r="Y128" s="477" t="n"/>
      <c r="Z128" s="477" t="n"/>
    </row>
    <row r="129" ht="15.75" customHeight="1">
      <c r="A129" s="1334" t="n"/>
      <c r="B129" s="494" t="n"/>
      <c r="C129" s="492" t="n"/>
      <c r="D129" s="492" t="n"/>
      <c r="E129" s="492" t="n"/>
      <c r="F129" s="492" t="n"/>
      <c r="G129" s="495" t="n"/>
      <c r="H129" s="496" t="n"/>
      <c r="I129" s="497" t="n"/>
      <c r="J129" s="498" t="n"/>
      <c r="K129" s="498" t="n"/>
      <c r="L129" s="498" t="n"/>
      <c r="M129" s="498" t="n"/>
      <c r="N129" s="502" t="n"/>
      <c r="O129" s="492" t="n"/>
      <c r="P129" s="477" t="n"/>
      <c r="Q129" s="477" t="n"/>
      <c r="R129" s="477" t="n"/>
      <c r="S129" s="477" t="n"/>
      <c r="T129" s="477" t="n"/>
      <c r="U129" s="477" t="n"/>
      <c r="V129" s="477" t="n"/>
      <c r="W129" s="477" t="n"/>
      <c r="X129" s="477" t="n"/>
      <c r="Y129" s="477" t="n"/>
      <c r="Z129" s="477" t="n"/>
    </row>
    <row r="130" ht="15.75" customHeight="1">
      <c r="A130" s="1334" t="n"/>
      <c r="B130" s="494" t="n"/>
      <c r="C130" s="492" t="n"/>
      <c r="D130" s="492" t="n"/>
      <c r="E130" s="492" t="n"/>
      <c r="F130" s="492" t="n"/>
      <c r="G130" s="495" t="n"/>
      <c r="H130" s="496" t="n"/>
      <c r="I130" s="497" t="n"/>
      <c r="J130" s="498" t="n"/>
      <c r="K130" s="498" t="n"/>
      <c r="L130" s="498" t="n"/>
      <c r="M130" s="498" t="n"/>
      <c r="N130" s="492" t="n"/>
      <c r="O130" s="492" t="n"/>
      <c r="P130" s="477" t="n"/>
      <c r="Q130" s="477" t="n"/>
      <c r="R130" s="477" t="n"/>
      <c r="S130" s="477" t="n"/>
      <c r="T130" s="477" t="n"/>
      <c r="U130" s="477" t="n"/>
      <c r="V130" s="477" t="n"/>
      <c r="W130" s="477" t="n"/>
      <c r="X130" s="477" t="n"/>
      <c r="Y130" s="477" t="n"/>
      <c r="Z130" s="477" t="n"/>
    </row>
    <row r="131" ht="15.75" customHeight="1">
      <c r="A131" s="1334" t="n"/>
      <c r="B131" s="494" t="n"/>
      <c r="C131" s="492" t="n"/>
      <c r="D131" s="492" t="n"/>
      <c r="E131" s="492" t="n"/>
      <c r="F131" s="492" t="n"/>
      <c r="G131" s="495" t="n"/>
      <c r="H131" s="496" t="n"/>
      <c r="I131" s="497" t="n"/>
      <c r="J131" s="498" t="n"/>
      <c r="K131" s="498" t="n"/>
      <c r="L131" s="498" t="n"/>
      <c r="M131" s="498" t="n"/>
      <c r="N131" s="492" t="n"/>
      <c r="O131" s="492" t="n"/>
      <c r="P131" s="477" t="n"/>
      <c r="Q131" s="477" t="n"/>
      <c r="R131" s="477" t="n"/>
      <c r="S131" s="477" t="n"/>
      <c r="T131" s="477" t="n"/>
      <c r="U131" s="477" t="n"/>
      <c r="V131" s="477" t="n"/>
      <c r="W131" s="477" t="n"/>
      <c r="X131" s="477" t="n"/>
      <c r="Y131" s="477" t="n"/>
      <c r="Z131" s="477" t="n"/>
    </row>
    <row r="132" ht="15.75" customHeight="1">
      <c r="A132" s="1334" t="n"/>
      <c r="B132" s="494" t="n"/>
      <c r="C132" s="492" t="n"/>
      <c r="D132" s="492" t="n"/>
      <c r="E132" s="492" t="n"/>
      <c r="F132" s="492" t="n"/>
      <c r="G132" s="495" t="n"/>
      <c r="H132" s="496" t="n"/>
      <c r="I132" s="497" t="n"/>
      <c r="J132" s="498" t="n"/>
      <c r="K132" s="498" t="n"/>
      <c r="L132" s="498" t="n"/>
      <c r="M132" s="498" t="n"/>
      <c r="N132" s="492" t="n"/>
      <c r="O132" s="492" t="n"/>
      <c r="P132" s="477" t="n"/>
      <c r="Q132" s="477" t="n"/>
      <c r="R132" s="477" t="n"/>
      <c r="S132" s="477" t="n"/>
      <c r="T132" s="477" t="n"/>
      <c r="U132" s="477" t="n"/>
      <c r="V132" s="477" t="n"/>
      <c r="W132" s="477" t="n"/>
      <c r="X132" s="477" t="n"/>
      <c r="Y132" s="477" t="n"/>
      <c r="Z132" s="477" t="n"/>
    </row>
    <row r="133" ht="15.75" customHeight="1">
      <c r="A133" s="1334" t="n"/>
      <c r="B133" s="494" t="n"/>
      <c r="C133" s="492" t="n"/>
      <c r="D133" s="492" t="n"/>
      <c r="E133" s="492" t="n"/>
      <c r="F133" s="492" t="n"/>
      <c r="G133" s="495" t="n"/>
      <c r="H133" s="496" t="n"/>
      <c r="I133" s="497" t="n"/>
      <c r="J133" s="498" t="n"/>
      <c r="K133" s="498" t="n"/>
      <c r="L133" s="498" t="n"/>
      <c r="M133" s="498" t="n"/>
      <c r="N133" s="492" t="n"/>
      <c r="O133" s="492" t="n"/>
      <c r="P133" s="477" t="n"/>
      <c r="Q133" s="477" t="n"/>
      <c r="R133" s="477" t="n"/>
      <c r="S133" s="477" t="n"/>
      <c r="T133" s="477" t="n"/>
      <c r="U133" s="477" t="n"/>
      <c r="V133" s="477" t="n"/>
      <c r="W133" s="477" t="n"/>
      <c r="X133" s="477" t="n"/>
      <c r="Y133" s="477" t="n"/>
      <c r="Z133" s="477" t="n"/>
    </row>
    <row r="134" ht="15.75" customHeight="1">
      <c r="A134" s="1334" t="n"/>
      <c r="B134" s="494" t="n"/>
      <c r="C134" s="492" t="n"/>
      <c r="D134" s="492" t="n"/>
      <c r="E134" s="492" t="n"/>
      <c r="F134" s="492" t="n"/>
      <c r="G134" s="495" t="n"/>
      <c r="H134" s="496" t="n"/>
      <c r="I134" s="497" t="n"/>
      <c r="J134" s="498" t="n"/>
      <c r="K134" s="498" t="n"/>
      <c r="L134" s="498" t="n"/>
      <c r="M134" s="498" t="n"/>
      <c r="N134" s="492" t="n"/>
      <c r="O134" s="492" t="n"/>
      <c r="P134" s="477" t="n"/>
      <c r="Q134" s="477" t="n"/>
      <c r="R134" s="477" t="n"/>
      <c r="S134" s="477" t="n"/>
      <c r="T134" s="477" t="n"/>
      <c r="U134" s="477" t="n"/>
      <c r="V134" s="477" t="n"/>
      <c r="W134" s="477" t="n"/>
      <c r="X134" s="477" t="n"/>
      <c r="Y134" s="477" t="n"/>
      <c r="Z134" s="477" t="n"/>
    </row>
    <row r="135" ht="15.75" customHeight="1">
      <c r="A135" s="1334" t="n"/>
      <c r="B135" s="494" t="n"/>
      <c r="C135" s="492" t="n"/>
      <c r="D135" s="492" t="n"/>
      <c r="E135" s="492" t="n"/>
      <c r="F135" s="492" t="n"/>
      <c r="G135" s="495" t="n"/>
      <c r="H135" s="496" t="n"/>
      <c r="I135" s="497" t="n"/>
      <c r="J135" s="498" t="n"/>
      <c r="K135" s="498" t="n"/>
      <c r="L135" s="498" t="n"/>
      <c r="M135" s="498" t="n"/>
      <c r="N135" s="492" t="n"/>
      <c r="O135" s="492" t="n"/>
      <c r="P135" s="477" t="n"/>
      <c r="Q135" s="477" t="n"/>
      <c r="R135" s="477" t="n"/>
      <c r="S135" s="477" t="n"/>
      <c r="T135" s="477" t="n"/>
      <c r="U135" s="477" t="n"/>
      <c r="V135" s="477" t="n"/>
      <c r="W135" s="477" t="n"/>
      <c r="X135" s="477" t="n"/>
      <c r="Y135" s="477" t="n"/>
      <c r="Z135" s="477" t="n"/>
    </row>
    <row r="136" ht="15.75" customHeight="1">
      <c r="A136" s="1334" t="n"/>
      <c r="B136" s="494" t="n"/>
      <c r="C136" s="492" t="n"/>
      <c r="D136" s="492" t="n"/>
      <c r="E136" s="492" t="n"/>
      <c r="F136" s="492" t="n"/>
      <c r="G136" s="495" t="n"/>
      <c r="H136" s="496" t="n"/>
      <c r="I136" s="497" t="n"/>
      <c r="J136" s="498" t="n"/>
      <c r="K136" s="498" t="n"/>
      <c r="L136" s="498" t="n"/>
      <c r="M136" s="498" t="n"/>
      <c r="N136" s="492" t="n"/>
      <c r="O136" s="492" t="n"/>
      <c r="P136" s="477" t="n"/>
      <c r="Q136" s="477" t="n"/>
      <c r="R136" s="477" t="n"/>
      <c r="S136" s="477" t="n"/>
      <c r="T136" s="477" t="n"/>
      <c r="U136" s="477" t="n"/>
      <c r="V136" s="477" t="n"/>
      <c r="W136" s="477" t="n"/>
      <c r="X136" s="477" t="n"/>
      <c r="Y136" s="477" t="n"/>
      <c r="Z136" s="477" t="n"/>
    </row>
    <row r="137" ht="15.75" customHeight="1">
      <c r="A137" s="1334" t="n"/>
      <c r="B137" s="494" t="n"/>
      <c r="C137" s="492" t="n"/>
      <c r="D137" s="492" t="n"/>
      <c r="E137" s="492" t="n"/>
      <c r="F137" s="492" t="n"/>
      <c r="G137" s="495" t="n"/>
      <c r="H137" s="496" t="n"/>
      <c r="I137" s="497" t="n"/>
      <c r="J137" s="498" t="n"/>
      <c r="K137" s="498" t="n"/>
      <c r="L137" s="498" t="n"/>
      <c r="M137" s="498" t="n"/>
      <c r="N137" s="492" t="n"/>
      <c r="O137" s="492" t="n"/>
      <c r="P137" s="477" t="n"/>
      <c r="Q137" s="477" t="n"/>
      <c r="R137" s="477" t="n"/>
      <c r="S137" s="477" t="n"/>
      <c r="T137" s="477" t="n"/>
      <c r="U137" s="477" t="n"/>
      <c r="V137" s="477" t="n"/>
      <c r="W137" s="477" t="n"/>
      <c r="X137" s="477" t="n"/>
      <c r="Y137" s="477" t="n"/>
      <c r="Z137" s="477" t="n"/>
    </row>
    <row r="138" ht="15.75" customHeight="1">
      <c r="A138" s="1334" t="n"/>
      <c r="B138" s="494" t="n"/>
      <c r="C138" s="492" t="n"/>
      <c r="D138" s="492" t="n"/>
      <c r="E138" s="492" t="n"/>
      <c r="F138" s="492" t="n"/>
      <c r="G138" s="495" t="n"/>
      <c r="H138" s="496" t="n"/>
      <c r="I138" s="497" t="n"/>
      <c r="J138" s="498" t="n"/>
      <c r="K138" s="498" t="n"/>
      <c r="L138" s="498" t="n"/>
      <c r="M138" s="498" t="n"/>
      <c r="N138" s="492" t="n"/>
      <c r="O138" s="492" t="n"/>
      <c r="P138" s="477" t="n"/>
      <c r="Q138" s="477" t="n"/>
      <c r="R138" s="477" t="n"/>
      <c r="S138" s="477" t="n"/>
      <c r="T138" s="477" t="n"/>
      <c r="U138" s="477" t="n"/>
      <c r="V138" s="477" t="n"/>
      <c r="W138" s="477" t="n"/>
      <c r="X138" s="477" t="n"/>
      <c r="Y138" s="477" t="n"/>
      <c r="Z138" s="477" t="n"/>
    </row>
    <row r="139" ht="15.75" customHeight="1">
      <c r="A139" s="1334" t="n"/>
      <c r="B139" s="494" t="n"/>
      <c r="C139" s="492" t="n"/>
      <c r="D139" s="492" t="n"/>
      <c r="E139" s="492" t="n"/>
      <c r="F139" s="492" t="n"/>
      <c r="G139" s="495" t="n"/>
      <c r="H139" s="496" t="n"/>
      <c r="I139" s="497" t="n"/>
      <c r="J139" s="498" t="n"/>
      <c r="K139" s="498" t="n"/>
      <c r="L139" s="498" t="n"/>
      <c r="M139" s="498" t="n"/>
      <c r="N139" s="492" t="n"/>
      <c r="O139" s="492" t="n"/>
      <c r="P139" s="477" t="n"/>
      <c r="Q139" s="477" t="n"/>
      <c r="R139" s="477" t="n"/>
      <c r="S139" s="477" t="n"/>
      <c r="T139" s="477" t="n"/>
      <c r="U139" s="477" t="n"/>
      <c r="V139" s="477" t="n"/>
      <c r="W139" s="477" t="n"/>
      <c r="X139" s="477" t="n"/>
      <c r="Y139" s="477" t="n"/>
      <c r="Z139" s="477" t="n"/>
    </row>
    <row r="140" ht="15.75" customHeight="1">
      <c r="A140" s="1334" t="n"/>
      <c r="B140" s="494" t="n"/>
      <c r="C140" s="492" t="n"/>
      <c r="D140" s="492" t="n"/>
      <c r="E140" s="492" t="n"/>
      <c r="F140" s="492" t="n"/>
      <c r="G140" s="495" t="n"/>
      <c r="H140" s="496" t="n"/>
      <c r="I140" s="497" t="n"/>
      <c r="J140" s="498" t="n"/>
      <c r="K140" s="498" t="n"/>
      <c r="L140" s="498" t="n"/>
      <c r="M140" s="498" t="n"/>
      <c r="N140" s="492" t="n"/>
      <c r="O140" s="492" t="n"/>
      <c r="P140" s="477" t="n"/>
      <c r="Q140" s="477" t="n"/>
      <c r="R140" s="477" t="n"/>
      <c r="S140" s="477" t="n"/>
      <c r="T140" s="477" t="n"/>
      <c r="U140" s="477" t="n"/>
      <c r="V140" s="477" t="n"/>
      <c r="W140" s="477" t="n"/>
      <c r="X140" s="477" t="n"/>
      <c r="Y140" s="477" t="n"/>
      <c r="Z140" s="477" t="n"/>
    </row>
    <row r="141" ht="15.75" customHeight="1">
      <c r="A141" s="1334" t="n"/>
      <c r="B141" s="494" t="n"/>
      <c r="C141" s="492" t="n"/>
      <c r="D141" s="492" t="n"/>
      <c r="E141" s="492" t="n"/>
      <c r="F141" s="492" t="n"/>
      <c r="G141" s="495" t="n"/>
      <c r="H141" s="496" t="n"/>
      <c r="I141" s="497" t="n"/>
      <c r="J141" s="498" t="n"/>
      <c r="K141" s="498" t="n"/>
      <c r="L141" s="498" t="n"/>
      <c r="M141" s="498" t="n"/>
      <c r="N141" s="492" t="n"/>
      <c r="O141" s="492" t="n"/>
      <c r="P141" s="477" t="n"/>
      <c r="Q141" s="477" t="n"/>
      <c r="R141" s="477" t="n"/>
      <c r="S141" s="477" t="n"/>
      <c r="T141" s="477" t="n"/>
      <c r="U141" s="477" t="n"/>
      <c r="V141" s="477" t="n"/>
      <c r="W141" s="477" t="n"/>
      <c r="X141" s="477" t="n"/>
      <c r="Y141" s="477" t="n"/>
      <c r="Z141" s="477" t="n"/>
    </row>
    <row r="142" ht="15.75" customHeight="1">
      <c r="A142" s="1334" t="n"/>
      <c r="B142" s="494" t="n"/>
      <c r="C142" s="492" t="n"/>
      <c r="D142" s="492" t="n"/>
      <c r="E142" s="492" t="n"/>
      <c r="F142" s="492" t="n"/>
      <c r="G142" s="495" t="n"/>
      <c r="H142" s="496" t="n"/>
      <c r="I142" s="497" t="n"/>
      <c r="J142" s="498" t="n"/>
      <c r="K142" s="498" t="n"/>
      <c r="L142" s="498" t="n"/>
      <c r="M142" s="498" t="n"/>
      <c r="N142" s="492" t="n"/>
      <c r="O142" s="492" t="n"/>
      <c r="P142" s="477" t="n"/>
      <c r="Q142" s="477" t="n"/>
      <c r="R142" s="477" t="n"/>
      <c r="S142" s="477" t="n"/>
      <c r="T142" s="477" t="n"/>
      <c r="U142" s="477" t="n"/>
      <c r="V142" s="477" t="n"/>
      <c r="W142" s="477" t="n"/>
      <c r="X142" s="477" t="n"/>
      <c r="Y142" s="477" t="n"/>
      <c r="Z142" s="477" t="n"/>
    </row>
    <row r="143" ht="15.75" customHeight="1">
      <c r="A143" s="1334" t="n"/>
      <c r="B143" s="494" t="n"/>
      <c r="C143" s="492" t="n"/>
      <c r="D143" s="492" t="n"/>
      <c r="E143" s="492" t="n"/>
      <c r="F143" s="492" t="n"/>
      <c r="G143" s="495" t="n"/>
      <c r="H143" s="496" t="n"/>
      <c r="I143" s="497" t="n"/>
      <c r="J143" s="498" t="n"/>
      <c r="K143" s="498" t="n"/>
      <c r="L143" s="498" t="n"/>
      <c r="M143" s="498" t="n"/>
      <c r="N143" s="492" t="n"/>
      <c r="O143" s="492" t="n"/>
      <c r="P143" s="477" t="n"/>
      <c r="Q143" s="477" t="n"/>
      <c r="R143" s="477" t="n"/>
      <c r="S143" s="477" t="n"/>
      <c r="T143" s="477" t="n"/>
      <c r="U143" s="477" t="n"/>
      <c r="V143" s="477" t="n"/>
      <c r="W143" s="477" t="n"/>
      <c r="X143" s="477" t="n"/>
      <c r="Y143" s="477" t="n"/>
      <c r="Z143" s="477" t="n"/>
    </row>
    <row r="144" ht="15.75" customHeight="1">
      <c r="A144" s="1334" t="n"/>
      <c r="B144" s="494" t="n"/>
      <c r="C144" s="492" t="n"/>
      <c r="D144" s="492" t="n"/>
      <c r="E144" s="492" t="n"/>
      <c r="F144" s="492" t="n"/>
      <c r="G144" s="495" t="n"/>
      <c r="H144" s="496" t="n"/>
      <c r="I144" s="497" t="n"/>
      <c r="J144" s="498" t="n"/>
      <c r="K144" s="498" t="n"/>
      <c r="L144" s="498" t="n"/>
      <c r="M144" s="498" t="n"/>
      <c r="N144" s="492" t="n"/>
      <c r="O144" s="492" t="n"/>
      <c r="P144" s="477" t="n"/>
      <c r="Q144" s="477" t="n"/>
      <c r="R144" s="477" t="n"/>
      <c r="S144" s="477" t="n"/>
      <c r="T144" s="477" t="n"/>
      <c r="U144" s="477" t="n"/>
      <c r="V144" s="477" t="n"/>
      <c r="W144" s="477" t="n"/>
      <c r="X144" s="477" t="n"/>
      <c r="Y144" s="477" t="n"/>
      <c r="Z144" s="477" t="n"/>
    </row>
    <row r="145" ht="22.5" customHeight="1">
      <c r="A145" s="1334" t="n"/>
      <c r="B145" s="494" t="n"/>
      <c r="C145" s="492" t="n"/>
      <c r="D145" s="492" t="n"/>
      <c r="E145" s="492" t="n"/>
      <c r="F145" s="492" t="n"/>
      <c r="G145" s="495" t="n"/>
      <c r="H145" s="501" t="n"/>
      <c r="I145" s="497" t="n"/>
      <c r="J145" s="498" t="n"/>
      <c r="K145" s="498" t="n"/>
      <c r="L145" s="498" t="n"/>
      <c r="M145" s="498" t="n"/>
      <c r="N145" s="495" t="n"/>
      <c r="O145" s="492" t="n"/>
      <c r="P145" s="477" t="n"/>
      <c r="Q145" s="477" t="n"/>
      <c r="R145" s="477" t="n"/>
      <c r="S145" s="477" t="n"/>
      <c r="T145" s="477" t="n"/>
      <c r="U145" s="477" t="n"/>
      <c r="V145" s="477" t="n"/>
      <c r="W145" s="477" t="n"/>
      <c r="X145" s="477" t="n"/>
      <c r="Y145" s="477" t="n"/>
      <c r="Z145" s="477" t="n"/>
    </row>
    <row r="146" ht="57" customHeight="1">
      <c r="A146" s="1334" t="n"/>
      <c r="B146" s="494" t="n"/>
      <c r="C146" s="492" t="n"/>
      <c r="D146" s="492" t="n"/>
      <c r="E146" s="492" t="n"/>
      <c r="F146" s="492" t="n"/>
      <c r="G146" s="495" t="n"/>
      <c r="H146" s="501" t="n"/>
      <c r="I146" s="497" t="n"/>
      <c r="J146" s="498" t="n"/>
      <c r="K146" s="498" t="n"/>
      <c r="L146" s="498" t="n"/>
      <c r="M146" s="498" t="n"/>
      <c r="N146" s="495" t="n"/>
      <c r="O146" s="492" t="n"/>
      <c r="P146" s="477" t="n"/>
      <c r="Q146" s="477" t="n"/>
      <c r="R146" s="477" t="n"/>
      <c r="S146" s="477" t="n"/>
      <c r="T146" s="477" t="n"/>
      <c r="U146" s="477" t="n"/>
      <c r="V146" s="477" t="n"/>
      <c r="W146" s="477" t="n"/>
      <c r="X146" s="477" t="n"/>
      <c r="Y146" s="477" t="n"/>
      <c r="Z146" s="477" t="n"/>
    </row>
    <row r="147" ht="15.75" customHeight="1">
      <c r="A147" s="1334" t="n"/>
      <c r="B147" s="494" t="n"/>
      <c r="C147" s="492" t="n"/>
      <c r="D147" s="492" t="n"/>
      <c r="E147" s="492" t="n"/>
      <c r="F147" s="492" t="n"/>
      <c r="G147" s="495" t="n"/>
      <c r="H147" s="501" t="n"/>
      <c r="I147" s="497" t="n"/>
      <c r="J147" s="498" t="n"/>
      <c r="K147" s="498" t="n"/>
      <c r="L147" s="498" t="n"/>
      <c r="M147" s="498" t="n"/>
      <c r="N147" s="495" t="n"/>
      <c r="O147" s="492" t="n"/>
      <c r="P147" s="477" t="n"/>
      <c r="Q147" s="477" t="n"/>
      <c r="R147" s="477" t="n"/>
      <c r="S147" s="477" t="n"/>
      <c r="T147" s="477" t="n"/>
      <c r="U147" s="477" t="n"/>
      <c r="V147" s="477" t="n"/>
      <c r="W147" s="477" t="n"/>
      <c r="X147" s="477" t="n"/>
      <c r="Y147" s="477" t="n"/>
      <c r="Z147" s="477" t="n"/>
    </row>
    <row r="148" ht="15.75" customHeight="1">
      <c r="A148" s="1334" t="n"/>
      <c r="B148" s="494" t="n"/>
      <c r="C148" s="492" t="n"/>
      <c r="D148" s="492" t="n"/>
      <c r="E148" s="492" t="n"/>
      <c r="F148" s="492" t="n"/>
      <c r="G148" s="495" t="n"/>
      <c r="H148" s="501" t="n"/>
      <c r="I148" s="497" t="n"/>
      <c r="J148" s="498" t="n"/>
      <c r="K148" s="498" t="n"/>
      <c r="L148" s="498" t="n"/>
      <c r="M148" s="498" t="n"/>
      <c r="N148" s="495" t="n"/>
      <c r="O148" s="492" t="n"/>
      <c r="P148" s="477" t="n"/>
      <c r="Q148" s="477" t="n"/>
      <c r="R148" s="477" t="n"/>
      <c r="S148" s="477" t="n"/>
      <c r="T148" s="477" t="n"/>
      <c r="U148" s="477" t="n"/>
      <c r="V148" s="477" t="n"/>
      <c r="W148" s="477" t="n"/>
      <c r="X148" s="477" t="n"/>
      <c r="Y148" s="477" t="n"/>
      <c r="Z148" s="477" t="n"/>
    </row>
    <row r="149" ht="15.75" customHeight="1">
      <c r="A149" s="1334" t="n"/>
      <c r="B149" s="494" t="n"/>
      <c r="C149" s="492" t="n"/>
      <c r="D149" s="492" t="n"/>
      <c r="E149" s="492" t="n"/>
      <c r="F149" s="492" t="n"/>
      <c r="G149" s="492" t="n"/>
      <c r="H149" s="496" t="n"/>
      <c r="I149" s="497" t="n"/>
      <c r="J149" s="498" t="n"/>
      <c r="K149" s="498" t="n"/>
      <c r="L149" s="498" t="n"/>
      <c r="M149" s="498" t="n"/>
      <c r="N149" s="495" t="n"/>
      <c r="O149" s="492" t="n"/>
      <c r="P149" s="477" t="n"/>
      <c r="Q149" s="477" t="n"/>
      <c r="R149" s="477" t="n"/>
      <c r="S149" s="477" t="n"/>
      <c r="T149" s="477" t="n"/>
      <c r="U149" s="477" t="n"/>
      <c r="V149" s="477" t="n"/>
      <c r="W149" s="477" t="n"/>
      <c r="X149" s="477" t="n"/>
      <c r="Y149" s="477" t="n"/>
      <c r="Z149" s="477" t="n"/>
    </row>
    <row r="150" ht="15.75" customHeight="1">
      <c r="A150" s="1334" t="n"/>
      <c r="B150" s="494" t="n"/>
      <c r="C150" s="492" t="n"/>
      <c r="D150" s="492" t="n"/>
      <c r="E150" s="492" t="n"/>
      <c r="F150" s="492" t="n"/>
      <c r="G150" s="492" t="n"/>
      <c r="H150" s="496" t="n"/>
      <c r="I150" s="497" t="n"/>
      <c r="J150" s="498" t="n"/>
      <c r="K150" s="498" t="n"/>
      <c r="L150" s="498" t="n"/>
      <c r="M150" s="498" t="n"/>
      <c r="N150" s="495" t="n"/>
      <c r="O150" s="492" t="n"/>
      <c r="P150" s="477" t="n"/>
      <c r="Q150" s="477" t="n"/>
      <c r="R150" s="477" t="n"/>
      <c r="S150" s="477" t="n"/>
      <c r="T150" s="477" t="n"/>
      <c r="U150" s="477" t="n"/>
      <c r="V150" s="477" t="n"/>
      <c r="W150" s="477" t="n"/>
      <c r="X150" s="477" t="n"/>
      <c r="Y150" s="477" t="n"/>
      <c r="Z150" s="477" t="n"/>
    </row>
    <row r="151" ht="15.75" customHeight="1">
      <c r="A151" s="1334" t="n"/>
      <c r="B151" s="494" t="n"/>
      <c r="C151" s="492" t="n"/>
      <c r="D151" s="492" t="n"/>
      <c r="E151" s="492" t="n"/>
      <c r="F151" s="492" t="n"/>
      <c r="G151" s="495" t="n"/>
      <c r="H151" s="496" t="n"/>
      <c r="I151" s="497" t="n"/>
      <c r="J151" s="498" t="n"/>
      <c r="K151" s="498" t="n"/>
      <c r="L151" s="498" t="n"/>
      <c r="M151" s="498" t="n"/>
      <c r="N151" s="492" t="n"/>
      <c r="O151" s="492" t="n"/>
      <c r="P151" s="477" t="n"/>
      <c r="Q151" s="477" t="n"/>
      <c r="R151" s="477" t="n"/>
      <c r="S151" s="477" t="n"/>
      <c r="T151" s="477" t="n"/>
      <c r="U151" s="477" t="n"/>
      <c r="V151" s="477" t="n"/>
      <c r="W151" s="477" t="n"/>
      <c r="X151" s="477" t="n"/>
      <c r="Y151" s="477" t="n"/>
      <c r="Z151" s="477" t="n"/>
    </row>
    <row r="152" ht="15.75" customHeight="1">
      <c r="A152" s="1334" t="n"/>
      <c r="B152" s="494" t="n"/>
      <c r="C152" s="492" t="n"/>
      <c r="D152" s="492" t="n"/>
      <c r="E152" s="492" t="n"/>
      <c r="F152" s="492" t="n"/>
      <c r="G152" s="495" t="n"/>
      <c r="H152" s="496" t="n"/>
      <c r="I152" s="497" t="n"/>
      <c r="J152" s="498" t="n"/>
      <c r="K152" s="498" t="n"/>
      <c r="L152" s="498" t="n"/>
      <c r="M152" s="498" t="n"/>
      <c r="N152" s="503" t="n"/>
      <c r="O152" s="492" t="n"/>
      <c r="P152" s="477" t="n"/>
      <c r="Q152" s="477" t="n"/>
      <c r="R152" s="477" t="n"/>
      <c r="S152" s="477" t="n"/>
      <c r="T152" s="477" t="n"/>
      <c r="U152" s="477" t="n"/>
      <c r="V152" s="477" t="n"/>
      <c r="W152" s="477" t="n"/>
      <c r="X152" s="477" t="n"/>
      <c r="Y152" s="477" t="n"/>
      <c r="Z152" s="477" t="n"/>
    </row>
    <row r="153" ht="15.75" customHeight="1">
      <c r="A153" s="1334" t="n"/>
      <c r="B153" s="494" t="n"/>
      <c r="C153" s="492" t="n"/>
      <c r="D153" s="492" t="n"/>
      <c r="E153" s="492" t="n"/>
      <c r="F153" s="492" t="n"/>
      <c r="G153" s="495" t="n"/>
      <c r="H153" s="496" t="n"/>
      <c r="I153" s="497" t="n"/>
      <c r="J153" s="498" t="n"/>
      <c r="K153" s="498" t="n"/>
      <c r="L153" s="498" t="n"/>
      <c r="M153" s="498" t="n"/>
      <c r="N153" s="503" t="n"/>
      <c r="O153" s="492" t="n"/>
      <c r="P153" s="477" t="n"/>
      <c r="Q153" s="477" t="n"/>
      <c r="R153" s="477" t="n"/>
      <c r="S153" s="477" t="n"/>
      <c r="T153" s="477" t="n"/>
      <c r="U153" s="477" t="n"/>
      <c r="V153" s="477" t="n"/>
      <c r="W153" s="477" t="n"/>
      <c r="X153" s="477" t="n"/>
      <c r="Y153" s="477" t="n"/>
      <c r="Z153" s="477" t="n"/>
    </row>
    <row r="154" ht="15.75" customHeight="1">
      <c r="A154" s="1334" t="n"/>
      <c r="B154" s="494" t="n"/>
      <c r="C154" s="492" t="n"/>
      <c r="D154" s="492" t="n"/>
      <c r="E154" s="492" t="n"/>
      <c r="F154" s="492" t="n"/>
      <c r="G154" s="492" t="n"/>
      <c r="H154" s="496" t="n"/>
      <c r="I154" s="497" t="n"/>
      <c r="J154" s="498" t="n"/>
      <c r="K154" s="498" t="n"/>
      <c r="L154" s="498" t="n"/>
      <c r="M154" s="498" t="n"/>
      <c r="N154" s="503" t="n"/>
      <c r="O154" s="492" t="n"/>
      <c r="P154" s="477" t="n"/>
      <c r="Q154" s="477" t="n"/>
      <c r="R154" s="477" t="n"/>
      <c r="S154" s="477" t="n"/>
      <c r="T154" s="477" t="n"/>
      <c r="U154" s="477" t="n"/>
      <c r="V154" s="477" t="n"/>
      <c r="W154" s="477" t="n"/>
      <c r="X154" s="477" t="n"/>
      <c r="Y154" s="477" t="n"/>
      <c r="Z154" s="477" t="n"/>
    </row>
    <row r="155" ht="15.75" customHeight="1">
      <c r="A155" s="1334" t="n"/>
      <c r="B155" s="494" t="n"/>
      <c r="C155" s="492" t="n"/>
      <c r="D155" s="492" t="n"/>
      <c r="E155" s="492" t="n"/>
      <c r="F155" s="492" t="n"/>
      <c r="G155" s="495" t="n"/>
      <c r="H155" s="496" t="n"/>
      <c r="I155" s="497" t="n"/>
      <c r="J155" s="498" t="n"/>
      <c r="K155" s="498" t="n"/>
      <c r="L155" s="498" t="n"/>
      <c r="M155" s="498" t="n"/>
      <c r="N155" s="504" t="n"/>
      <c r="O155" s="492" t="n"/>
      <c r="P155" s="477" t="n"/>
      <c r="Q155" s="477" t="n"/>
      <c r="R155" s="477" t="n"/>
      <c r="S155" s="477" t="n"/>
      <c r="T155" s="477" t="n"/>
      <c r="U155" s="477" t="n"/>
      <c r="V155" s="477" t="n"/>
      <c r="W155" s="477" t="n"/>
      <c r="X155" s="477" t="n"/>
      <c r="Y155" s="477" t="n"/>
      <c r="Z155" s="477" t="n"/>
    </row>
    <row r="156" ht="15.75" customHeight="1">
      <c r="A156" s="1334" t="n"/>
      <c r="B156" s="494" t="n"/>
      <c r="C156" s="492" t="n"/>
      <c r="D156" s="492" t="n"/>
      <c r="E156" s="492" t="n"/>
      <c r="F156" s="492" t="n"/>
      <c r="G156" s="495" t="n"/>
      <c r="H156" s="496" t="n"/>
      <c r="I156" s="497" t="n"/>
      <c r="J156" s="498" t="n"/>
      <c r="K156" s="498" t="n"/>
      <c r="L156" s="498" t="n"/>
      <c r="M156" s="498" t="n"/>
      <c r="N156" s="504" t="n"/>
      <c r="O156" s="492" t="n"/>
      <c r="P156" s="477" t="n"/>
      <c r="Q156" s="477" t="n"/>
      <c r="R156" s="477" t="n"/>
      <c r="S156" s="477" t="n"/>
      <c r="T156" s="477" t="n"/>
      <c r="U156" s="477" t="n"/>
      <c r="V156" s="477" t="n"/>
      <c r="W156" s="477" t="n"/>
      <c r="X156" s="477" t="n"/>
      <c r="Y156" s="477" t="n"/>
      <c r="Z156" s="477" t="n"/>
    </row>
    <row r="157" ht="15.75" customHeight="1">
      <c r="A157" s="1334" t="n"/>
      <c r="B157" s="494" t="n"/>
      <c r="C157" s="492" t="n"/>
      <c r="D157" s="492" t="n"/>
      <c r="E157" s="492" t="n"/>
      <c r="F157" s="492" t="n"/>
      <c r="G157" s="495" t="n"/>
      <c r="H157" s="496" t="n"/>
      <c r="I157" s="497" t="n"/>
      <c r="J157" s="498" t="n"/>
      <c r="K157" s="498" t="n"/>
      <c r="L157" s="498" t="n"/>
      <c r="M157" s="498" t="n"/>
      <c r="N157" s="504" t="n"/>
      <c r="O157" s="492" t="n"/>
      <c r="P157" s="477" t="n"/>
      <c r="Q157" s="477" t="n"/>
      <c r="R157" s="477" t="n"/>
      <c r="S157" s="477" t="n"/>
      <c r="T157" s="477" t="n"/>
      <c r="U157" s="477" t="n"/>
      <c r="V157" s="477" t="n"/>
      <c r="W157" s="477" t="n"/>
      <c r="X157" s="477" t="n"/>
      <c r="Y157" s="477" t="n"/>
      <c r="Z157" s="477" t="n"/>
    </row>
    <row r="158" ht="15.75" customHeight="1">
      <c r="A158" s="1334" t="n"/>
      <c r="B158" s="494" t="n"/>
      <c r="C158" s="492" t="n"/>
      <c r="D158" s="492" t="n"/>
      <c r="E158" s="492" t="n"/>
      <c r="F158" s="492" t="n"/>
      <c r="G158" s="495" t="n"/>
      <c r="H158" s="496" t="n"/>
      <c r="I158" s="497" t="n"/>
      <c r="J158" s="498" t="n"/>
      <c r="K158" s="498" t="n"/>
      <c r="L158" s="498" t="n"/>
      <c r="M158" s="498" t="n"/>
      <c r="N158" s="504" t="n"/>
      <c r="O158" s="492" t="n"/>
      <c r="P158" s="477" t="n"/>
      <c r="Q158" s="477" t="n"/>
      <c r="R158" s="477" t="n"/>
      <c r="S158" s="477" t="n"/>
      <c r="T158" s="477" t="n"/>
      <c r="U158" s="477" t="n"/>
      <c r="V158" s="477" t="n"/>
      <c r="W158" s="477" t="n"/>
      <c r="X158" s="477" t="n"/>
      <c r="Y158" s="477" t="n"/>
      <c r="Z158" s="477" t="n"/>
    </row>
    <row r="159" ht="15.75" customHeight="1">
      <c r="A159" s="1334" t="n"/>
      <c r="B159" s="494" t="n"/>
      <c r="C159" s="492" t="n"/>
      <c r="D159" s="492" t="n"/>
      <c r="E159" s="492" t="n"/>
      <c r="F159" s="492" t="n"/>
      <c r="G159" s="495" t="n"/>
      <c r="H159" s="496" t="n"/>
      <c r="I159" s="497" t="n"/>
      <c r="J159" s="498" t="n"/>
      <c r="K159" s="498" t="n"/>
      <c r="L159" s="498" t="n"/>
      <c r="M159" s="498" t="n"/>
      <c r="N159" s="504" t="n"/>
      <c r="O159" s="492" t="n"/>
      <c r="P159" s="477" t="n"/>
      <c r="Q159" s="477" t="n"/>
      <c r="R159" s="477" t="n"/>
      <c r="S159" s="477" t="n"/>
      <c r="T159" s="477" t="n"/>
      <c r="U159" s="477" t="n"/>
      <c r="V159" s="477" t="n"/>
      <c r="W159" s="477" t="n"/>
      <c r="X159" s="477" t="n"/>
      <c r="Y159" s="477" t="n"/>
      <c r="Z159" s="477" t="n"/>
    </row>
    <row r="160" ht="15.75" customHeight="1">
      <c r="A160" s="1334" t="n"/>
      <c r="B160" s="494" t="n"/>
      <c r="C160" s="492" t="n"/>
      <c r="D160" s="492" t="n"/>
      <c r="E160" s="492" t="n"/>
      <c r="F160" s="492" t="n"/>
      <c r="G160" s="492" t="n"/>
      <c r="H160" s="496" t="n"/>
      <c r="I160" s="497" t="n"/>
      <c r="J160" s="498" t="n"/>
      <c r="K160" s="498" t="n"/>
      <c r="L160" s="498" t="n"/>
      <c r="M160" s="498" t="n"/>
      <c r="N160" s="492" t="n"/>
      <c r="O160" s="492" t="n"/>
      <c r="P160" s="477" t="n"/>
      <c r="Q160" s="477" t="n"/>
      <c r="R160" s="477" t="n"/>
      <c r="S160" s="477" t="n"/>
      <c r="T160" s="477" t="n"/>
      <c r="U160" s="477" t="n"/>
      <c r="V160" s="477" t="n"/>
      <c r="W160" s="477" t="n"/>
      <c r="X160" s="477" t="n"/>
      <c r="Y160" s="477" t="n"/>
      <c r="Z160" s="477" t="n"/>
    </row>
    <row r="161" ht="15.75" customHeight="1">
      <c r="A161" s="1334" t="n"/>
      <c r="B161" s="494" t="n"/>
      <c r="C161" s="492" t="n"/>
      <c r="D161" s="492" t="n"/>
      <c r="E161" s="492" t="n"/>
      <c r="F161" s="492" t="n"/>
      <c r="G161" s="495" t="n"/>
      <c r="H161" s="496" t="n"/>
      <c r="I161" s="497" t="n"/>
      <c r="J161" s="498" t="n"/>
      <c r="K161" s="498" t="n"/>
      <c r="L161" s="498" t="n"/>
      <c r="M161" s="498" t="n"/>
      <c r="N161" s="492" t="n"/>
      <c r="O161" s="492" t="n"/>
      <c r="P161" s="477" t="n"/>
      <c r="Q161" s="477" t="n"/>
      <c r="R161" s="477" t="n"/>
      <c r="S161" s="477" t="n"/>
      <c r="T161" s="477" t="n"/>
      <c r="U161" s="477" t="n"/>
      <c r="V161" s="477" t="n"/>
      <c r="W161" s="477" t="n"/>
      <c r="X161" s="477" t="n"/>
      <c r="Y161" s="477" t="n"/>
      <c r="Z161" s="477" t="n"/>
    </row>
    <row r="162" ht="15.75" customHeight="1">
      <c r="A162" s="1334" t="n"/>
      <c r="B162" s="494" t="n"/>
      <c r="C162" s="492" t="n"/>
      <c r="D162" s="492" t="n"/>
      <c r="E162" s="492" t="n"/>
      <c r="F162" s="492" t="n"/>
      <c r="G162" s="495" t="n"/>
      <c r="H162" s="496" t="n"/>
      <c r="I162" s="497" t="n"/>
      <c r="J162" s="498" t="n"/>
      <c r="K162" s="498" t="n"/>
      <c r="L162" s="498" t="n"/>
      <c r="M162" s="498" t="n"/>
      <c r="N162" s="492" t="n"/>
      <c r="O162" s="492" t="n"/>
      <c r="P162" s="477" t="n"/>
      <c r="Q162" s="477" t="n"/>
      <c r="R162" s="477" t="n"/>
      <c r="S162" s="477" t="n"/>
      <c r="T162" s="477" t="n"/>
      <c r="U162" s="477" t="n"/>
      <c r="V162" s="477" t="n"/>
      <c r="W162" s="477" t="n"/>
      <c r="X162" s="477" t="n"/>
      <c r="Y162" s="477" t="n"/>
      <c r="Z162" s="477" t="n"/>
    </row>
    <row r="163" ht="15.75" customHeight="1">
      <c r="A163" s="1334" t="n"/>
      <c r="B163" s="494" t="n"/>
      <c r="C163" s="492" t="n"/>
      <c r="D163" s="492" t="n"/>
      <c r="E163" s="492" t="n"/>
      <c r="F163" s="492" t="n"/>
      <c r="G163" s="495" t="n"/>
      <c r="H163" s="496" t="n"/>
      <c r="I163" s="497" t="n"/>
      <c r="J163" s="498" t="n"/>
      <c r="K163" s="498" t="n"/>
      <c r="L163" s="498" t="n"/>
      <c r="M163" s="498" t="n"/>
      <c r="N163" s="492" t="n"/>
      <c r="O163" s="492" t="n"/>
      <c r="P163" s="477" t="n"/>
      <c r="Q163" s="477" t="n"/>
      <c r="R163" s="477" t="n"/>
      <c r="S163" s="477" t="n"/>
      <c r="T163" s="477" t="n"/>
      <c r="U163" s="477" t="n"/>
      <c r="V163" s="477" t="n"/>
      <c r="W163" s="477" t="n"/>
      <c r="X163" s="477" t="n"/>
      <c r="Y163" s="477" t="n"/>
      <c r="Z163" s="477" t="n"/>
    </row>
    <row r="164" ht="15.75" customHeight="1">
      <c r="A164" s="1334" t="n"/>
      <c r="B164" s="494" t="n"/>
      <c r="C164" s="492" t="n"/>
      <c r="D164" s="492" t="n"/>
      <c r="E164" s="492" t="n"/>
      <c r="F164" s="492" t="n"/>
      <c r="G164" s="495" t="n"/>
      <c r="H164" s="496" t="n"/>
      <c r="I164" s="497" t="n"/>
      <c r="J164" s="498" t="n"/>
      <c r="K164" s="498" t="n"/>
      <c r="L164" s="498" t="n"/>
      <c r="M164" s="498" t="n"/>
      <c r="N164" s="492" t="n"/>
      <c r="O164" s="492" t="n"/>
      <c r="P164" s="477" t="n"/>
      <c r="Q164" s="477" t="n"/>
      <c r="R164" s="477" t="n"/>
      <c r="S164" s="477" t="n"/>
      <c r="T164" s="477" t="n"/>
      <c r="U164" s="477" t="n"/>
      <c r="V164" s="477" t="n"/>
      <c r="W164" s="477" t="n"/>
      <c r="X164" s="477" t="n"/>
      <c r="Y164" s="477" t="n"/>
      <c r="Z164" s="477" t="n"/>
    </row>
    <row r="165" ht="15.75" customHeight="1">
      <c r="A165" s="1334" t="n"/>
      <c r="B165" s="494" t="n"/>
      <c r="C165" s="492" t="n"/>
      <c r="D165" s="492" t="n"/>
      <c r="E165" s="492" t="n"/>
      <c r="F165" s="492" t="n"/>
      <c r="G165" s="492" t="n"/>
      <c r="H165" s="496" t="n"/>
      <c r="I165" s="497" t="n"/>
      <c r="J165" s="498" t="n"/>
      <c r="K165" s="498" t="n"/>
      <c r="L165" s="498" t="n"/>
      <c r="M165" s="498" t="n"/>
      <c r="N165" s="492" t="n"/>
      <c r="O165" s="492" t="n"/>
      <c r="P165" s="477" t="n"/>
      <c r="Q165" s="477" t="n"/>
      <c r="R165" s="477" t="n"/>
      <c r="S165" s="477" t="n"/>
      <c r="T165" s="477" t="n"/>
      <c r="U165" s="477" t="n"/>
      <c r="V165" s="477" t="n"/>
      <c r="W165" s="477" t="n"/>
      <c r="X165" s="477" t="n"/>
      <c r="Y165" s="477" t="n"/>
      <c r="Z165" s="477" t="n"/>
    </row>
    <row r="166" ht="15.75" customHeight="1">
      <c r="A166" s="1334" t="n"/>
      <c r="B166" s="494" t="n"/>
      <c r="C166" s="492" t="n"/>
      <c r="D166" s="492" t="n"/>
      <c r="E166" s="492" t="n"/>
      <c r="F166" s="492" t="n"/>
      <c r="G166" s="495" t="n"/>
      <c r="H166" s="496" t="n"/>
      <c r="I166" s="497" t="n"/>
      <c r="J166" s="498" t="n"/>
      <c r="K166" s="498" t="n"/>
      <c r="L166" s="498" t="n"/>
      <c r="M166" s="498" t="n"/>
      <c r="N166" s="492" t="n"/>
      <c r="O166" s="492" t="n"/>
      <c r="P166" s="477" t="n"/>
      <c r="Q166" s="477" t="n"/>
      <c r="R166" s="477" t="n"/>
      <c r="S166" s="477" t="n"/>
      <c r="T166" s="477" t="n"/>
      <c r="U166" s="477" t="n"/>
      <c r="V166" s="477" t="n"/>
      <c r="W166" s="477" t="n"/>
      <c r="X166" s="477" t="n"/>
      <c r="Y166" s="477" t="n"/>
      <c r="Z166" s="477" t="n"/>
    </row>
    <row r="167" ht="15.75" customHeight="1">
      <c r="A167" s="1334" t="n"/>
      <c r="B167" s="494" t="n"/>
      <c r="C167" s="492" t="n"/>
      <c r="D167" s="492" t="n"/>
      <c r="E167" s="492" t="n"/>
      <c r="F167" s="492" t="n"/>
      <c r="G167" s="495" t="n"/>
      <c r="H167" s="496" t="n"/>
      <c r="I167" s="497" t="n"/>
      <c r="J167" s="498" t="n"/>
      <c r="K167" s="498" t="n"/>
      <c r="L167" s="498" t="n"/>
      <c r="M167" s="498" t="n"/>
      <c r="N167" s="492" t="n"/>
      <c r="O167" s="492" t="n"/>
      <c r="P167" s="477" t="n"/>
      <c r="Q167" s="477" t="n"/>
      <c r="R167" s="477" t="n"/>
      <c r="S167" s="477" t="n"/>
      <c r="T167" s="477" t="n"/>
      <c r="U167" s="477" t="n"/>
      <c r="V167" s="477" t="n"/>
      <c r="W167" s="477" t="n"/>
      <c r="X167" s="477" t="n"/>
      <c r="Y167" s="477" t="n"/>
      <c r="Z167" s="477" t="n"/>
    </row>
    <row r="168" ht="15.75" customHeight="1">
      <c r="A168" s="1334" t="n"/>
      <c r="B168" s="494" t="n"/>
      <c r="C168" s="492" t="n"/>
      <c r="D168" s="492" t="n"/>
      <c r="E168" s="492" t="n"/>
      <c r="F168" s="492" t="n"/>
      <c r="G168" s="495" t="n"/>
      <c r="H168" s="496" t="n"/>
      <c r="I168" s="497" t="n"/>
      <c r="J168" s="498" t="n"/>
      <c r="K168" s="498" t="n"/>
      <c r="L168" s="498" t="n"/>
      <c r="M168" s="498" t="n"/>
      <c r="N168" s="492" t="n"/>
      <c r="O168" s="492" t="n"/>
      <c r="P168" s="477" t="n"/>
      <c r="Q168" s="477" t="n"/>
      <c r="R168" s="477" t="n"/>
      <c r="S168" s="477" t="n"/>
      <c r="T168" s="477" t="n"/>
      <c r="U168" s="477" t="n"/>
      <c r="V168" s="477" t="n"/>
      <c r="W168" s="477" t="n"/>
      <c r="X168" s="477" t="n"/>
      <c r="Y168" s="477" t="n"/>
      <c r="Z168" s="477" t="n"/>
    </row>
    <row r="169" ht="15.75" customHeight="1">
      <c r="A169" s="1334" t="n"/>
      <c r="B169" s="494" t="n"/>
      <c r="C169" s="492" t="n"/>
      <c r="D169" s="492" t="n"/>
      <c r="E169" s="492" t="n"/>
      <c r="F169" s="492" t="n"/>
      <c r="G169" s="495" t="n"/>
      <c r="H169" s="496" t="n"/>
      <c r="I169" s="497" t="n"/>
      <c r="J169" s="498" t="n"/>
      <c r="K169" s="498" t="n"/>
      <c r="L169" s="498" t="n"/>
      <c r="M169" s="498" t="n"/>
      <c r="N169" s="492" t="n"/>
      <c r="O169" s="492" t="n"/>
      <c r="P169" s="477" t="n"/>
      <c r="Q169" s="477" t="n"/>
      <c r="R169" s="477" t="n"/>
      <c r="S169" s="477" t="n"/>
      <c r="T169" s="477" t="n"/>
      <c r="U169" s="477" t="n"/>
      <c r="V169" s="477" t="n"/>
      <c r="W169" s="477" t="n"/>
      <c r="X169" s="477" t="n"/>
      <c r="Y169" s="477" t="n"/>
      <c r="Z169" s="477" t="n"/>
    </row>
    <row r="170" ht="15.75" customHeight="1">
      <c r="A170" s="1334" t="n"/>
      <c r="B170" s="494" t="n"/>
      <c r="C170" s="492" t="n"/>
      <c r="D170" s="492" t="n"/>
      <c r="E170" s="492" t="n"/>
      <c r="F170" s="492" t="n"/>
      <c r="G170" s="495" t="n"/>
      <c r="H170" s="496" t="n"/>
      <c r="I170" s="497" t="n"/>
      <c r="J170" s="498" t="n"/>
      <c r="K170" s="498" t="n"/>
      <c r="L170" s="498" t="n"/>
      <c r="M170" s="498" t="n"/>
      <c r="N170" s="492" t="n"/>
      <c r="O170" s="492" t="n"/>
      <c r="P170" s="477" t="n"/>
      <c r="Q170" s="477" t="n"/>
      <c r="R170" s="477" t="n"/>
      <c r="S170" s="477" t="n"/>
      <c r="T170" s="477" t="n"/>
      <c r="U170" s="477" t="n"/>
      <c r="V170" s="477" t="n"/>
      <c r="W170" s="477" t="n"/>
      <c r="X170" s="477" t="n"/>
      <c r="Y170" s="477" t="n"/>
      <c r="Z170" s="477" t="n"/>
    </row>
    <row r="171" ht="15.75" customHeight="1">
      <c r="A171" s="1334" t="n"/>
      <c r="B171" s="494" t="n"/>
      <c r="C171" s="492" t="n"/>
      <c r="D171" s="492" t="n"/>
      <c r="E171" s="492" t="n"/>
      <c r="F171" s="492" t="n"/>
      <c r="G171" s="495" t="n"/>
      <c r="H171" s="496" t="n"/>
      <c r="I171" s="497" t="n"/>
      <c r="J171" s="498" t="n"/>
      <c r="K171" s="498" t="n"/>
      <c r="L171" s="498" t="n"/>
      <c r="M171" s="498" t="n"/>
      <c r="N171" s="492" t="n"/>
      <c r="O171" s="492" t="n"/>
      <c r="P171" s="477" t="n"/>
      <c r="Q171" s="477" t="n"/>
      <c r="R171" s="477" t="n"/>
      <c r="S171" s="477" t="n"/>
      <c r="T171" s="477" t="n"/>
      <c r="U171" s="477" t="n"/>
      <c r="V171" s="477" t="n"/>
      <c r="W171" s="477" t="n"/>
      <c r="X171" s="477" t="n"/>
      <c r="Y171" s="477" t="n"/>
      <c r="Z171" s="477" t="n"/>
    </row>
    <row r="172" ht="15.75" customHeight="1">
      <c r="A172" s="1334" t="n"/>
      <c r="B172" s="494" t="n"/>
      <c r="C172" s="492" t="n"/>
      <c r="D172" s="492" t="n"/>
      <c r="E172" s="492" t="n"/>
      <c r="F172" s="492" t="n"/>
      <c r="G172" s="495" t="n"/>
      <c r="H172" s="496" t="n"/>
      <c r="I172" s="497" t="n"/>
      <c r="J172" s="498" t="n"/>
      <c r="K172" s="498" t="n"/>
      <c r="L172" s="498" t="n"/>
      <c r="M172" s="498" t="n"/>
      <c r="N172" s="492" t="n"/>
      <c r="O172" s="492" t="n"/>
      <c r="P172" s="477" t="n"/>
      <c r="Q172" s="477" t="n"/>
      <c r="R172" s="477" t="n"/>
      <c r="S172" s="477" t="n"/>
      <c r="T172" s="477" t="n"/>
      <c r="U172" s="477" t="n"/>
      <c r="V172" s="477" t="n"/>
      <c r="W172" s="477" t="n"/>
      <c r="X172" s="477" t="n"/>
      <c r="Y172" s="477" t="n"/>
      <c r="Z172" s="477" t="n"/>
    </row>
    <row r="173" ht="15.75" customHeight="1">
      <c r="A173" s="1334" t="n"/>
      <c r="B173" s="494" t="n"/>
      <c r="C173" s="492" t="n"/>
      <c r="D173" s="492" t="n"/>
      <c r="E173" s="492" t="n"/>
      <c r="F173" s="492" t="n"/>
      <c r="G173" s="492" t="n"/>
      <c r="H173" s="496" t="n"/>
      <c r="I173" s="497" t="n"/>
      <c r="J173" s="498" t="n"/>
      <c r="K173" s="498" t="n"/>
      <c r="L173" s="498" t="n"/>
      <c r="M173" s="498" t="n"/>
      <c r="N173" s="492" t="n"/>
      <c r="O173" s="492" t="n"/>
      <c r="P173" s="477" t="n"/>
      <c r="Q173" s="477" t="n"/>
      <c r="R173" s="477" t="n"/>
      <c r="S173" s="477" t="n"/>
      <c r="T173" s="477" t="n"/>
      <c r="U173" s="477" t="n"/>
      <c r="V173" s="477" t="n"/>
      <c r="W173" s="477" t="n"/>
      <c r="X173" s="477" t="n"/>
      <c r="Y173" s="477" t="n"/>
      <c r="Z173" s="477" t="n"/>
    </row>
    <row r="174" ht="15.75" customHeight="1">
      <c r="A174" s="1334" t="n"/>
      <c r="B174" s="494" t="n"/>
      <c r="C174" s="492" t="n"/>
      <c r="D174" s="492" t="n"/>
      <c r="E174" s="492" t="n"/>
      <c r="F174" s="492" t="n"/>
      <c r="G174" s="495" t="n"/>
      <c r="H174" s="504" t="n"/>
      <c r="I174" s="497" t="n"/>
      <c r="J174" s="498" t="n"/>
      <c r="K174" s="498" t="n"/>
      <c r="L174" s="498" t="n"/>
      <c r="M174" s="498" t="n"/>
      <c r="N174" s="492" t="n"/>
      <c r="O174" s="492" t="n"/>
      <c r="P174" s="477" t="n"/>
      <c r="Q174" s="477" t="n"/>
      <c r="R174" s="477" t="n"/>
      <c r="S174" s="477" t="n"/>
      <c r="T174" s="477" t="n"/>
      <c r="U174" s="477" t="n"/>
      <c r="V174" s="477" t="n"/>
      <c r="W174" s="477" t="n"/>
      <c r="X174" s="477" t="n"/>
      <c r="Y174" s="477" t="n"/>
      <c r="Z174" s="477" t="n"/>
    </row>
    <row r="175" ht="15.75" customHeight="1">
      <c r="A175" s="1334" t="n"/>
      <c r="B175" s="494" t="n"/>
      <c r="C175" s="492" t="n"/>
      <c r="D175" s="492" t="n"/>
      <c r="E175" s="492" t="n"/>
      <c r="F175" s="492" t="n"/>
      <c r="G175" s="495" t="n"/>
      <c r="H175" s="504" t="n"/>
      <c r="I175" s="497" t="n"/>
      <c r="J175" s="498" t="n"/>
      <c r="K175" s="498" t="n"/>
      <c r="L175" s="498" t="n"/>
      <c r="M175" s="498" t="n"/>
      <c r="N175" s="492" t="n"/>
      <c r="O175" s="492" t="n"/>
      <c r="P175" s="477" t="n"/>
      <c r="Q175" s="477" t="n"/>
      <c r="R175" s="477" t="n"/>
      <c r="S175" s="477" t="n"/>
      <c r="T175" s="477" t="n"/>
      <c r="U175" s="477" t="n"/>
      <c r="V175" s="477" t="n"/>
      <c r="W175" s="477" t="n"/>
      <c r="X175" s="477" t="n"/>
      <c r="Y175" s="477" t="n"/>
      <c r="Z175" s="477" t="n"/>
    </row>
    <row r="176" ht="15.75" customHeight="1">
      <c r="A176" s="1334" t="n"/>
      <c r="B176" s="494" t="n"/>
      <c r="C176" s="492" t="n"/>
      <c r="D176" s="492" t="n"/>
      <c r="E176" s="492" t="n"/>
      <c r="F176" s="492" t="n"/>
      <c r="G176" s="495" t="n"/>
      <c r="H176" s="501" t="n"/>
      <c r="I176" s="497" t="n"/>
      <c r="J176" s="498" t="n"/>
      <c r="K176" s="498" t="n"/>
      <c r="L176" s="498" t="n"/>
      <c r="M176" s="498" t="n"/>
      <c r="N176" s="492" t="n"/>
      <c r="O176" s="492" t="n"/>
      <c r="P176" s="477" t="n"/>
      <c r="Q176" s="477" t="n"/>
      <c r="R176" s="477" t="n"/>
      <c r="S176" s="477" t="n"/>
      <c r="T176" s="477" t="n"/>
      <c r="U176" s="477" t="n"/>
      <c r="V176" s="477" t="n"/>
      <c r="W176" s="477" t="n"/>
      <c r="X176" s="477" t="n"/>
      <c r="Y176" s="477" t="n"/>
      <c r="Z176" s="477" t="n"/>
    </row>
    <row r="177" ht="15.75" customHeight="1">
      <c r="A177" s="1334" t="n"/>
      <c r="B177" s="494" t="n"/>
      <c r="C177" s="492" t="n"/>
      <c r="D177" s="492" t="n"/>
      <c r="E177" s="492" t="n"/>
      <c r="F177" s="492" t="n"/>
      <c r="G177" s="495" t="n"/>
      <c r="H177" s="501" t="n"/>
      <c r="I177" s="497" t="n"/>
      <c r="J177" s="498" t="n"/>
      <c r="K177" s="498" t="n"/>
      <c r="L177" s="498" t="n"/>
      <c r="M177" s="498" t="n"/>
      <c r="N177" s="492" t="n"/>
      <c r="O177" s="492" t="n"/>
      <c r="P177" s="477" t="n"/>
      <c r="Q177" s="477" t="n"/>
      <c r="R177" s="477" t="n"/>
      <c r="S177" s="477" t="n"/>
      <c r="T177" s="477" t="n"/>
      <c r="U177" s="477" t="n"/>
      <c r="V177" s="477" t="n"/>
      <c r="W177" s="477" t="n"/>
      <c r="X177" s="477" t="n"/>
      <c r="Y177" s="477" t="n"/>
      <c r="Z177" s="477" t="n"/>
    </row>
    <row r="178" ht="15.75" customHeight="1">
      <c r="A178" s="1334" t="n"/>
      <c r="B178" s="494" t="n"/>
      <c r="C178" s="492" t="n"/>
      <c r="D178" s="492" t="n"/>
      <c r="E178" s="492" t="n"/>
      <c r="F178" s="492" t="n"/>
      <c r="G178" s="495" t="n"/>
      <c r="H178" s="496" t="n"/>
      <c r="I178" s="497" t="n"/>
      <c r="J178" s="498" t="n"/>
      <c r="K178" s="498" t="n"/>
      <c r="L178" s="498" t="n"/>
      <c r="M178" s="498" t="n"/>
      <c r="N178" s="492" t="n"/>
      <c r="O178" s="492" t="n"/>
      <c r="P178" s="477" t="n"/>
      <c r="Q178" s="477" t="n"/>
      <c r="R178" s="477" t="n"/>
      <c r="S178" s="477" t="n"/>
      <c r="T178" s="477" t="n"/>
      <c r="U178" s="477" t="n"/>
      <c r="V178" s="477" t="n"/>
      <c r="W178" s="477" t="n"/>
      <c r="X178" s="477" t="n"/>
      <c r="Y178" s="477" t="n"/>
      <c r="Z178" s="477" t="n"/>
    </row>
    <row r="179" ht="15.75" customHeight="1">
      <c r="A179" s="1334" t="n"/>
      <c r="B179" s="494" t="n"/>
      <c r="C179" s="492" t="n"/>
      <c r="D179" s="492" t="n"/>
      <c r="E179" s="492" t="n"/>
      <c r="F179" s="492" t="n"/>
      <c r="G179" s="495" t="n"/>
      <c r="H179" s="496" t="n"/>
      <c r="I179" s="497" t="n"/>
      <c r="J179" s="498" t="n"/>
      <c r="K179" s="498" t="n"/>
      <c r="L179" s="498" t="n"/>
      <c r="M179" s="498" t="n"/>
      <c r="N179" s="492" t="n"/>
      <c r="O179" s="492" t="n"/>
      <c r="P179" s="477" t="n"/>
      <c r="Q179" s="477" t="n"/>
      <c r="R179" s="477" t="n"/>
      <c r="S179" s="477" t="n"/>
      <c r="T179" s="477" t="n"/>
      <c r="U179" s="477" t="n"/>
      <c r="V179" s="477" t="n"/>
      <c r="W179" s="477" t="n"/>
      <c r="X179" s="477" t="n"/>
      <c r="Y179" s="477" t="n"/>
      <c r="Z179" s="477" t="n"/>
    </row>
    <row r="180" ht="15.75" customHeight="1">
      <c r="A180" s="1334" t="n"/>
      <c r="B180" s="494" t="n"/>
      <c r="C180" s="492" t="n"/>
      <c r="D180" s="492" t="n"/>
      <c r="E180" s="492" t="n"/>
      <c r="F180" s="492" t="n"/>
      <c r="G180" s="495" t="n"/>
      <c r="H180" s="496" t="n"/>
      <c r="I180" s="497" t="n"/>
      <c r="J180" s="498" t="n"/>
      <c r="K180" s="498" t="n"/>
      <c r="L180" s="498" t="n"/>
      <c r="M180" s="498" t="n"/>
      <c r="N180" s="492" t="n"/>
      <c r="O180" s="492" t="n"/>
      <c r="P180" s="477" t="n"/>
      <c r="Q180" s="477" t="n"/>
      <c r="R180" s="477" t="n"/>
      <c r="S180" s="477" t="n"/>
      <c r="T180" s="477" t="n"/>
      <c r="U180" s="477" t="n"/>
      <c r="V180" s="477" t="n"/>
      <c r="W180" s="477" t="n"/>
      <c r="X180" s="477" t="n"/>
      <c r="Y180" s="477" t="n"/>
      <c r="Z180" s="477" t="n"/>
    </row>
    <row r="181" ht="15.75" customHeight="1">
      <c r="A181" s="1334" t="n"/>
      <c r="B181" s="494" t="n"/>
      <c r="C181" s="492" t="n"/>
      <c r="D181" s="492" t="n"/>
      <c r="E181" s="492" t="n"/>
      <c r="F181" s="492" t="n"/>
      <c r="G181" s="504" t="n"/>
      <c r="H181" s="496" t="n"/>
      <c r="I181" s="497" t="n"/>
      <c r="J181" s="498" t="n"/>
      <c r="K181" s="498" t="n"/>
      <c r="L181" s="498" t="n"/>
      <c r="M181" s="498" t="n"/>
      <c r="N181" s="492" t="n"/>
      <c r="O181" s="492" t="n"/>
      <c r="P181" s="477" t="n"/>
      <c r="Q181" s="477" t="n"/>
      <c r="R181" s="477" t="n"/>
      <c r="S181" s="477" t="n"/>
      <c r="T181" s="477" t="n"/>
      <c r="U181" s="477" t="n"/>
      <c r="V181" s="477" t="n"/>
      <c r="W181" s="477" t="n"/>
      <c r="X181" s="477" t="n"/>
      <c r="Y181" s="477" t="n"/>
      <c r="Z181" s="477" t="n"/>
    </row>
    <row r="182" ht="15.75" customHeight="1">
      <c r="A182" s="1334" t="n"/>
      <c r="B182" s="494" t="n"/>
      <c r="C182" s="492" t="n"/>
      <c r="D182" s="492" t="n"/>
      <c r="E182" s="492" t="n"/>
      <c r="F182" s="492" t="n"/>
      <c r="G182" s="492" t="n"/>
      <c r="H182" s="496" t="n"/>
      <c r="I182" s="497" t="n"/>
      <c r="J182" s="498" t="n"/>
      <c r="K182" s="498" t="n"/>
      <c r="L182" s="498" t="n"/>
      <c r="M182" s="498" t="n"/>
      <c r="N182" s="492" t="n"/>
      <c r="O182" s="492" t="n"/>
      <c r="P182" s="477" t="n"/>
      <c r="Q182" s="477" t="n"/>
      <c r="R182" s="477" t="n"/>
      <c r="S182" s="477" t="n"/>
      <c r="T182" s="477" t="n"/>
      <c r="U182" s="477" t="n"/>
      <c r="V182" s="477" t="n"/>
      <c r="W182" s="477" t="n"/>
      <c r="X182" s="477" t="n"/>
      <c r="Y182" s="477" t="n"/>
      <c r="Z182" s="477" t="n"/>
    </row>
    <row r="183" ht="15.75" customHeight="1">
      <c r="A183" s="1334" t="n"/>
      <c r="B183" s="494" t="n"/>
      <c r="C183" s="492" t="n"/>
      <c r="D183" s="504" t="n"/>
      <c r="E183" s="492" t="n"/>
      <c r="F183" s="492" t="n"/>
      <c r="G183" s="492" t="n"/>
      <c r="H183" s="496" t="n"/>
      <c r="I183" s="497" t="n"/>
      <c r="J183" s="498" t="n"/>
      <c r="K183" s="498" t="n"/>
      <c r="L183" s="498" t="n"/>
      <c r="M183" s="498" t="n"/>
      <c r="N183" s="492" t="n"/>
      <c r="O183" s="492" t="n"/>
      <c r="P183" s="477" t="n"/>
      <c r="Q183" s="477" t="n"/>
      <c r="R183" s="477" t="n"/>
      <c r="S183" s="477" t="n"/>
      <c r="T183" s="477" t="n"/>
      <c r="U183" s="477" t="n"/>
      <c r="V183" s="477" t="n"/>
      <c r="W183" s="477" t="n"/>
      <c r="X183" s="477" t="n"/>
      <c r="Y183" s="477" t="n"/>
      <c r="Z183" s="477" t="n"/>
    </row>
    <row r="184" ht="15.75" customHeight="1">
      <c r="A184" s="1334" t="n"/>
      <c r="B184" s="494" t="n"/>
      <c r="C184" s="492" t="n"/>
      <c r="D184" s="504" t="n"/>
      <c r="E184" s="492" t="n"/>
      <c r="F184" s="492" t="n"/>
      <c r="G184" s="492" t="n"/>
      <c r="H184" s="496" t="n"/>
      <c r="I184" s="497" t="n"/>
      <c r="J184" s="498" t="n"/>
      <c r="K184" s="498" t="n"/>
      <c r="L184" s="498" t="n"/>
      <c r="M184" s="498" t="n"/>
      <c r="N184" s="504" t="n"/>
      <c r="O184" s="492" t="n"/>
      <c r="P184" s="477" t="n"/>
      <c r="Q184" s="477" t="n"/>
      <c r="R184" s="477" t="n"/>
      <c r="S184" s="477" t="n"/>
      <c r="T184" s="477" t="n"/>
      <c r="U184" s="477" t="n"/>
      <c r="V184" s="477" t="n"/>
      <c r="W184" s="477" t="n"/>
      <c r="X184" s="477" t="n"/>
      <c r="Y184" s="477" t="n"/>
      <c r="Z184" s="477" t="n"/>
    </row>
    <row r="185" ht="15.75" customHeight="1">
      <c r="A185" s="1334" t="n"/>
      <c r="B185" s="494" t="n"/>
      <c r="C185" s="492" t="n"/>
      <c r="D185" s="504" t="n"/>
      <c r="E185" s="492" t="n"/>
      <c r="F185" s="492" t="n"/>
      <c r="G185" s="492" t="n"/>
      <c r="H185" s="496" t="n"/>
      <c r="I185" s="497" t="n"/>
      <c r="J185" s="498" t="n"/>
      <c r="K185" s="498" t="n"/>
      <c r="L185" s="498" t="n"/>
      <c r="M185" s="498" t="n"/>
      <c r="N185" s="504" t="n"/>
      <c r="O185" s="492" t="n"/>
      <c r="P185" s="477" t="n"/>
      <c r="Q185" s="477" t="n"/>
      <c r="R185" s="477" t="n"/>
      <c r="S185" s="477" t="n"/>
      <c r="T185" s="477" t="n"/>
      <c r="U185" s="477" t="n"/>
      <c r="V185" s="477" t="n"/>
      <c r="W185" s="477" t="n"/>
      <c r="X185" s="477" t="n"/>
      <c r="Y185" s="477" t="n"/>
      <c r="Z185" s="477" t="n"/>
    </row>
    <row r="186" ht="15.75" customHeight="1">
      <c r="A186" s="1334" t="n"/>
      <c r="B186" s="494" t="n"/>
      <c r="C186" s="492" t="n"/>
      <c r="D186" s="504" t="n"/>
      <c r="E186" s="492" t="n"/>
      <c r="F186" s="492" t="n"/>
      <c r="G186" s="492" t="n"/>
      <c r="H186" s="496" t="n"/>
      <c r="I186" s="497" t="n"/>
      <c r="J186" s="498" t="n"/>
      <c r="K186" s="498" t="n"/>
      <c r="L186" s="498" t="n"/>
      <c r="M186" s="498" t="n"/>
      <c r="N186" s="504" t="n"/>
      <c r="O186" s="492" t="n"/>
      <c r="P186" s="477" t="n"/>
      <c r="Q186" s="477" t="n"/>
      <c r="R186" s="477" t="n"/>
      <c r="S186" s="477" t="n"/>
      <c r="T186" s="477" t="n"/>
      <c r="U186" s="477" t="n"/>
      <c r="V186" s="477" t="n"/>
      <c r="W186" s="477" t="n"/>
      <c r="X186" s="477" t="n"/>
      <c r="Y186" s="477" t="n"/>
      <c r="Z186" s="477" t="n"/>
    </row>
    <row r="187" ht="15.75" customHeight="1">
      <c r="A187" s="1334" t="n"/>
      <c r="B187" s="494" t="n"/>
      <c r="C187" s="492" t="n"/>
      <c r="D187" s="504" t="n"/>
      <c r="E187" s="492" t="n"/>
      <c r="F187" s="492" t="n"/>
      <c r="G187" s="492" t="n"/>
      <c r="H187" s="496" t="n"/>
      <c r="I187" s="497" t="n"/>
      <c r="J187" s="498" t="n"/>
      <c r="K187" s="498" t="n"/>
      <c r="L187" s="498" t="n"/>
      <c r="M187" s="498" t="n"/>
      <c r="N187" s="504" t="n"/>
      <c r="O187" s="492" t="n"/>
      <c r="P187" s="477" t="n"/>
      <c r="Q187" s="477" t="n"/>
      <c r="R187" s="477" t="n"/>
      <c r="S187" s="477" t="n"/>
      <c r="T187" s="477" t="n"/>
      <c r="U187" s="477" t="n"/>
      <c r="V187" s="477" t="n"/>
      <c r="W187" s="477" t="n"/>
      <c r="X187" s="477" t="n"/>
      <c r="Y187" s="477" t="n"/>
      <c r="Z187" s="477" t="n"/>
    </row>
    <row r="188" ht="15.75" customHeight="1">
      <c r="A188" s="1334" t="n"/>
      <c r="B188" s="494" t="n"/>
      <c r="C188" s="492" t="n"/>
      <c r="D188" s="504" t="n"/>
      <c r="E188" s="492" t="n"/>
      <c r="F188" s="492" t="n"/>
      <c r="G188" s="492" t="n"/>
      <c r="H188" s="496" t="n"/>
      <c r="I188" s="497" t="n"/>
      <c r="J188" s="498" t="n"/>
      <c r="K188" s="498" t="n"/>
      <c r="L188" s="498" t="n"/>
      <c r="M188" s="498" t="n"/>
      <c r="N188" s="492" t="n"/>
      <c r="O188" s="492" t="n"/>
      <c r="P188" s="477" t="n"/>
      <c r="Q188" s="477" t="n"/>
      <c r="R188" s="477" t="n"/>
      <c r="S188" s="477" t="n"/>
      <c r="T188" s="477" t="n"/>
      <c r="U188" s="477" t="n"/>
      <c r="V188" s="477" t="n"/>
      <c r="W188" s="477" t="n"/>
      <c r="X188" s="477" t="n"/>
      <c r="Y188" s="477" t="n"/>
      <c r="Z188" s="477" t="n"/>
    </row>
    <row r="189" ht="15.75" customHeight="1">
      <c r="A189" s="1334" t="n"/>
      <c r="B189" s="494" t="n"/>
      <c r="C189" s="492" t="n"/>
      <c r="D189" s="492" t="n"/>
      <c r="E189" s="492" t="n"/>
      <c r="F189" s="492" t="n"/>
      <c r="G189" s="492" t="n"/>
      <c r="H189" s="496" t="n"/>
      <c r="I189" s="497" t="n"/>
      <c r="J189" s="498" t="n"/>
      <c r="K189" s="498" t="n"/>
      <c r="L189" s="498" t="n"/>
      <c r="M189" s="498" t="n"/>
      <c r="N189" s="492" t="n"/>
      <c r="O189" s="492" t="n"/>
      <c r="P189" s="477" t="n"/>
      <c r="Q189" s="477" t="n"/>
      <c r="R189" s="477" t="n"/>
      <c r="S189" s="477" t="n"/>
      <c r="T189" s="477" t="n"/>
      <c r="U189" s="477" t="n"/>
      <c r="V189" s="477" t="n"/>
      <c r="W189" s="477" t="n"/>
      <c r="X189" s="477" t="n"/>
      <c r="Y189" s="477" t="n"/>
      <c r="Z189" s="477" t="n"/>
    </row>
    <row r="190" ht="15.75" customHeight="1">
      <c r="A190" s="1334" t="n"/>
      <c r="B190" s="494" t="n"/>
      <c r="C190" s="492" t="n"/>
      <c r="D190" s="504" t="n"/>
      <c r="E190" s="492" t="n"/>
      <c r="F190" s="492" t="n"/>
      <c r="G190" s="492" t="n"/>
      <c r="H190" s="496" t="n"/>
      <c r="I190" s="497" t="n"/>
      <c r="J190" s="498" t="n"/>
      <c r="K190" s="498" t="n"/>
      <c r="L190" s="498" t="n"/>
      <c r="M190" s="498" t="n"/>
      <c r="N190" s="492" t="n"/>
      <c r="O190" s="492" t="n"/>
      <c r="P190" s="477" t="n"/>
      <c r="Q190" s="477" t="n"/>
      <c r="R190" s="477" t="n"/>
      <c r="S190" s="477" t="n"/>
      <c r="T190" s="477" t="n"/>
      <c r="U190" s="477" t="n"/>
      <c r="V190" s="477" t="n"/>
      <c r="W190" s="477" t="n"/>
      <c r="X190" s="477" t="n"/>
      <c r="Y190" s="477" t="n"/>
      <c r="Z190" s="477" t="n"/>
    </row>
    <row r="191" ht="15.75" customHeight="1">
      <c r="A191" s="1334" t="n"/>
      <c r="B191" s="494" t="n"/>
      <c r="C191" s="492" t="n"/>
      <c r="D191" s="492" t="n"/>
      <c r="E191" s="492" t="n"/>
      <c r="F191" s="492" t="n"/>
      <c r="G191" s="492" t="n"/>
      <c r="H191" s="496" t="n"/>
      <c r="I191" s="497" t="n"/>
      <c r="J191" s="498" t="n"/>
      <c r="K191" s="498" t="n"/>
      <c r="L191" s="498" t="n"/>
      <c r="M191" s="498" t="n"/>
      <c r="N191" s="492" t="n"/>
      <c r="O191" s="492" t="n"/>
      <c r="P191" s="477" t="n"/>
      <c r="Q191" s="477" t="n"/>
      <c r="R191" s="477" t="n"/>
      <c r="S191" s="477" t="n"/>
      <c r="T191" s="477" t="n"/>
      <c r="U191" s="477" t="n"/>
      <c r="V191" s="477" t="n"/>
      <c r="W191" s="477" t="n"/>
      <c r="X191" s="477" t="n"/>
      <c r="Y191" s="477" t="n"/>
      <c r="Z191" s="477" t="n"/>
    </row>
    <row r="192" ht="15.75" customHeight="1">
      <c r="A192" s="1334" t="n"/>
      <c r="B192" s="494" t="n"/>
      <c r="C192" s="492" t="n"/>
      <c r="D192" s="492" t="n"/>
      <c r="E192" s="492" t="n"/>
      <c r="F192" s="492" t="n"/>
      <c r="G192" s="492" t="n"/>
      <c r="H192" s="496" t="n"/>
      <c r="I192" s="497" t="n"/>
      <c r="J192" s="498" t="n"/>
      <c r="K192" s="498" t="n"/>
      <c r="L192" s="498" t="n"/>
      <c r="M192" s="498" t="n"/>
      <c r="N192" s="492" t="n"/>
      <c r="O192" s="492" t="n"/>
      <c r="P192" s="477" t="n"/>
      <c r="Q192" s="477" t="n"/>
      <c r="R192" s="477" t="n"/>
      <c r="S192" s="477" t="n"/>
      <c r="T192" s="477" t="n"/>
      <c r="U192" s="477" t="n"/>
      <c r="V192" s="477" t="n"/>
      <c r="W192" s="477" t="n"/>
      <c r="X192" s="477" t="n"/>
      <c r="Y192" s="477" t="n"/>
      <c r="Z192" s="477" t="n"/>
    </row>
    <row r="193" ht="15.75" customHeight="1">
      <c r="A193" s="1334" t="n"/>
      <c r="B193" s="494" t="n"/>
      <c r="C193" s="492" t="n"/>
      <c r="D193" s="492" t="n"/>
      <c r="E193" s="492" t="n"/>
      <c r="F193" s="492" t="n"/>
      <c r="G193" s="492" t="n"/>
      <c r="H193" s="496" t="n"/>
      <c r="I193" s="497" t="n"/>
      <c r="J193" s="498" t="n"/>
      <c r="K193" s="498" t="n"/>
      <c r="L193" s="498" t="n"/>
      <c r="M193" s="498" t="n"/>
      <c r="N193" s="492" t="n"/>
      <c r="O193" s="492" t="n"/>
      <c r="P193" s="477" t="n"/>
      <c r="Q193" s="477" t="n"/>
      <c r="R193" s="477" t="n"/>
      <c r="S193" s="477" t="n"/>
      <c r="T193" s="477" t="n"/>
      <c r="U193" s="477" t="n"/>
      <c r="V193" s="477" t="n"/>
      <c r="W193" s="477" t="n"/>
      <c r="X193" s="477" t="n"/>
      <c r="Y193" s="477" t="n"/>
      <c r="Z193" s="477" t="n"/>
    </row>
    <row r="194" ht="15.75" customHeight="1">
      <c r="A194" s="1334" t="n"/>
      <c r="B194" s="494" t="n"/>
      <c r="C194" s="492" t="n"/>
      <c r="D194" s="504" t="n"/>
      <c r="E194" s="492" t="n"/>
      <c r="F194" s="492" t="n"/>
      <c r="G194" s="492" t="n"/>
      <c r="H194" s="496" t="n"/>
      <c r="I194" s="497" t="n"/>
      <c r="J194" s="498" t="n"/>
      <c r="K194" s="498" t="n"/>
      <c r="L194" s="498" t="n"/>
      <c r="M194" s="498" t="n"/>
      <c r="N194" s="492" t="n"/>
      <c r="O194" s="492" t="n"/>
      <c r="P194" s="477" t="n"/>
      <c r="Q194" s="477" t="n"/>
      <c r="R194" s="477" t="n"/>
      <c r="S194" s="477" t="n"/>
      <c r="T194" s="477" t="n"/>
      <c r="U194" s="477" t="n"/>
      <c r="V194" s="477" t="n"/>
      <c r="W194" s="477" t="n"/>
      <c r="X194" s="477" t="n"/>
      <c r="Y194" s="477" t="n"/>
      <c r="Z194" s="477" t="n"/>
    </row>
    <row r="195" ht="15.75" customHeight="1">
      <c r="A195" s="1334" t="n"/>
      <c r="B195" s="494" t="n"/>
      <c r="C195" s="492" t="n"/>
      <c r="D195" s="492" t="n"/>
      <c r="E195" s="492" t="n"/>
      <c r="F195" s="492" t="n"/>
      <c r="G195" s="492" t="n"/>
      <c r="H195" s="496" t="n"/>
      <c r="I195" s="497" t="n"/>
      <c r="J195" s="498" t="n"/>
      <c r="K195" s="498" t="n"/>
      <c r="L195" s="498" t="n"/>
      <c r="M195" s="498" t="n"/>
      <c r="N195" s="504" t="n"/>
      <c r="O195" s="492" t="n"/>
      <c r="P195" s="477" t="n"/>
      <c r="Q195" s="477" t="n"/>
      <c r="R195" s="477" t="n"/>
      <c r="S195" s="477" t="n"/>
      <c r="T195" s="477" t="n"/>
      <c r="U195" s="477" t="n"/>
      <c r="V195" s="477" t="n"/>
      <c r="W195" s="477" t="n"/>
      <c r="X195" s="477" t="n"/>
      <c r="Y195" s="477" t="n"/>
      <c r="Z195" s="477" t="n"/>
    </row>
    <row r="196" ht="15.75" customHeight="1">
      <c r="A196" s="1334" t="n"/>
      <c r="B196" s="494" t="n"/>
      <c r="C196" s="492" t="n"/>
      <c r="D196" s="492" t="n"/>
      <c r="E196" s="492" t="n"/>
      <c r="F196" s="492" t="n"/>
      <c r="G196" s="492" t="n"/>
      <c r="H196" s="496" t="n"/>
      <c r="I196" s="497" t="n"/>
      <c r="J196" s="498" t="n"/>
      <c r="K196" s="498" t="n"/>
      <c r="L196" s="498" t="n"/>
      <c r="M196" s="498" t="n"/>
      <c r="N196" s="504" t="n"/>
      <c r="O196" s="492" t="n"/>
      <c r="P196" s="477" t="n"/>
      <c r="Q196" s="477" t="n"/>
      <c r="R196" s="477" t="n"/>
      <c r="S196" s="477" t="n"/>
      <c r="T196" s="477" t="n"/>
      <c r="U196" s="477" t="n"/>
      <c r="V196" s="477" t="n"/>
      <c r="W196" s="477" t="n"/>
      <c r="X196" s="477" t="n"/>
      <c r="Y196" s="477" t="n"/>
      <c r="Z196" s="477" t="n"/>
    </row>
    <row r="197" ht="15.75" customHeight="1">
      <c r="A197" s="1334" t="n"/>
      <c r="B197" s="494" t="n"/>
      <c r="C197" s="492" t="n"/>
      <c r="D197" s="492" t="n"/>
      <c r="E197" s="492" t="n"/>
      <c r="F197" s="492" t="n"/>
      <c r="G197" s="492" t="n"/>
      <c r="H197" s="496" t="n"/>
      <c r="I197" s="497" t="n"/>
      <c r="J197" s="498" t="n"/>
      <c r="K197" s="498" t="n"/>
      <c r="L197" s="498" t="n"/>
      <c r="M197" s="498" t="n"/>
      <c r="N197" s="504" t="n"/>
      <c r="O197" s="492" t="n"/>
      <c r="P197" s="477" t="n"/>
      <c r="Q197" s="477" t="n"/>
      <c r="R197" s="477" t="n"/>
      <c r="S197" s="477" t="n"/>
      <c r="T197" s="477" t="n"/>
      <c r="U197" s="477" t="n"/>
      <c r="V197" s="477" t="n"/>
      <c r="W197" s="477" t="n"/>
      <c r="X197" s="477" t="n"/>
      <c r="Y197" s="477" t="n"/>
      <c r="Z197" s="477" t="n"/>
    </row>
    <row r="198" ht="15.75" customHeight="1">
      <c r="A198" s="1334" t="n"/>
      <c r="B198" s="494" t="n"/>
      <c r="C198" s="492" t="n"/>
      <c r="D198" s="492" t="n"/>
      <c r="E198" s="492" t="n"/>
      <c r="F198" s="492" t="n"/>
      <c r="G198" s="492" t="n"/>
      <c r="H198" s="496" t="n"/>
      <c r="I198" s="497" t="n"/>
      <c r="J198" s="498" t="n"/>
      <c r="K198" s="498" t="n"/>
      <c r="L198" s="498" t="n"/>
      <c r="M198" s="498" t="n"/>
      <c r="N198" s="504" t="n"/>
      <c r="O198" s="492" t="n"/>
      <c r="P198" s="477" t="n"/>
      <c r="Q198" s="477" t="n"/>
      <c r="R198" s="477" t="n"/>
      <c r="S198" s="477" t="n"/>
      <c r="T198" s="477" t="n"/>
      <c r="U198" s="477" t="n"/>
      <c r="V198" s="477" t="n"/>
      <c r="W198" s="477" t="n"/>
      <c r="X198" s="477" t="n"/>
      <c r="Y198" s="477" t="n"/>
      <c r="Z198" s="477" t="n"/>
    </row>
    <row r="199" ht="15.75" customHeight="1">
      <c r="A199" s="1334" t="n"/>
      <c r="B199" s="494" t="n"/>
      <c r="C199" s="492" t="n"/>
      <c r="D199" s="492" t="n"/>
      <c r="E199" s="492" t="n"/>
      <c r="F199" s="492" t="n"/>
      <c r="G199" s="492" t="n"/>
      <c r="H199" s="496" t="n"/>
      <c r="I199" s="497" t="n"/>
      <c r="J199" s="498" t="n"/>
      <c r="K199" s="498" t="n"/>
      <c r="L199" s="498" t="n"/>
      <c r="M199" s="498" t="n"/>
      <c r="N199" s="492" t="n"/>
      <c r="O199" s="492" t="n"/>
      <c r="P199" s="477" t="n"/>
      <c r="Q199" s="477" t="n"/>
      <c r="R199" s="477" t="n"/>
      <c r="S199" s="477" t="n"/>
      <c r="T199" s="477" t="n"/>
      <c r="U199" s="477" t="n"/>
      <c r="V199" s="477" t="n"/>
      <c r="W199" s="477" t="n"/>
      <c r="X199" s="477" t="n"/>
      <c r="Y199" s="477" t="n"/>
      <c r="Z199" s="477" t="n"/>
    </row>
    <row r="200" ht="15.75" customHeight="1">
      <c r="A200" s="1334" t="n"/>
      <c r="B200" s="494" t="n"/>
      <c r="C200" s="492" t="n"/>
      <c r="D200" s="492" t="n"/>
      <c r="E200" s="492" t="n"/>
      <c r="F200" s="492" t="n"/>
      <c r="G200" s="492" t="n"/>
      <c r="H200" s="496" t="n"/>
      <c r="I200" s="497" t="n"/>
      <c r="J200" s="498" t="n"/>
      <c r="K200" s="498" t="n"/>
      <c r="L200" s="498" t="n"/>
      <c r="M200" s="498" t="n"/>
      <c r="N200" s="504" t="n"/>
      <c r="O200" s="492" t="n"/>
      <c r="P200" s="477" t="n"/>
      <c r="Q200" s="477" t="n"/>
      <c r="R200" s="477" t="n"/>
      <c r="S200" s="477" t="n"/>
      <c r="T200" s="477" t="n"/>
      <c r="U200" s="477" t="n"/>
      <c r="V200" s="477" t="n"/>
      <c r="W200" s="477" t="n"/>
      <c r="X200" s="477" t="n"/>
      <c r="Y200" s="477" t="n"/>
      <c r="Z200" s="477" t="n"/>
    </row>
    <row r="201" ht="15.75" customHeight="1">
      <c r="A201" s="1334" t="n"/>
      <c r="B201" s="494" t="n"/>
      <c r="C201" s="492" t="n"/>
      <c r="D201" s="492" t="n"/>
      <c r="E201" s="492" t="n"/>
      <c r="F201" s="492" t="n"/>
      <c r="G201" s="492" t="n"/>
      <c r="H201" s="496" t="n"/>
      <c r="I201" s="497" t="n"/>
      <c r="J201" s="498" t="n"/>
      <c r="K201" s="498" t="n"/>
      <c r="L201" s="498" t="n"/>
      <c r="M201" s="498" t="n"/>
      <c r="N201" s="504" t="n"/>
      <c r="O201" s="492" t="n"/>
      <c r="P201" s="477" t="n"/>
      <c r="Q201" s="477" t="n"/>
      <c r="R201" s="477" t="n"/>
      <c r="S201" s="477" t="n"/>
      <c r="T201" s="477" t="n"/>
      <c r="U201" s="477" t="n"/>
      <c r="V201" s="477" t="n"/>
      <c r="W201" s="477" t="n"/>
      <c r="X201" s="477" t="n"/>
      <c r="Y201" s="477" t="n"/>
      <c r="Z201" s="477" t="n"/>
    </row>
    <row r="202" ht="15.75" customHeight="1">
      <c r="A202" s="1334" t="n"/>
      <c r="B202" s="494" t="n"/>
      <c r="C202" s="492" t="n"/>
      <c r="D202" s="492" t="n"/>
      <c r="E202" s="492" t="n"/>
      <c r="F202" s="492" t="n"/>
      <c r="G202" s="492" t="n"/>
      <c r="H202" s="496" t="n"/>
      <c r="I202" s="497" t="n"/>
      <c r="J202" s="498" t="n"/>
      <c r="K202" s="498" t="n"/>
      <c r="L202" s="498" t="n"/>
      <c r="M202" s="498" t="n"/>
      <c r="N202" s="504" t="n"/>
      <c r="O202" s="492" t="n"/>
      <c r="P202" s="477" t="n"/>
      <c r="Q202" s="477" t="n"/>
      <c r="R202" s="477" t="n"/>
      <c r="S202" s="477" t="n"/>
      <c r="T202" s="477" t="n"/>
      <c r="U202" s="477" t="n"/>
      <c r="V202" s="477" t="n"/>
      <c r="W202" s="477" t="n"/>
      <c r="X202" s="477" t="n"/>
      <c r="Y202" s="477" t="n"/>
      <c r="Z202" s="477" t="n"/>
    </row>
    <row r="203" ht="15.75" customHeight="1">
      <c r="A203" s="1334" t="n"/>
      <c r="B203" s="494" t="n"/>
      <c r="C203" s="492" t="n"/>
      <c r="D203" s="492" t="n"/>
      <c r="E203" s="492" t="n"/>
      <c r="F203" s="492" t="n"/>
      <c r="G203" s="492" t="n"/>
      <c r="H203" s="496" t="n"/>
      <c r="I203" s="497" t="n"/>
      <c r="J203" s="498" t="n"/>
      <c r="K203" s="498" t="n"/>
      <c r="L203" s="498" t="n"/>
      <c r="M203" s="498" t="n"/>
      <c r="N203" s="492" t="n"/>
      <c r="O203" s="492" t="n"/>
      <c r="P203" s="477" t="n"/>
      <c r="Q203" s="477" t="n"/>
      <c r="R203" s="477" t="n"/>
      <c r="S203" s="477" t="n"/>
      <c r="T203" s="477" t="n"/>
      <c r="U203" s="477" t="n"/>
      <c r="V203" s="477" t="n"/>
      <c r="W203" s="477" t="n"/>
      <c r="X203" s="477" t="n"/>
      <c r="Y203" s="477" t="n"/>
      <c r="Z203" s="477" t="n"/>
    </row>
    <row r="204" ht="15.75" customHeight="1">
      <c r="A204" s="1334" t="n"/>
      <c r="B204" s="494" t="n"/>
      <c r="C204" s="492" t="n"/>
      <c r="D204" s="492" t="n"/>
      <c r="E204" s="492" t="n"/>
      <c r="F204" s="492" t="n"/>
      <c r="G204" s="492" t="n"/>
      <c r="H204" s="496" t="n"/>
      <c r="I204" s="497" t="n"/>
      <c r="J204" s="498" t="n"/>
      <c r="K204" s="498" t="n"/>
      <c r="L204" s="498" t="n"/>
      <c r="M204" s="498" t="n"/>
      <c r="N204" s="503" t="n"/>
      <c r="O204" s="492" t="n"/>
      <c r="P204" s="477" t="n"/>
      <c r="Q204" s="477" t="n"/>
      <c r="R204" s="477" t="n"/>
      <c r="S204" s="477" t="n"/>
      <c r="T204" s="477" t="n"/>
      <c r="U204" s="477" t="n"/>
      <c r="V204" s="477" t="n"/>
      <c r="W204" s="477" t="n"/>
      <c r="X204" s="477" t="n"/>
      <c r="Y204" s="477" t="n"/>
      <c r="Z204" s="477" t="n"/>
    </row>
    <row r="205" ht="15.75" customHeight="1">
      <c r="A205" s="1334" t="n"/>
      <c r="B205" s="494" t="n"/>
      <c r="C205" s="492" t="n"/>
      <c r="D205" s="492" t="n"/>
      <c r="E205" s="492" t="n"/>
      <c r="F205" s="492" t="n"/>
      <c r="G205" s="492" t="n"/>
      <c r="H205" s="496" t="n"/>
      <c r="I205" s="497" t="n"/>
      <c r="J205" s="498" t="n"/>
      <c r="K205" s="498" t="n"/>
      <c r="L205" s="498" t="n"/>
      <c r="M205" s="498" t="n"/>
      <c r="N205" s="503" t="n"/>
      <c r="O205" s="492" t="n"/>
      <c r="P205" s="477" t="n"/>
      <c r="Q205" s="477" t="n"/>
      <c r="R205" s="477" t="n"/>
      <c r="S205" s="477" t="n"/>
      <c r="T205" s="477" t="n"/>
      <c r="U205" s="477" t="n"/>
      <c r="V205" s="477" t="n"/>
      <c r="W205" s="477" t="n"/>
      <c r="X205" s="477" t="n"/>
      <c r="Y205" s="477" t="n"/>
      <c r="Z205" s="477" t="n"/>
    </row>
    <row r="206" ht="15.75" customHeight="1">
      <c r="A206" s="1334" t="n"/>
      <c r="B206" s="494" t="n"/>
      <c r="C206" s="492" t="n"/>
      <c r="D206" s="492" t="n"/>
      <c r="E206" s="492" t="n"/>
      <c r="F206" s="492" t="n"/>
      <c r="G206" s="492" t="n"/>
      <c r="H206" s="496" t="n"/>
      <c r="I206" s="497" t="n"/>
      <c r="J206" s="498" t="n"/>
      <c r="K206" s="498" t="n"/>
      <c r="L206" s="498" t="n"/>
      <c r="M206" s="498" t="n"/>
      <c r="N206" s="503" t="n"/>
      <c r="O206" s="492" t="n"/>
      <c r="P206" s="477" t="n"/>
      <c r="Q206" s="477" t="n"/>
      <c r="R206" s="477" t="n"/>
      <c r="S206" s="477" t="n"/>
      <c r="T206" s="477" t="n"/>
      <c r="U206" s="477" t="n"/>
      <c r="V206" s="477" t="n"/>
      <c r="W206" s="477" t="n"/>
      <c r="X206" s="477" t="n"/>
      <c r="Y206" s="477" t="n"/>
      <c r="Z206" s="477" t="n"/>
    </row>
    <row r="207" ht="15.75" customHeight="1">
      <c r="A207" s="1334" t="n"/>
      <c r="B207" s="494" t="n"/>
      <c r="C207" s="492" t="n"/>
      <c r="D207" s="492" t="n"/>
      <c r="E207" s="492" t="n"/>
      <c r="F207" s="492" t="n"/>
      <c r="G207" s="492" t="n"/>
      <c r="H207" s="496" t="n"/>
      <c r="I207" s="497" t="n"/>
      <c r="J207" s="498" t="n"/>
      <c r="K207" s="498" t="n"/>
      <c r="L207" s="498" t="n"/>
      <c r="M207" s="498" t="n"/>
      <c r="N207" s="503" t="n"/>
      <c r="O207" s="492" t="n"/>
      <c r="P207" s="477" t="n"/>
      <c r="Q207" s="477" t="n"/>
      <c r="R207" s="477" t="n"/>
      <c r="S207" s="477" t="n"/>
      <c r="T207" s="477" t="n"/>
      <c r="U207" s="477" t="n"/>
      <c r="V207" s="477" t="n"/>
      <c r="W207" s="477" t="n"/>
      <c r="X207" s="477" t="n"/>
      <c r="Y207" s="477" t="n"/>
      <c r="Z207" s="477" t="n"/>
    </row>
    <row r="208" ht="15.75" customHeight="1">
      <c r="A208" s="1334" t="n"/>
      <c r="B208" s="494" t="n"/>
      <c r="C208" s="492" t="n"/>
      <c r="D208" s="492" t="n"/>
      <c r="E208" s="492" t="n"/>
      <c r="F208" s="492" t="n"/>
      <c r="G208" s="492" t="n"/>
      <c r="H208" s="496" t="n"/>
      <c r="I208" s="497" t="n"/>
      <c r="J208" s="498" t="n"/>
      <c r="K208" s="498" t="n"/>
      <c r="L208" s="498" t="n"/>
      <c r="M208" s="498" t="n"/>
      <c r="N208" s="503" t="n"/>
      <c r="O208" s="492" t="n"/>
      <c r="P208" s="477" t="n"/>
      <c r="Q208" s="477" t="n"/>
      <c r="R208" s="477" t="n"/>
      <c r="S208" s="477" t="n"/>
      <c r="T208" s="477" t="n"/>
      <c r="U208" s="477" t="n"/>
      <c r="V208" s="477" t="n"/>
      <c r="W208" s="477" t="n"/>
      <c r="X208" s="477" t="n"/>
      <c r="Y208" s="477" t="n"/>
      <c r="Z208" s="477" t="n"/>
    </row>
    <row r="209" ht="15.75" customHeight="1">
      <c r="A209" s="1334" t="n"/>
      <c r="B209" s="494" t="n"/>
      <c r="C209" s="492" t="n"/>
      <c r="D209" s="492" t="n"/>
      <c r="E209" s="492" t="n"/>
      <c r="F209" s="492" t="n"/>
      <c r="G209" s="492" t="n"/>
      <c r="H209" s="496" t="n"/>
      <c r="I209" s="497" t="n"/>
      <c r="J209" s="498" t="n"/>
      <c r="K209" s="498" t="n"/>
      <c r="L209" s="498" t="n"/>
      <c r="M209" s="498" t="n"/>
      <c r="N209" s="503" t="n"/>
      <c r="O209" s="492" t="n"/>
      <c r="P209" s="477" t="n"/>
      <c r="Q209" s="477" t="n"/>
      <c r="R209" s="477" t="n"/>
      <c r="S209" s="477" t="n"/>
      <c r="T209" s="477" t="n"/>
      <c r="U209" s="477" t="n"/>
      <c r="V209" s="477" t="n"/>
      <c r="W209" s="477" t="n"/>
      <c r="X209" s="477" t="n"/>
      <c r="Y209" s="477" t="n"/>
      <c r="Z209" s="477" t="n"/>
    </row>
    <row r="210" ht="15.75" customHeight="1">
      <c r="A210" s="1334" t="n"/>
      <c r="B210" s="494" t="n"/>
      <c r="C210" s="492" t="n"/>
      <c r="D210" s="492" t="n"/>
      <c r="E210" s="492" t="n"/>
      <c r="F210" s="492" t="n"/>
      <c r="G210" s="492" t="n"/>
      <c r="H210" s="496" t="n"/>
      <c r="I210" s="497" t="n"/>
      <c r="J210" s="498" t="n"/>
      <c r="K210" s="498" t="n"/>
      <c r="L210" s="498" t="n"/>
      <c r="M210" s="498" t="n"/>
      <c r="N210" s="492" t="n"/>
      <c r="O210" s="492" t="n"/>
      <c r="P210" s="477" t="n"/>
      <c r="Q210" s="477" t="n"/>
      <c r="R210" s="477" t="n"/>
      <c r="S210" s="477" t="n"/>
      <c r="T210" s="477" t="n"/>
      <c r="U210" s="477" t="n"/>
      <c r="V210" s="477" t="n"/>
      <c r="W210" s="477" t="n"/>
      <c r="X210" s="477" t="n"/>
      <c r="Y210" s="477" t="n"/>
      <c r="Z210" s="477" t="n"/>
    </row>
    <row r="211" ht="15.75" customHeight="1">
      <c r="A211" s="1334" t="n"/>
      <c r="B211" s="494" t="n"/>
      <c r="C211" s="492" t="n"/>
      <c r="D211" s="492" t="n"/>
      <c r="E211" s="492" t="n"/>
      <c r="F211" s="492" t="n"/>
      <c r="G211" s="492" t="n"/>
      <c r="H211" s="496" t="n"/>
      <c r="I211" s="497" t="n"/>
      <c r="J211" s="498" t="n"/>
      <c r="K211" s="498" t="n"/>
      <c r="L211" s="498" t="n"/>
      <c r="M211" s="498" t="n"/>
      <c r="N211" s="503" t="n"/>
      <c r="O211" s="492" t="n"/>
      <c r="P211" s="477" t="n"/>
      <c r="Q211" s="477" t="n"/>
      <c r="R211" s="477" t="n"/>
      <c r="S211" s="477" t="n"/>
      <c r="T211" s="477" t="n"/>
      <c r="U211" s="477" t="n"/>
      <c r="V211" s="477" t="n"/>
      <c r="W211" s="477" t="n"/>
      <c r="X211" s="477" t="n"/>
      <c r="Y211" s="477" t="n"/>
      <c r="Z211" s="477" t="n"/>
    </row>
    <row r="212" ht="15.75" customHeight="1">
      <c r="A212" s="1334" t="n"/>
      <c r="B212" s="494" t="n"/>
      <c r="C212" s="492" t="n"/>
      <c r="D212" s="492" t="n"/>
      <c r="E212" s="492" t="n"/>
      <c r="F212" s="492" t="n"/>
      <c r="G212" s="492" t="n"/>
      <c r="H212" s="496" t="n"/>
      <c r="I212" s="497" t="n"/>
      <c r="J212" s="498" t="n"/>
      <c r="K212" s="498" t="n"/>
      <c r="L212" s="498" t="n"/>
      <c r="M212" s="498" t="n"/>
      <c r="N212" s="503" t="n"/>
      <c r="O212" s="492" t="n"/>
      <c r="P212" s="477" t="n"/>
      <c r="Q212" s="477" t="n"/>
      <c r="R212" s="477" t="n"/>
      <c r="S212" s="477" t="n"/>
      <c r="T212" s="477" t="n"/>
      <c r="U212" s="477" t="n"/>
      <c r="V212" s="477" t="n"/>
      <c r="W212" s="477" t="n"/>
      <c r="X212" s="477" t="n"/>
      <c r="Y212" s="477" t="n"/>
      <c r="Z212" s="477" t="n"/>
    </row>
    <row r="213" ht="15.75" customHeight="1">
      <c r="A213" s="1334" t="n"/>
      <c r="B213" s="494" t="n"/>
      <c r="C213" s="492" t="n"/>
      <c r="D213" s="492" t="n"/>
      <c r="E213" s="492" t="n"/>
      <c r="F213" s="492" t="n"/>
      <c r="G213" s="492" t="n"/>
      <c r="H213" s="496" t="n"/>
      <c r="I213" s="497" t="n"/>
      <c r="J213" s="498" t="n"/>
      <c r="K213" s="498" t="n"/>
      <c r="L213" s="498" t="n"/>
      <c r="M213" s="498" t="n"/>
      <c r="N213" s="503" t="n"/>
      <c r="O213" s="492" t="n"/>
      <c r="P213" s="477" t="n"/>
      <c r="Q213" s="477" t="n"/>
      <c r="R213" s="477" t="n"/>
      <c r="S213" s="477" t="n"/>
      <c r="T213" s="477" t="n"/>
      <c r="U213" s="477" t="n"/>
      <c r="V213" s="477" t="n"/>
      <c r="W213" s="477" t="n"/>
      <c r="X213" s="477" t="n"/>
      <c r="Y213" s="477" t="n"/>
      <c r="Z213" s="477" t="n"/>
    </row>
    <row r="214" ht="15.75" customHeight="1">
      <c r="A214" s="1334" t="n"/>
      <c r="B214" s="494" t="n"/>
      <c r="C214" s="492" t="n"/>
      <c r="D214" s="492" t="n"/>
      <c r="E214" s="492" t="n"/>
      <c r="F214" s="492" t="n"/>
      <c r="G214" s="492" t="n"/>
      <c r="H214" s="496" t="n"/>
      <c r="I214" s="497" t="n"/>
      <c r="J214" s="498" t="n"/>
      <c r="K214" s="498" t="n"/>
      <c r="L214" s="498" t="n"/>
      <c r="M214" s="498" t="n"/>
      <c r="N214" s="492" t="n"/>
      <c r="O214" s="492" t="n"/>
      <c r="P214" s="477" t="n"/>
      <c r="Q214" s="477" t="n"/>
      <c r="R214" s="477" t="n"/>
      <c r="S214" s="477" t="n"/>
      <c r="T214" s="477" t="n"/>
      <c r="U214" s="477" t="n"/>
      <c r="V214" s="477" t="n"/>
      <c r="W214" s="477" t="n"/>
      <c r="X214" s="477" t="n"/>
      <c r="Y214" s="477" t="n"/>
      <c r="Z214" s="477" t="n"/>
    </row>
    <row r="215" ht="15.75" customHeight="1">
      <c r="A215" s="477" t="n"/>
      <c r="B215" s="477" t="n"/>
      <c r="C215" s="477" t="n"/>
      <c r="D215" s="477" t="n"/>
      <c r="E215" s="477" t="n"/>
      <c r="F215" s="477" t="n"/>
      <c r="G215" s="477" t="n"/>
      <c r="H215" s="505" t="n"/>
      <c r="I215" s="477" t="n"/>
      <c r="J215" s="477" t="n"/>
      <c r="K215" s="477" t="n"/>
      <c r="L215" s="477" t="n"/>
      <c r="M215" s="477" t="n"/>
      <c r="N215" s="477" t="n"/>
      <c r="O215" s="477" t="n"/>
      <c r="P215" s="477" t="n"/>
      <c r="Q215" s="477" t="n"/>
      <c r="R215" s="477" t="n"/>
      <c r="S215" s="477" t="n"/>
      <c r="T215" s="477" t="n"/>
      <c r="U215" s="477" t="n"/>
      <c r="V215" s="477" t="n"/>
      <c r="W215" s="477" t="n"/>
      <c r="X215" s="477" t="n"/>
      <c r="Y215" s="477" t="n"/>
      <c r="Z215" s="477" t="n"/>
    </row>
    <row r="216" ht="15.75" customHeight="1">
      <c r="A216" s="477" t="n"/>
      <c r="B216" s="477" t="n"/>
      <c r="C216" s="477" t="n"/>
      <c r="D216" s="477" t="n"/>
      <c r="E216" s="477" t="n"/>
      <c r="F216" s="477" t="n"/>
      <c r="G216" s="477" t="n"/>
      <c r="H216" s="505" t="n"/>
      <c r="I216" s="477" t="n"/>
      <c r="J216" s="477" t="n"/>
      <c r="K216" s="477" t="n"/>
      <c r="L216" s="477" t="n"/>
      <c r="M216" s="477" t="n"/>
      <c r="N216" s="477" t="n"/>
      <c r="O216" s="477" t="n"/>
      <c r="P216" s="477" t="n"/>
      <c r="Q216" s="477" t="n"/>
      <c r="R216" s="477" t="n"/>
      <c r="S216" s="477" t="n"/>
      <c r="T216" s="477" t="n"/>
      <c r="U216" s="477" t="n"/>
      <c r="V216" s="477" t="n"/>
      <c r="W216" s="477" t="n"/>
      <c r="X216" s="477" t="n"/>
      <c r="Y216" s="477" t="n"/>
      <c r="Z216" s="477" t="n"/>
    </row>
    <row r="217" ht="15.75" customHeight="1">
      <c r="A217" s="477" t="n"/>
      <c r="B217" s="477" t="n"/>
      <c r="C217" s="477" t="n"/>
      <c r="D217" s="477" t="n"/>
      <c r="E217" s="477" t="n"/>
      <c r="F217" s="477" t="n"/>
      <c r="G217" s="477" t="n"/>
      <c r="H217" s="505" t="n"/>
      <c r="I217" s="477" t="n"/>
      <c r="J217" s="477" t="n"/>
      <c r="K217" s="477" t="n"/>
      <c r="L217" s="477" t="n"/>
      <c r="M217" s="477" t="n"/>
      <c r="N217" s="477" t="n"/>
      <c r="O217" s="477" t="n"/>
      <c r="P217" s="477" t="n"/>
      <c r="Q217" s="477" t="n"/>
      <c r="R217" s="477" t="n"/>
      <c r="S217" s="477" t="n"/>
      <c r="T217" s="477" t="n"/>
      <c r="U217" s="477" t="n"/>
      <c r="V217" s="477" t="n"/>
      <c r="W217" s="477" t="n"/>
      <c r="X217" s="477" t="n"/>
      <c r="Y217" s="477" t="n"/>
      <c r="Z217" s="477" t="n"/>
    </row>
    <row r="218" ht="15.75" customHeight="1">
      <c r="A218" s="477" t="n"/>
      <c r="B218" s="477" t="n"/>
      <c r="C218" s="477" t="n"/>
      <c r="D218" s="477" t="n"/>
      <c r="E218" s="477" t="n"/>
      <c r="F218" s="477" t="n"/>
      <c r="G218" s="477" t="n"/>
      <c r="H218" s="505" t="n"/>
      <c r="I218" s="477" t="n"/>
      <c r="J218" s="477" t="n"/>
      <c r="K218" s="477" t="n"/>
      <c r="L218" s="477" t="n"/>
      <c r="M218" s="477" t="n"/>
      <c r="N218" s="477" t="n"/>
      <c r="O218" s="477" t="n"/>
      <c r="P218" s="477" t="n"/>
      <c r="Q218" s="477" t="n"/>
      <c r="R218" s="477" t="n"/>
      <c r="S218" s="477" t="n"/>
      <c r="T218" s="477" t="n"/>
      <c r="U218" s="477" t="n"/>
      <c r="V218" s="477" t="n"/>
      <c r="W218" s="477" t="n"/>
      <c r="X218" s="477" t="n"/>
      <c r="Y218" s="477" t="n"/>
      <c r="Z218" s="477" t="n"/>
    </row>
    <row r="219" ht="15.75" customHeight="1">
      <c r="A219" s="477" t="n"/>
      <c r="B219" s="477" t="n"/>
      <c r="C219" s="477" t="n"/>
      <c r="D219" s="477" t="n"/>
      <c r="E219" s="477" t="n"/>
      <c r="F219" s="477" t="n"/>
      <c r="G219" s="477" t="n"/>
      <c r="H219" s="505" t="n"/>
      <c r="I219" s="477" t="n"/>
      <c r="J219" s="477" t="n"/>
      <c r="K219" s="477" t="n"/>
      <c r="L219" s="477" t="n"/>
      <c r="M219" s="477" t="n"/>
      <c r="N219" s="477" t="n"/>
      <c r="O219" s="477" t="n"/>
      <c r="P219" s="477" t="n"/>
      <c r="Q219" s="477" t="n"/>
      <c r="R219" s="477" t="n"/>
      <c r="S219" s="477" t="n"/>
      <c r="T219" s="477" t="n"/>
      <c r="U219" s="477" t="n"/>
      <c r="V219" s="477" t="n"/>
      <c r="W219" s="477" t="n"/>
      <c r="X219" s="477" t="n"/>
      <c r="Y219" s="477" t="n"/>
      <c r="Z219" s="477" t="n"/>
    </row>
    <row r="220" ht="15.75" customHeight="1">
      <c r="A220" s="477" t="n"/>
      <c r="B220" s="477" t="n"/>
      <c r="C220" s="477" t="n"/>
      <c r="D220" s="477" t="n"/>
      <c r="E220" s="477" t="n"/>
      <c r="F220" s="477" t="n"/>
      <c r="G220" s="477" t="n"/>
      <c r="H220" s="505" t="n"/>
      <c r="I220" s="477" t="n"/>
      <c r="J220" s="477" t="n"/>
      <c r="K220" s="477" t="n"/>
      <c r="L220" s="477" t="n"/>
      <c r="M220" s="477" t="n"/>
      <c r="N220" s="477" t="n"/>
      <c r="O220" s="477" t="n"/>
      <c r="P220" s="477" t="n"/>
      <c r="Q220" s="477" t="n"/>
      <c r="R220" s="477" t="n"/>
      <c r="S220" s="477" t="n"/>
      <c r="T220" s="477" t="n"/>
      <c r="U220" s="477" t="n"/>
      <c r="V220" s="477" t="n"/>
      <c r="W220" s="477" t="n"/>
      <c r="X220" s="477" t="n"/>
      <c r="Y220" s="477" t="n"/>
      <c r="Z220" s="477" t="n"/>
    </row>
    <row r="221" ht="15.75" customHeight="1">
      <c r="A221" s="477" t="n"/>
      <c r="B221" s="477" t="n"/>
      <c r="C221" s="477" t="n"/>
      <c r="D221" s="477" t="n"/>
      <c r="E221" s="477" t="n"/>
      <c r="F221" s="477" t="n"/>
      <c r="G221" s="477" t="n"/>
      <c r="H221" s="505" t="n"/>
      <c r="I221" s="477" t="n"/>
      <c r="J221" s="477" t="n"/>
      <c r="K221" s="477" t="n"/>
      <c r="L221" s="477" t="n"/>
      <c r="M221" s="477" t="n"/>
      <c r="N221" s="477" t="n"/>
      <c r="O221" s="477" t="n"/>
      <c r="P221" s="477" t="n"/>
      <c r="Q221" s="477" t="n"/>
      <c r="R221" s="477" t="n"/>
      <c r="S221" s="477" t="n"/>
      <c r="T221" s="477" t="n"/>
      <c r="U221" s="477" t="n"/>
      <c r="V221" s="477" t="n"/>
      <c r="W221" s="477" t="n"/>
      <c r="X221" s="477" t="n"/>
      <c r="Y221" s="477" t="n"/>
      <c r="Z221" s="477" t="n"/>
    </row>
    <row r="222" ht="15.75" customHeight="1">
      <c r="A222" s="477" t="n"/>
      <c r="B222" s="477" t="n"/>
      <c r="C222" s="477" t="n"/>
      <c r="D222" s="477" t="n"/>
      <c r="E222" s="477" t="n"/>
      <c r="F222" s="477" t="n"/>
      <c r="G222" s="477" t="n"/>
      <c r="H222" s="505" t="n"/>
      <c r="I222" s="477" t="n"/>
      <c r="J222" s="477" t="n"/>
      <c r="K222" s="477" t="n"/>
      <c r="L222" s="477" t="n"/>
      <c r="M222" s="477" t="n"/>
      <c r="N222" s="477" t="n"/>
      <c r="O222" s="477" t="n"/>
      <c r="P222" s="477" t="n"/>
      <c r="Q222" s="477" t="n"/>
      <c r="R222" s="477" t="n"/>
      <c r="S222" s="477" t="n"/>
      <c r="T222" s="477" t="n"/>
      <c r="U222" s="477" t="n"/>
      <c r="V222" s="477" t="n"/>
      <c r="W222" s="477" t="n"/>
      <c r="X222" s="477" t="n"/>
      <c r="Y222" s="477" t="n"/>
      <c r="Z222" s="477" t="n"/>
    </row>
    <row r="223" ht="15.75" customHeight="1">
      <c r="A223" s="477" t="n"/>
      <c r="B223" s="477" t="n"/>
      <c r="C223" s="477" t="n"/>
      <c r="D223" s="477" t="n"/>
      <c r="E223" s="477" t="n"/>
      <c r="F223" s="477" t="n"/>
      <c r="G223" s="477" t="n"/>
      <c r="H223" s="505" t="n"/>
      <c r="I223" s="477" t="n"/>
      <c r="J223" s="477" t="n"/>
      <c r="K223" s="477" t="n"/>
      <c r="L223" s="477" t="n"/>
      <c r="M223" s="477" t="n"/>
      <c r="N223" s="477" t="n"/>
      <c r="O223" s="477" t="n"/>
      <c r="P223" s="477" t="n"/>
      <c r="Q223" s="477" t="n"/>
      <c r="R223" s="477" t="n"/>
      <c r="S223" s="477" t="n"/>
      <c r="T223" s="477" t="n"/>
      <c r="U223" s="477" t="n"/>
      <c r="V223" s="477" t="n"/>
      <c r="W223" s="477" t="n"/>
      <c r="X223" s="477" t="n"/>
      <c r="Y223" s="477" t="n"/>
      <c r="Z223" s="477" t="n"/>
    </row>
    <row r="224" ht="15.75" customHeight="1">
      <c r="A224" s="477" t="n"/>
      <c r="B224" s="477" t="n"/>
      <c r="C224" s="477" t="n"/>
      <c r="D224" s="477" t="n"/>
      <c r="E224" s="477" t="n"/>
      <c r="F224" s="477" t="n"/>
      <c r="G224" s="477" t="n"/>
      <c r="H224" s="505" t="n"/>
      <c r="I224" s="477" t="n"/>
      <c r="J224" s="477" t="n"/>
      <c r="K224" s="477" t="n"/>
      <c r="L224" s="477" t="n"/>
      <c r="M224" s="477" t="n"/>
      <c r="N224" s="477" t="n"/>
      <c r="O224" s="477" t="n"/>
      <c r="P224" s="477" t="n"/>
      <c r="Q224" s="477" t="n"/>
      <c r="R224" s="477" t="n"/>
      <c r="S224" s="477" t="n"/>
      <c r="T224" s="477" t="n"/>
      <c r="U224" s="477" t="n"/>
      <c r="V224" s="477" t="n"/>
      <c r="W224" s="477" t="n"/>
      <c r="X224" s="477" t="n"/>
      <c r="Y224" s="477" t="n"/>
      <c r="Z224" s="477" t="n"/>
    </row>
    <row r="225" ht="15.75" customHeight="1">
      <c r="A225" s="477" t="n"/>
      <c r="B225" s="477" t="n"/>
      <c r="C225" s="477" t="n"/>
      <c r="D225" s="477" t="n"/>
      <c r="E225" s="477" t="n"/>
      <c r="F225" s="477" t="n"/>
      <c r="G225" s="477" t="n"/>
      <c r="H225" s="505" t="n"/>
      <c r="I225" s="477" t="n"/>
      <c r="J225" s="477" t="n"/>
      <c r="K225" s="477" t="n"/>
      <c r="L225" s="477" t="n"/>
      <c r="M225" s="477" t="n"/>
      <c r="N225" s="477" t="n"/>
      <c r="O225" s="477" t="n"/>
      <c r="P225" s="477" t="n"/>
      <c r="Q225" s="477" t="n"/>
      <c r="R225" s="477" t="n"/>
      <c r="S225" s="477" t="n"/>
      <c r="T225" s="477" t="n"/>
      <c r="U225" s="477" t="n"/>
      <c r="V225" s="477" t="n"/>
      <c r="W225" s="477" t="n"/>
      <c r="X225" s="477" t="n"/>
      <c r="Y225" s="477" t="n"/>
      <c r="Z225" s="477" t="n"/>
    </row>
    <row r="226" ht="15.75" customHeight="1">
      <c r="A226" s="477" t="n"/>
      <c r="B226" s="477" t="n"/>
      <c r="C226" s="477" t="n"/>
      <c r="D226" s="477" t="n"/>
      <c r="E226" s="477" t="n"/>
      <c r="F226" s="477" t="n"/>
      <c r="G226" s="477" t="n"/>
      <c r="H226" s="505" t="n"/>
      <c r="I226" s="477" t="n"/>
      <c r="J226" s="477" t="n"/>
      <c r="K226" s="477" t="n"/>
      <c r="L226" s="477" t="n"/>
      <c r="M226" s="477" t="n"/>
      <c r="N226" s="477" t="n"/>
      <c r="O226" s="477" t="n"/>
      <c r="P226" s="477" t="n"/>
      <c r="Q226" s="477" t="n"/>
      <c r="R226" s="477" t="n"/>
      <c r="S226" s="477" t="n"/>
      <c r="T226" s="477" t="n"/>
      <c r="U226" s="477" t="n"/>
      <c r="V226" s="477" t="n"/>
      <c r="W226" s="477" t="n"/>
      <c r="X226" s="477" t="n"/>
      <c r="Y226" s="477" t="n"/>
      <c r="Z226" s="477" t="n"/>
    </row>
    <row r="227" ht="15.75" customHeight="1">
      <c r="A227" s="477" t="n"/>
      <c r="B227" s="477" t="n"/>
      <c r="C227" s="477" t="n"/>
      <c r="D227" s="477" t="n"/>
      <c r="E227" s="477" t="n"/>
      <c r="F227" s="477" t="n"/>
      <c r="G227" s="477" t="n"/>
      <c r="H227" s="505" t="n"/>
      <c r="I227" s="477" t="n"/>
      <c r="J227" s="477" t="n"/>
      <c r="K227" s="477" t="n"/>
      <c r="L227" s="477" t="n"/>
      <c r="M227" s="477" t="n"/>
      <c r="N227" s="477" t="n"/>
      <c r="O227" s="477" t="n"/>
      <c r="P227" s="477" t="n"/>
      <c r="Q227" s="477" t="n"/>
      <c r="R227" s="477" t="n"/>
      <c r="S227" s="477" t="n"/>
      <c r="T227" s="477" t="n"/>
      <c r="U227" s="477" t="n"/>
      <c r="V227" s="477" t="n"/>
      <c r="W227" s="477" t="n"/>
      <c r="X227" s="477" t="n"/>
      <c r="Y227" s="477" t="n"/>
      <c r="Z227" s="477" t="n"/>
    </row>
    <row r="228" ht="15.75" customHeight="1">
      <c r="A228" s="477" t="n"/>
      <c r="B228" s="477" t="n"/>
      <c r="C228" s="477" t="n"/>
      <c r="D228" s="477" t="n"/>
      <c r="E228" s="477" t="n"/>
      <c r="F228" s="477" t="n"/>
      <c r="G228" s="477" t="n"/>
      <c r="H228" s="505" t="n"/>
      <c r="I228" s="477" t="n"/>
      <c r="J228" s="477" t="n"/>
      <c r="K228" s="477" t="n"/>
      <c r="L228" s="477" t="n"/>
      <c r="M228" s="477" t="n"/>
      <c r="N228" s="477" t="n"/>
      <c r="O228" s="477" t="n"/>
      <c r="P228" s="477" t="n"/>
      <c r="Q228" s="477" t="n"/>
      <c r="R228" s="477" t="n"/>
      <c r="S228" s="477" t="n"/>
      <c r="T228" s="477" t="n"/>
      <c r="U228" s="477" t="n"/>
      <c r="V228" s="477" t="n"/>
      <c r="W228" s="477" t="n"/>
      <c r="X228" s="477" t="n"/>
      <c r="Y228" s="477" t="n"/>
      <c r="Z228" s="477" t="n"/>
    </row>
    <row r="229" ht="15.75" customHeight="1">
      <c r="A229" s="477" t="n"/>
      <c r="B229" s="477" t="n"/>
      <c r="C229" s="477" t="n"/>
      <c r="D229" s="477" t="n"/>
      <c r="E229" s="477" t="n"/>
      <c r="F229" s="477" t="n"/>
      <c r="G229" s="477" t="n"/>
      <c r="H229" s="505" t="n"/>
      <c r="I229" s="477" t="n"/>
      <c r="J229" s="477" t="n"/>
      <c r="K229" s="477" t="n"/>
      <c r="L229" s="477" t="n"/>
      <c r="M229" s="477" t="n"/>
      <c r="N229" s="477" t="n"/>
      <c r="O229" s="477" t="n"/>
      <c r="P229" s="477" t="n"/>
      <c r="Q229" s="477" t="n"/>
      <c r="R229" s="477" t="n"/>
      <c r="S229" s="477" t="n"/>
      <c r="T229" s="477" t="n"/>
      <c r="U229" s="477" t="n"/>
      <c r="V229" s="477" t="n"/>
      <c r="W229" s="477" t="n"/>
      <c r="X229" s="477" t="n"/>
      <c r="Y229" s="477" t="n"/>
      <c r="Z229" s="477" t="n"/>
    </row>
    <row r="230" ht="15.75" customHeight="1">
      <c r="A230" s="477" t="n"/>
      <c r="B230" s="477" t="n"/>
      <c r="C230" s="477" t="n"/>
      <c r="D230" s="477" t="n"/>
      <c r="E230" s="477" t="n"/>
      <c r="F230" s="477" t="n"/>
      <c r="G230" s="477" t="n"/>
      <c r="H230" s="505" t="n"/>
      <c r="I230" s="477" t="n"/>
      <c r="J230" s="477" t="n"/>
      <c r="K230" s="477" t="n"/>
      <c r="L230" s="477" t="n"/>
      <c r="M230" s="477" t="n"/>
      <c r="N230" s="477" t="n"/>
      <c r="O230" s="477" t="n"/>
      <c r="P230" s="477" t="n"/>
      <c r="Q230" s="477" t="n"/>
      <c r="R230" s="477" t="n"/>
      <c r="S230" s="477" t="n"/>
      <c r="T230" s="477" t="n"/>
      <c r="U230" s="477" t="n"/>
      <c r="V230" s="477" t="n"/>
      <c r="W230" s="477" t="n"/>
      <c r="X230" s="477" t="n"/>
      <c r="Y230" s="477" t="n"/>
      <c r="Z230" s="477" t="n"/>
    </row>
    <row r="231" ht="15.75" customHeight="1">
      <c r="A231" s="477" t="n"/>
      <c r="B231" s="477" t="n"/>
      <c r="C231" s="477" t="n"/>
      <c r="D231" s="477" t="n"/>
      <c r="E231" s="477" t="n"/>
      <c r="F231" s="477" t="n"/>
      <c r="G231" s="477" t="n"/>
      <c r="H231" s="505" t="n"/>
      <c r="I231" s="477" t="n"/>
      <c r="J231" s="477" t="n"/>
      <c r="K231" s="477" t="n"/>
      <c r="L231" s="477" t="n"/>
      <c r="M231" s="477" t="n"/>
      <c r="N231" s="477" t="n"/>
      <c r="O231" s="477" t="n"/>
      <c r="P231" s="477" t="n"/>
      <c r="Q231" s="477" t="n"/>
      <c r="R231" s="477" t="n"/>
      <c r="S231" s="477" t="n"/>
      <c r="T231" s="477" t="n"/>
      <c r="U231" s="477" t="n"/>
      <c r="V231" s="477" t="n"/>
      <c r="W231" s="477" t="n"/>
      <c r="X231" s="477" t="n"/>
      <c r="Y231" s="477" t="n"/>
      <c r="Z231" s="477" t="n"/>
    </row>
    <row r="232" ht="15.75" customHeight="1">
      <c r="A232" s="477" t="n"/>
      <c r="B232" s="477" t="n"/>
      <c r="C232" s="477" t="n"/>
      <c r="D232" s="477" t="n"/>
      <c r="E232" s="477" t="n"/>
      <c r="F232" s="477" t="n"/>
      <c r="G232" s="477" t="n"/>
      <c r="H232" s="505" t="n"/>
      <c r="I232" s="477" t="n"/>
      <c r="J232" s="477" t="n"/>
      <c r="K232" s="477" t="n"/>
      <c r="L232" s="477" t="n"/>
      <c r="M232" s="477" t="n"/>
      <c r="N232" s="477" t="n"/>
      <c r="O232" s="477" t="n"/>
      <c r="P232" s="477" t="n"/>
      <c r="Q232" s="477" t="n"/>
      <c r="R232" s="477" t="n"/>
      <c r="S232" s="477" t="n"/>
      <c r="T232" s="477" t="n"/>
      <c r="U232" s="477" t="n"/>
      <c r="V232" s="477" t="n"/>
      <c r="W232" s="477" t="n"/>
      <c r="X232" s="477" t="n"/>
      <c r="Y232" s="477" t="n"/>
      <c r="Z232" s="477" t="n"/>
    </row>
    <row r="233" ht="15.75" customHeight="1">
      <c r="A233" s="477" t="n"/>
      <c r="B233" s="477" t="n"/>
      <c r="C233" s="477" t="n"/>
      <c r="D233" s="477" t="n"/>
      <c r="E233" s="477" t="n"/>
      <c r="F233" s="477" t="n"/>
      <c r="G233" s="477" t="n"/>
      <c r="H233" s="505" t="n"/>
      <c r="I233" s="477" t="n"/>
      <c r="J233" s="477" t="n"/>
      <c r="K233" s="477" t="n"/>
      <c r="L233" s="477" t="n"/>
      <c r="M233" s="477" t="n"/>
      <c r="N233" s="477" t="n"/>
      <c r="O233" s="477" t="n"/>
      <c r="P233" s="477" t="n"/>
      <c r="Q233" s="477" t="n"/>
      <c r="R233" s="477" t="n"/>
      <c r="S233" s="477" t="n"/>
      <c r="T233" s="477" t="n"/>
      <c r="U233" s="477" t="n"/>
      <c r="V233" s="477" t="n"/>
      <c r="W233" s="477" t="n"/>
      <c r="X233" s="477" t="n"/>
      <c r="Y233" s="477" t="n"/>
      <c r="Z233" s="477" t="n"/>
    </row>
    <row r="234" ht="15.75" customHeight="1">
      <c r="A234" s="477" t="n"/>
      <c r="B234" s="477" t="n"/>
      <c r="C234" s="477" t="n"/>
      <c r="D234" s="477" t="n"/>
      <c r="E234" s="477" t="n"/>
      <c r="F234" s="477" t="n"/>
      <c r="G234" s="477" t="n"/>
      <c r="H234" s="505" t="n"/>
      <c r="I234" s="477" t="n"/>
      <c r="J234" s="477" t="n"/>
      <c r="K234" s="477" t="n"/>
      <c r="L234" s="477" t="n"/>
      <c r="M234" s="477" t="n"/>
      <c r="N234" s="477" t="n"/>
      <c r="O234" s="477" t="n"/>
      <c r="P234" s="477" t="n"/>
      <c r="Q234" s="477" t="n"/>
      <c r="R234" s="477" t="n"/>
      <c r="S234" s="477" t="n"/>
      <c r="T234" s="477" t="n"/>
      <c r="U234" s="477" t="n"/>
      <c r="V234" s="477" t="n"/>
      <c r="W234" s="477" t="n"/>
      <c r="X234" s="477" t="n"/>
      <c r="Y234" s="477" t="n"/>
      <c r="Z234" s="477" t="n"/>
    </row>
    <row r="235" ht="15.75" customHeight="1">
      <c r="A235" s="477" t="n"/>
      <c r="B235" s="477" t="n"/>
      <c r="C235" s="477" t="n"/>
      <c r="D235" s="477" t="n"/>
      <c r="E235" s="477" t="n"/>
      <c r="F235" s="477" t="n"/>
      <c r="G235" s="477" t="n"/>
      <c r="H235" s="505" t="n"/>
      <c r="I235" s="477" t="n"/>
      <c r="J235" s="477" t="n"/>
      <c r="K235" s="477" t="n"/>
      <c r="L235" s="477" t="n"/>
      <c r="M235" s="477" t="n"/>
      <c r="N235" s="477" t="n"/>
      <c r="O235" s="477" t="n"/>
      <c r="P235" s="477" t="n"/>
      <c r="Q235" s="477" t="n"/>
      <c r="R235" s="477" t="n"/>
      <c r="S235" s="477" t="n"/>
      <c r="T235" s="477" t="n"/>
      <c r="U235" s="477" t="n"/>
      <c r="V235" s="477" t="n"/>
      <c r="W235" s="477" t="n"/>
      <c r="X235" s="477" t="n"/>
      <c r="Y235" s="477" t="n"/>
      <c r="Z235" s="477" t="n"/>
    </row>
    <row r="236" ht="15.75" customHeight="1">
      <c r="A236" s="477" t="n"/>
      <c r="B236" s="477" t="n"/>
      <c r="C236" s="477" t="n"/>
      <c r="D236" s="477" t="n"/>
      <c r="E236" s="477" t="n"/>
      <c r="F236" s="477" t="n"/>
      <c r="G236" s="477" t="n"/>
      <c r="H236" s="505" t="n"/>
      <c r="I236" s="477" t="n"/>
      <c r="J236" s="477" t="n"/>
      <c r="K236" s="477" t="n"/>
      <c r="L236" s="477" t="n"/>
      <c r="M236" s="477" t="n"/>
      <c r="N236" s="477" t="n"/>
      <c r="O236" s="477" t="n"/>
      <c r="P236" s="477" t="n"/>
      <c r="Q236" s="477" t="n"/>
      <c r="R236" s="477" t="n"/>
      <c r="S236" s="477" t="n"/>
      <c r="T236" s="477" t="n"/>
      <c r="U236" s="477" t="n"/>
      <c r="V236" s="477" t="n"/>
      <c r="W236" s="477" t="n"/>
      <c r="X236" s="477" t="n"/>
      <c r="Y236" s="477" t="n"/>
      <c r="Z236" s="477" t="n"/>
    </row>
    <row r="237" ht="15.75" customHeight="1">
      <c r="A237" s="477" t="n"/>
      <c r="B237" s="477" t="n"/>
      <c r="C237" s="477" t="n"/>
      <c r="D237" s="477" t="n"/>
      <c r="E237" s="477" t="n"/>
      <c r="F237" s="477" t="n"/>
      <c r="G237" s="477" t="n"/>
      <c r="H237" s="505" t="n"/>
      <c r="I237" s="477" t="n"/>
      <c r="J237" s="477" t="n"/>
      <c r="K237" s="477" t="n"/>
      <c r="L237" s="477" t="n"/>
      <c r="M237" s="477" t="n"/>
      <c r="N237" s="477" t="n"/>
      <c r="O237" s="477" t="n"/>
      <c r="P237" s="477" t="n"/>
      <c r="Q237" s="477" t="n"/>
      <c r="R237" s="477" t="n"/>
      <c r="S237" s="477" t="n"/>
      <c r="T237" s="477" t="n"/>
      <c r="U237" s="477" t="n"/>
      <c r="V237" s="477" t="n"/>
      <c r="W237" s="477" t="n"/>
      <c r="X237" s="477" t="n"/>
      <c r="Y237" s="477" t="n"/>
      <c r="Z237" s="477" t="n"/>
    </row>
    <row r="238" ht="15.75" customHeight="1">
      <c r="A238" s="477" t="n"/>
      <c r="B238" s="477" t="n"/>
      <c r="C238" s="477" t="n"/>
      <c r="D238" s="477" t="n"/>
      <c r="E238" s="477" t="n"/>
      <c r="F238" s="477" t="n"/>
      <c r="G238" s="477" t="n"/>
      <c r="H238" s="505" t="n"/>
      <c r="I238" s="477" t="n"/>
      <c r="J238" s="477" t="n"/>
      <c r="K238" s="477" t="n"/>
      <c r="L238" s="477" t="n"/>
      <c r="M238" s="477" t="n"/>
      <c r="N238" s="477" t="n"/>
      <c r="O238" s="477" t="n"/>
      <c r="P238" s="477" t="n"/>
      <c r="Q238" s="477" t="n"/>
      <c r="R238" s="477" t="n"/>
      <c r="S238" s="477" t="n"/>
      <c r="T238" s="477" t="n"/>
      <c r="U238" s="477" t="n"/>
      <c r="V238" s="477" t="n"/>
      <c r="W238" s="477" t="n"/>
      <c r="X238" s="477" t="n"/>
      <c r="Y238" s="477" t="n"/>
      <c r="Z238" s="477" t="n"/>
    </row>
    <row r="239" ht="15.75" customHeight="1">
      <c r="A239" s="477" t="n"/>
      <c r="B239" s="477" t="n"/>
      <c r="C239" s="477" t="n"/>
      <c r="D239" s="477" t="n"/>
      <c r="E239" s="477" t="n"/>
      <c r="F239" s="477" t="n"/>
      <c r="G239" s="477" t="n"/>
      <c r="H239" s="505" t="n"/>
      <c r="I239" s="477" t="n"/>
      <c r="J239" s="477" t="n"/>
      <c r="K239" s="477" t="n"/>
      <c r="L239" s="477" t="n"/>
      <c r="M239" s="477" t="n"/>
      <c r="N239" s="477" t="n"/>
      <c r="O239" s="477" t="n"/>
      <c r="P239" s="477" t="n"/>
      <c r="Q239" s="477" t="n"/>
      <c r="R239" s="477" t="n"/>
      <c r="S239" s="477" t="n"/>
      <c r="T239" s="477" t="n"/>
      <c r="U239" s="477" t="n"/>
      <c r="V239" s="477" t="n"/>
      <c r="W239" s="477" t="n"/>
      <c r="X239" s="477" t="n"/>
      <c r="Y239" s="477" t="n"/>
      <c r="Z239" s="477" t="n"/>
    </row>
    <row r="240" ht="15.75" customHeight="1">
      <c r="A240" s="477" t="n"/>
      <c r="B240" s="477" t="n"/>
      <c r="C240" s="477" t="n"/>
      <c r="D240" s="477" t="n"/>
      <c r="E240" s="477" t="n"/>
      <c r="F240" s="477" t="n"/>
      <c r="G240" s="477" t="n"/>
      <c r="H240" s="505" t="n"/>
      <c r="I240" s="477" t="n"/>
      <c r="J240" s="477" t="n"/>
      <c r="K240" s="477" t="n"/>
      <c r="L240" s="477" t="n"/>
      <c r="M240" s="477" t="n"/>
      <c r="N240" s="477" t="n"/>
      <c r="O240" s="477" t="n"/>
      <c r="P240" s="477" t="n"/>
      <c r="Q240" s="477" t="n"/>
      <c r="R240" s="477" t="n"/>
      <c r="S240" s="477" t="n"/>
      <c r="T240" s="477" t="n"/>
      <c r="U240" s="477" t="n"/>
      <c r="V240" s="477" t="n"/>
      <c r="W240" s="477" t="n"/>
      <c r="X240" s="477" t="n"/>
      <c r="Y240" s="477" t="n"/>
      <c r="Z240" s="477" t="n"/>
    </row>
    <row r="241" ht="15.75" customHeight="1">
      <c r="A241" s="477" t="n"/>
      <c r="B241" s="477" t="n"/>
      <c r="C241" s="477" t="n"/>
      <c r="D241" s="477" t="n"/>
      <c r="E241" s="477" t="n"/>
      <c r="F241" s="477" t="n"/>
      <c r="G241" s="477" t="n"/>
      <c r="H241" s="505" t="n"/>
      <c r="I241" s="477" t="n"/>
      <c r="J241" s="477" t="n"/>
      <c r="K241" s="477" t="n"/>
      <c r="L241" s="477" t="n"/>
      <c r="M241" s="477" t="n"/>
      <c r="N241" s="477" t="n"/>
      <c r="O241" s="477" t="n"/>
      <c r="P241" s="477" t="n"/>
      <c r="Q241" s="477" t="n"/>
      <c r="R241" s="477" t="n"/>
      <c r="S241" s="477" t="n"/>
      <c r="T241" s="477" t="n"/>
      <c r="U241" s="477" t="n"/>
      <c r="V241" s="477" t="n"/>
      <c r="W241" s="477" t="n"/>
      <c r="X241" s="477" t="n"/>
      <c r="Y241" s="477" t="n"/>
      <c r="Z241" s="477" t="n"/>
    </row>
    <row r="242" ht="15.75" customHeight="1">
      <c r="A242" s="477" t="n"/>
      <c r="B242" s="477" t="n"/>
      <c r="C242" s="477" t="n"/>
      <c r="D242" s="477" t="n"/>
      <c r="E242" s="477" t="n"/>
      <c r="F242" s="477" t="n"/>
      <c r="G242" s="477" t="n"/>
      <c r="H242" s="505" t="n"/>
      <c r="I242" s="477" t="n"/>
      <c r="J242" s="477" t="n"/>
      <c r="K242" s="477" t="n"/>
      <c r="L242" s="477" t="n"/>
      <c r="M242" s="477" t="n"/>
      <c r="N242" s="477" t="n"/>
      <c r="O242" s="477" t="n"/>
      <c r="P242" s="477" t="n"/>
      <c r="Q242" s="477" t="n"/>
      <c r="R242" s="477" t="n"/>
      <c r="S242" s="477" t="n"/>
      <c r="T242" s="477" t="n"/>
      <c r="U242" s="477" t="n"/>
      <c r="V242" s="477" t="n"/>
      <c r="W242" s="477" t="n"/>
      <c r="X242" s="477" t="n"/>
      <c r="Y242" s="477" t="n"/>
      <c r="Z242" s="477" t="n"/>
    </row>
    <row r="243" ht="15.75" customHeight="1">
      <c r="A243" s="477" t="n"/>
      <c r="B243" s="477" t="n"/>
      <c r="C243" s="477" t="n"/>
      <c r="D243" s="477" t="n"/>
      <c r="E243" s="477" t="n"/>
      <c r="F243" s="477" t="n"/>
      <c r="G243" s="477" t="n"/>
      <c r="H243" s="505" t="n"/>
      <c r="I243" s="477" t="n"/>
      <c r="J243" s="477" t="n"/>
      <c r="K243" s="477" t="n"/>
      <c r="L243" s="477" t="n"/>
      <c r="M243" s="477" t="n"/>
      <c r="N243" s="477" t="n"/>
      <c r="O243" s="477" t="n"/>
      <c r="P243" s="477" t="n"/>
      <c r="Q243" s="477" t="n"/>
      <c r="R243" s="477" t="n"/>
      <c r="S243" s="477" t="n"/>
      <c r="T243" s="477" t="n"/>
      <c r="U243" s="477" t="n"/>
      <c r="V243" s="477" t="n"/>
      <c r="W243" s="477" t="n"/>
      <c r="X243" s="477" t="n"/>
      <c r="Y243" s="477" t="n"/>
      <c r="Z243" s="477" t="n"/>
    </row>
    <row r="244" ht="15.75" customHeight="1">
      <c r="A244" s="477" t="n"/>
      <c r="B244" s="477" t="n"/>
      <c r="C244" s="477" t="n"/>
      <c r="D244" s="477" t="n"/>
      <c r="E244" s="477" t="n"/>
      <c r="F244" s="477" t="n"/>
      <c r="G244" s="477" t="n"/>
      <c r="H244" s="505" t="n"/>
      <c r="I244" s="477" t="n"/>
      <c r="J244" s="477" t="n"/>
      <c r="K244" s="477" t="n"/>
      <c r="L244" s="477" t="n"/>
      <c r="M244" s="477" t="n"/>
      <c r="N244" s="477" t="n"/>
      <c r="O244" s="477" t="n"/>
      <c r="P244" s="477" t="n"/>
      <c r="Q244" s="477" t="n"/>
      <c r="R244" s="477" t="n"/>
      <c r="S244" s="477" t="n"/>
      <c r="T244" s="477" t="n"/>
      <c r="U244" s="477" t="n"/>
      <c r="V244" s="477" t="n"/>
      <c r="W244" s="477" t="n"/>
      <c r="X244" s="477" t="n"/>
      <c r="Y244" s="477" t="n"/>
      <c r="Z244" s="477" t="n"/>
    </row>
    <row r="245" ht="15.75" customHeight="1">
      <c r="A245" s="477" t="n"/>
      <c r="B245" s="477" t="n"/>
      <c r="C245" s="477" t="n"/>
      <c r="D245" s="477" t="n"/>
      <c r="E245" s="477" t="n"/>
      <c r="F245" s="477" t="n"/>
      <c r="G245" s="477" t="n"/>
      <c r="H245" s="505" t="n"/>
      <c r="I245" s="477" t="n"/>
      <c r="J245" s="477" t="n"/>
      <c r="K245" s="477" t="n"/>
      <c r="L245" s="477" t="n"/>
      <c r="M245" s="477" t="n"/>
      <c r="N245" s="477" t="n"/>
      <c r="O245" s="477" t="n"/>
      <c r="P245" s="477" t="n"/>
      <c r="Q245" s="477" t="n"/>
      <c r="R245" s="477" t="n"/>
      <c r="S245" s="477" t="n"/>
      <c r="T245" s="477" t="n"/>
      <c r="U245" s="477" t="n"/>
      <c r="V245" s="477" t="n"/>
      <c r="W245" s="477" t="n"/>
      <c r="X245" s="477" t="n"/>
      <c r="Y245" s="477" t="n"/>
      <c r="Z245" s="477" t="n"/>
    </row>
    <row r="246" ht="15.75" customHeight="1">
      <c r="A246" s="477" t="n"/>
      <c r="B246" s="477" t="n"/>
      <c r="C246" s="477" t="n"/>
      <c r="D246" s="477" t="n"/>
      <c r="E246" s="477" t="n"/>
      <c r="F246" s="477" t="n"/>
      <c r="G246" s="477" t="n"/>
      <c r="H246" s="505" t="n"/>
      <c r="I246" s="477" t="n"/>
      <c r="J246" s="477" t="n"/>
      <c r="K246" s="477" t="n"/>
      <c r="L246" s="477" t="n"/>
      <c r="M246" s="477" t="n"/>
      <c r="N246" s="477" t="n"/>
      <c r="O246" s="477" t="n"/>
      <c r="P246" s="477" t="n"/>
      <c r="Q246" s="477" t="n"/>
      <c r="R246" s="477" t="n"/>
      <c r="S246" s="477" t="n"/>
      <c r="T246" s="477" t="n"/>
      <c r="U246" s="477" t="n"/>
      <c r="V246" s="477" t="n"/>
      <c r="W246" s="477" t="n"/>
      <c r="X246" s="477" t="n"/>
      <c r="Y246" s="477" t="n"/>
      <c r="Z246" s="477" t="n"/>
    </row>
    <row r="247" ht="15.75" customHeight="1">
      <c r="A247" s="477" t="n"/>
      <c r="B247" s="477" t="n"/>
      <c r="C247" s="477" t="n"/>
      <c r="D247" s="477" t="n"/>
      <c r="E247" s="477" t="n"/>
      <c r="F247" s="477" t="n"/>
      <c r="G247" s="477" t="n"/>
      <c r="H247" s="505" t="n"/>
      <c r="I247" s="477" t="n"/>
      <c r="J247" s="477" t="n"/>
      <c r="K247" s="477" t="n"/>
      <c r="L247" s="477" t="n"/>
      <c r="M247" s="477" t="n"/>
      <c r="N247" s="477" t="n"/>
      <c r="O247" s="477" t="n"/>
      <c r="P247" s="477" t="n"/>
      <c r="Q247" s="477" t="n"/>
      <c r="R247" s="477" t="n"/>
      <c r="S247" s="477" t="n"/>
      <c r="T247" s="477" t="n"/>
      <c r="U247" s="477" t="n"/>
      <c r="V247" s="477" t="n"/>
      <c r="W247" s="477" t="n"/>
      <c r="X247" s="477" t="n"/>
      <c r="Y247" s="477" t="n"/>
      <c r="Z247" s="477" t="n"/>
    </row>
    <row r="248" ht="15.75" customHeight="1">
      <c r="A248" s="477" t="n"/>
      <c r="B248" s="477" t="n"/>
      <c r="C248" s="477" t="n"/>
      <c r="D248" s="477" t="n"/>
      <c r="E248" s="477" t="n"/>
      <c r="F248" s="477" t="n"/>
      <c r="G248" s="477" t="n"/>
      <c r="H248" s="505" t="n"/>
      <c r="I248" s="477" t="n"/>
      <c r="J248" s="477" t="n"/>
      <c r="K248" s="477" t="n"/>
      <c r="L248" s="477" t="n"/>
      <c r="M248" s="477" t="n"/>
      <c r="N248" s="477" t="n"/>
      <c r="O248" s="477" t="n"/>
      <c r="P248" s="477" t="n"/>
      <c r="Q248" s="477" t="n"/>
      <c r="R248" s="477" t="n"/>
      <c r="S248" s="477" t="n"/>
      <c r="T248" s="477" t="n"/>
      <c r="U248" s="477" t="n"/>
      <c r="V248" s="477" t="n"/>
      <c r="W248" s="477" t="n"/>
      <c r="X248" s="477" t="n"/>
      <c r="Y248" s="477" t="n"/>
      <c r="Z248" s="477" t="n"/>
    </row>
    <row r="249" ht="15.75" customHeight="1">
      <c r="A249" s="477" t="n"/>
      <c r="B249" s="477" t="n"/>
      <c r="C249" s="477" t="n"/>
      <c r="D249" s="477" t="n"/>
      <c r="E249" s="477" t="n"/>
      <c r="F249" s="477" t="n"/>
      <c r="G249" s="477" t="n"/>
      <c r="H249" s="505" t="n"/>
      <c r="I249" s="477" t="n"/>
      <c r="J249" s="477" t="n"/>
      <c r="K249" s="477" t="n"/>
      <c r="L249" s="477" t="n"/>
      <c r="M249" s="477" t="n"/>
      <c r="N249" s="477" t="n"/>
      <c r="O249" s="477" t="n"/>
      <c r="P249" s="477" t="n"/>
      <c r="Q249" s="477" t="n"/>
      <c r="R249" s="477" t="n"/>
      <c r="S249" s="477" t="n"/>
      <c r="T249" s="477" t="n"/>
      <c r="U249" s="477" t="n"/>
      <c r="V249" s="477" t="n"/>
      <c r="W249" s="477" t="n"/>
      <c r="X249" s="477" t="n"/>
      <c r="Y249" s="477" t="n"/>
      <c r="Z249" s="477" t="n"/>
    </row>
    <row r="250" ht="15.75" customHeight="1">
      <c r="A250" s="477" t="n"/>
      <c r="B250" s="477" t="n"/>
      <c r="C250" s="477" t="n"/>
      <c r="D250" s="477" t="n"/>
      <c r="E250" s="477" t="n"/>
      <c r="F250" s="477" t="n"/>
      <c r="G250" s="477" t="n"/>
      <c r="H250" s="505" t="n"/>
      <c r="I250" s="477" t="n"/>
      <c r="J250" s="477" t="n"/>
      <c r="K250" s="477" t="n"/>
      <c r="L250" s="477" t="n"/>
      <c r="M250" s="477" t="n"/>
      <c r="N250" s="477" t="n"/>
      <c r="O250" s="477" t="n"/>
      <c r="P250" s="477" t="n"/>
      <c r="Q250" s="477" t="n"/>
      <c r="R250" s="477" t="n"/>
      <c r="S250" s="477" t="n"/>
      <c r="T250" s="477" t="n"/>
      <c r="U250" s="477" t="n"/>
      <c r="V250" s="477" t="n"/>
      <c r="W250" s="477" t="n"/>
      <c r="X250" s="477" t="n"/>
      <c r="Y250" s="477" t="n"/>
      <c r="Z250" s="477" t="n"/>
    </row>
    <row r="251" ht="15.75" customHeight="1">
      <c r="A251" s="477" t="n"/>
      <c r="B251" s="477" t="n"/>
      <c r="C251" s="477" t="n"/>
      <c r="D251" s="477" t="n"/>
      <c r="E251" s="477" t="n"/>
      <c r="F251" s="477" t="n"/>
      <c r="G251" s="477" t="n"/>
      <c r="H251" s="505" t="n"/>
      <c r="I251" s="477" t="n"/>
      <c r="J251" s="477" t="n"/>
      <c r="K251" s="477" t="n"/>
      <c r="L251" s="477" t="n"/>
      <c r="M251" s="477" t="n"/>
      <c r="N251" s="477" t="n"/>
      <c r="O251" s="477" t="n"/>
      <c r="P251" s="477" t="n"/>
      <c r="Q251" s="477" t="n"/>
      <c r="R251" s="477" t="n"/>
      <c r="S251" s="477" t="n"/>
      <c r="T251" s="477" t="n"/>
      <c r="U251" s="477" t="n"/>
      <c r="V251" s="477" t="n"/>
      <c r="W251" s="477" t="n"/>
      <c r="X251" s="477" t="n"/>
      <c r="Y251" s="477" t="n"/>
      <c r="Z251" s="477" t="n"/>
    </row>
    <row r="252" ht="15.75" customHeight="1">
      <c r="A252" s="477" t="n"/>
      <c r="B252" s="477" t="n"/>
      <c r="C252" s="477" t="n"/>
      <c r="D252" s="477" t="n"/>
      <c r="E252" s="477" t="n"/>
      <c r="F252" s="477" t="n"/>
      <c r="G252" s="477" t="n"/>
      <c r="H252" s="505" t="n"/>
      <c r="I252" s="477" t="n"/>
      <c r="J252" s="477" t="n"/>
      <c r="K252" s="477" t="n"/>
      <c r="L252" s="477" t="n"/>
      <c r="M252" s="477" t="n"/>
      <c r="N252" s="477" t="n"/>
      <c r="O252" s="477" t="n"/>
      <c r="P252" s="477" t="n"/>
      <c r="Q252" s="477" t="n"/>
      <c r="R252" s="477" t="n"/>
      <c r="S252" s="477" t="n"/>
      <c r="T252" s="477" t="n"/>
      <c r="U252" s="477" t="n"/>
      <c r="V252" s="477" t="n"/>
      <c r="W252" s="477" t="n"/>
      <c r="X252" s="477" t="n"/>
      <c r="Y252" s="477" t="n"/>
      <c r="Z252" s="477" t="n"/>
    </row>
    <row r="253" ht="15.75" customHeight="1">
      <c r="A253" s="477" t="n"/>
      <c r="B253" s="477" t="n"/>
      <c r="C253" s="477" t="n"/>
      <c r="D253" s="477" t="n"/>
      <c r="E253" s="477" t="n"/>
      <c r="F253" s="477" t="n"/>
      <c r="G253" s="477" t="n"/>
      <c r="H253" s="505" t="n"/>
      <c r="I253" s="477" t="n"/>
      <c r="J253" s="477" t="n"/>
      <c r="K253" s="477" t="n"/>
      <c r="L253" s="477" t="n"/>
      <c r="M253" s="477" t="n"/>
      <c r="N253" s="477" t="n"/>
      <c r="O253" s="477" t="n"/>
      <c r="P253" s="477" t="n"/>
      <c r="Q253" s="477" t="n"/>
      <c r="R253" s="477" t="n"/>
      <c r="S253" s="477" t="n"/>
      <c r="T253" s="477" t="n"/>
      <c r="U253" s="477" t="n"/>
      <c r="V253" s="477" t="n"/>
      <c r="W253" s="477" t="n"/>
      <c r="X253" s="477" t="n"/>
      <c r="Y253" s="477" t="n"/>
      <c r="Z253" s="477" t="n"/>
    </row>
    <row r="254" ht="15.75" customHeight="1">
      <c r="A254" s="477" t="n"/>
      <c r="B254" s="477" t="n"/>
      <c r="C254" s="477" t="n"/>
      <c r="D254" s="477" t="n"/>
      <c r="E254" s="477" t="n"/>
      <c r="F254" s="477" t="n"/>
      <c r="G254" s="477" t="n"/>
      <c r="H254" s="505" t="n"/>
      <c r="I254" s="477" t="n"/>
      <c r="J254" s="477" t="n"/>
      <c r="K254" s="477" t="n"/>
      <c r="L254" s="477" t="n"/>
      <c r="M254" s="477" t="n"/>
      <c r="N254" s="477" t="n"/>
      <c r="O254" s="477" t="n"/>
      <c r="P254" s="477" t="n"/>
      <c r="Q254" s="477" t="n"/>
      <c r="R254" s="477" t="n"/>
      <c r="S254" s="477" t="n"/>
      <c r="T254" s="477" t="n"/>
      <c r="U254" s="477" t="n"/>
      <c r="V254" s="477" t="n"/>
      <c r="W254" s="477" t="n"/>
      <c r="X254" s="477" t="n"/>
      <c r="Y254" s="477" t="n"/>
      <c r="Z254" s="477" t="n"/>
    </row>
    <row r="255" ht="15.75" customHeight="1">
      <c r="A255" s="477" t="n"/>
      <c r="B255" s="477" t="n"/>
      <c r="C255" s="477" t="n"/>
      <c r="D255" s="477" t="n"/>
      <c r="E255" s="477" t="n"/>
      <c r="F255" s="477" t="n"/>
      <c r="G255" s="477" t="n"/>
      <c r="H255" s="505" t="n"/>
      <c r="I255" s="477" t="n"/>
      <c r="J255" s="477" t="n"/>
      <c r="K255" s="477" t="n"/>
      <c r="L255" s="477" t="n"/>
      <c r="M255" s="477" t="n"/>
      <c r="N255" s="477" t="n"/>
      <c r="O255" s="477" t="n"/>
      <c r="P255" s="477" t="n"/>
      <c r="Q255" s="477" t="n"/>
      <c r="R255" s="477" t="n"/>
      <c r="S255" s="477" t="n"/>
      <c r="T255" s="477" t="n"/>
      <c r="U255" s="477" t="n"/>
      <c r="V255" s="477" t="n"/>
      <c r="W255" s="477" t="n"/>
      <c r="X255" s="477" t="n"/>
      <c r="Y255" s="477" t="n"/>
      <c r="Z255" s="477" t="n"/>
    </row>
    <row r="256" ht="15.75" customHeight="1">
      <c r="A256" s="477" t="n"/>
      <c r="B256" s="477" t="n"/>
      <c r="C256" s="477" t="n"/>
      <c r="D256" s="477" t="n"/>
      <c r="E256" s="477" t="n"/>
      <c r="F256" s="477" t="n"/>
      <c r="G256" s="477" t="n"/>
      <c r="H256" s="505" t="n"/>
      <c r="I256" s="477" t="n"/>
      <c r="J256" s="477" t="n"/>
      <c r="K256" s="477" t="n"/>
      <c r="L256" s="477" t="n"/>
      <c r="M256" s="477" t="n"/>
      <c r="N256" s="477" t="n"/>
      <c r="O256" s="477" t="n"/>
      <c r="P256" s="477" t="n"/>
      <c r="Q256" s="477" t="n"/>
      <c r="R256" s="477" t="n"/>
      <c r="S256" s="477" t="n"/>
      <c r="T256" s="477" t="n"/>
      <c r="U256" s="477" t="n"/>
      <c r="V256" s="477" t="n"/>
      <c r="W256" s="477" t="n"/>
      <c r="X256" s="477" t="n"/>
      <c r="Y256" s="477" t="n"/>
      <c r="Z256" s="477" t="n"/>
    </row>
    <row r="257" ht="15.75" customHeight="1">
      <c r="A257" s="477" t="n"/>
      <c r="B257" s="477" t="n"/>
      <c r="C257" s="477" t="n"/>
      <c r="D257" s="477" t="n"/>
      <c r="E257" s="477" t="n"/>
      <c r="F257" s="477" t="n"/>
      <c r="G257" s="477" t="n"/>
      <c r="H257" s="505" t="n"/>
      <c r="I257" s="477" t="n"/>
      <c r="J257" s="477" t="n"/>
      <c r="K257" s="477" t="n"/>
      <c r="L257" s="477" t="n"/>
      <c r="M257" s="477" t="n"/>
      <c r="N257" s="477" t="n"/>
      <c r="O257" s="477" t="n"/>
      <c r="P257" s="477" t="n"/>
      <c r="Q257" s="477" t="n"/>
      <c r="R257" s="477" t="n"/>
      <c r="S257" s="477" t="n"/>
      <c r="T257" s="477" t="n"/>
      <c r="U257" s="477" t="n"/>
      <c r="V257" s="477" t="n"/>
      <c r="W257" s="477" t="n"/>
      <c r="X257" s="477" t="n"/>
      <c r="Y257" s="477" t="n"/>
      <c r="Z257" s="477" t="n"/>
    </row>
    <row r="258" ht="15.75" customHeight="1">
      <c r="A258" s="477" t="n"/>
      <c r="B258" s="477" t="n"/>
      <c r="C258" s="477" t="n"/>
      <c r="D258" s="477" t="n"/>
      <c r="E258" s="477" t="n"/>
      <c r="F258" s="477" t="n"/>
      <c r="G258" s="477" t="n"/>
      <c r="H258" s="505" t="n"/>
      <c r="I258" s="477" t="n"/>
      <c r="J258" s="477" t="n"/>
      <c r="K258" s="477" t="n"/>
      <c r="L258" s="477" t="n"/>
      <c r="M258" s="477" t="n"/>
      <c r="N258" s="477" t="n"/>
      <c r="O258" s="477" t="n"/>
      <c r="P258" s="477" t="n"/>
      <c r="Q258" s="477" t="n"/>
      <c r="R258" s="477" t="n"/>
      <c r="S258" s="477" t="n"/>
      <c r="T258" s="477" t="n"/>
      <c r="U258" s="477" t="n"/>
      <c r="V258" s="477" t="n"/>
      <c r="W258" s="477" t="n"/>
      <c r="X258" s="477" t="n"/>
      <c r="Y258" s="477" t="n"/>
      <c r="Z258" s="477" t="n"/>
    </row>
    <row r="259" ht="15.75" customHeight="1">
      <c r="A259" s="477" t="n"/>
      <c r="B259" s="477" t="n"/>
      <c r="C259" s="477" t="n"/>
      <c r="D259" s="477" t="n"/>
      <c r="E259" s="477" t="n"/>
      <c r="F259" s="477" t="n"/>
      <c r="G259" s="477" t="n"/>
      <c r="H259" s="505" t="n"/>
      <c r="I259" s="477" t="n"/>
      <c r="J259" s="477" t="n"/>
      <c r="K259" s="477" t="n"/>
      <c r="L259" s="477" t="n"/>
      <c r="M259" s="477" t="n"/>
      <c r="N259" s="477" t="n"/>
      <c r="O259" s="477" t="n"/>
      <c r="P259" s="477" t="n"/>
      <c r="Q259" s="477" t="n"/>
      <c r="R259" s="477" t="n"/>
      <c r="S259" s="477" t="n"/>
      <c r="T259" s="477" t="n"/>
      <c r="U259" s="477" t="n"/>
      <c r="V259" s="477" t="n"/>
      <c r="W259" s="477" t="n"/>
      <c r="X259" s="477" t="n"/>
      <c r="Y259" s="477" t="n"/>
      <c r="Z259" s="477" t="n"/>
    </row>
    <row r="260" ht="15.75" customHeight="1">
      <c r="A260" s="477" t="n"/>
      <c r="B260" s="477" t="n"/>
      <c r="C260" s="477" t="n"/>
      <c r="D260" s="477" t="n"/>
      <c r="E260" s="477" t="n"/>
      <c r="F260" s="477" t="n"/>
      <c r="G260" s="477" t="n"/>
      <c r="H260" s="505" t="n"/>
      <c r="I260" s="477" t="n"/>
      <c r="J260" s="477" t="n"/>
      <c r="K260" s="477" t="n"/>
      <c r="L260" s="477" t="n"/>
      <c r="M260" s="477" t="n"/>
      <c r="N260" s="477" t="n"/>
      <c r="O260" s="477" t="n"/>
      <c r="P260" s="477" t="n"/>
      <c r="Q260" s="477" t="n"/>
      <c r="R260" s="477" t="n"/>
      <c r="S260" s="477" t="n"/>
      <c r="T260" s="477" t="n"/>
      <c r="U260" s="477" t="n"/>
      <c r="V260" s="477" t="n"/>
      <c r="W260" s="477" t="n"/>
      <c r="X260" s="477" t="n"/>
      <c r="Y260" s="477" t="n"/>
      <c r="Z260" s="477" t="n"/>
    </row>
    <row r="261" ht="15.75" customHeight="1">
      <c r="A261" s="477" t="n"/>
      <c r="B261" s="477" t="n"/>
      <c r="C261" s="477" t="n"/>
      <c r="D261" s="477" t="n"/>
      <c r="E261" s="477" t="n"/>
      <c r="F261" s="477" t="n"/>
      <c r="G261" s="477" t="n"/>
      <c r="H261" s="505" t="n"/>
      <c r="I261" s="477" t="n"/>
      <c r="J261" s="477" t="n"/>
      <c r="K261" s="477" t="n"/>
      <c r="L261" s="477" t="n"/>
      <c r="M261" s="477" t="n"/>
      <c r="N261" s="477" t="n"/>
      <c r="O261" s="477" t="n"/>
      <c r="P261" s="477" t="n"/>
      <c r="Q261" s="477" t="n"/>
      <c r="R261" s="477" t="n"/>
      <c r="S261" s="477" t="n"/>
      <c r="T261" s="477" t="n"/>
      <c r="U261" s="477" t="n"/>
      <c r="V261" s="477" t="n"/>
      <c r="W261" s="477" t="n"/>
      <c r="X261" s="477" t="n"/>
      <c r="Y261" s="477" t="n"/>
      <c r="Z261" s="477" t="n"/>
    </row>
    <row r="262" ht="15.75" customHeight="1">
      <c r="A262" s="477" t="n"/>
      <c r="B262" s="477" t="n"/>
      <c r="C262" s="477" t="n"/>
      <c r="D262" s="477" t="n"/>
      <c r="E262" s="477" t="n"/>
      <c r="F262" s="477" t="n"/>
      <c r="G262" s="477" t="n"/>
      <c r="H262" s="505" t="n"/>
      <c r="I262" s="477" t="n"/>
      <c r="J262" s="477" t="n"/>
      <c r="K262" s="477" t="n"/>
      <c r="L262" s="477" t="n"/>
      <c r="M262" s="477" t="n"/>
      <c r="N262" s="477" t="n"/>
      <c r="O262" s="477" t="n"/>
      <c r="P262" s="477" t="n"/>
      <c r="Q262" s="477" t="n"/>
      <c r="R262" s="477" t="n"/>
      <c r="S262" s="477" t="n"/>
      <c r="T262" s="477" t="n"/>
      <c r="U262" s="477" t="n"/>
      <c r="V262" s="477" t="n"/>
      <c r="W262" s="477" t="n"/>
      <c r="X262" s="477" t="n"/>
      <c r="Y262" s="477" t="n"/>
      <c r="Z262" s="477" t="n"/>
    </row>
    <row r="263" ht="15.75" customHeight="1">
      <c r="A263" s="477" t="n"/>
      <c r="B263" s="477" t="n"/>
      <c r="C263" s="477" t="n"/>
      <c r="D263" s="477" t="n"/>
      <c r="E263" s="477" t="n"/>
      <c r="F263" s="477" t="n"/>
      <c r="G263" s="477" t="n"/>
      <c r="H263" s="505" t="n"/>
      <c r="I263" s="477" t="n"/>
      <c r="J263" s="477" t="n"/>
      <c r="K263" s="477" t="n"/>
      <c r="L263" s="477" t="n"/>
      <c r="M263" s="477" t="n"/>
      <c r="N263" s="477" t="n"/>
      <c r="O263" s="477" t="n"/>
      <c r="P263" s="477" t="n"/>
      <c r="Q263" s="477" t="n"/>
      <c r="R263" s="477" t="n"/>
      <c r="S263" s="477" t="n"/>
      <c r="T263" s="477" t="n"/>
      <c r="U263" s="477" t="n"/>
      <c r="V263" s="477" t="n"/>
      <c r="W263" s="477" t="n"/>
      <c r="X263" s="477" t="n"/>
      <c r="Y263" s="477" t="n"/>
      <c r="Z263" s="477" t="n"/>
    </row>
    <row r="264" ht="15.75" customHeight="1">
      <c r="A264" s="477" t="n"/>
      <c r="B264" s="477" t="n"/>
      <c r="C264" s="477" t="n"/>
      <c r="D264" s="477" t="n"/>
      <c r="E264" s="477" t="n"/>
      <c r="F264" s="477" t="n"/>
      <c r="G264" s="477" t="n"/>
      <c r="H264" s="505" t="n"/>
      <c r="I264" s="477" t="n"/>
      <c r="J264" s="477" t="n"/>
      <c r="K264" s="477" t="n"/>
      <c r="L264" s="477" t="n"/>
      <c r="M264" s="477" t="n"/>
      <c r="N264" s="477" t="n"/>
      <c r="O264" s="477" t="n"/>
      <c r="P264" s="477" t="n"/>
      <c r="Q264" s="477" t="n"/>
      <c r="R264" s="477" t="n"/>
      <c r="S264" s="477" t="n"/>
      <c r="T264" s="477" t="n"/>
      <c r="U264" s="477" t="n"/>
      <c r="V264" s="477" t="n"/>
      <c r="W264" s="477" t="n"/>
      <c r="X264" s="477" t="n"/>
      <c r="Y264" s="477" t="n"/>
      <c r="Z264" s="477" t="n"/>
    </row>
    <row r="265" ht="15.75" customHeight="1">
      <c r="A265" s="477" t="n"/>
      <c r="B265" s="477" t="n"/>
      <c r="C265" s="477" t="n"/>
      <c r="D265" s="477" t="n"/>
      <c r="E265" s="477" t="n"/>
      <c r="F265" s="477" t="n"/>
      <c r="G265" s="477" t="n"/>
      <c r="H265" s="505" t="n"/>
      <c r="I265" s="477" t="n"/>
      <c r="J265" s="477" t="n"/>
      <c r="K265" s="477" t="n"/>
      <c r="L265" s="477" t="n"/>
      <c r="M265" s="477" t="n"/>
      <c r="N265" s="477" t="n"/>
      <c r="O265" s="477" t="n"/>
      <c r="P265" s="477" t="n"/>
      <c r="Q265" s="477" t="n"/>
      <c r="R265" s="477" t="n"/>
      <c r="S265" s="477" t="n"/>
      <c r="T265" s="477" t="n"/>
      <c r="U265" s="477" t="n"/>
      <c r="V265" s="477" t="n"/>
      <c r="W265" s="477" t="n"/>
      <c r="X265" s="477" t="n"/>
      <c r="Y265" s="477" t="n"/>
      <c r="Z265" s="477" t="n"/>
    </row>
    <row r="266" ht="15.75" customHeight="1">
      <c r="A266" s="477" t="n"/>
      <c r="B266" s="477" t="n"/>
      <c r="C266" s="477" t="n"/>
      <c r="D266" s="477" t="n"/>
      <c r="E266" s="477" t="n"/>
      <c r="F266" s="477" t="n"/>
      <c r="G266" s="477" t="n"/>
      <c r="H266" s="505" t="n"/>
      <c r="I266" s="477" t="n"/>
      <c r="J266" s="477" t="n"/>
      <c r="K266" s="477" t="n"/>
      <c r="L266" s="477" t="n"/>
      <c r="M266" s="477" t="n"/>
      <c r="N266" s="477" t="n"/>
      <c r="O266" s="477" t="n"/>
      <c r="P266" s="477" t="n"/>
      <c r="Q266" s="477" t="n"/>
      <c r="R266" s="477" t="n"/>
      <c r="S266" s="477" t="n"/>
      <c r="T266" s="477" t="n"/>
      <c r="U266" s="477" t="n"/>
      <c r="V266" s="477" t="n"/>
      <c r="W266" s="477" t="n"/>
      <c r="X266" s="477" t="n"/>
      <c r="Y266" s="477" t="n"/>
      <c r="Z266" s="477" t="n"/>
    </row>
    <row r="267" ht="15.75" customHeight="1">
      <c r="A267" s="477" t="n"/>
      <c r="B267" s="477" t="n"/>
      <c r="C267" s="477" t="n"/>
      <c r="D267" s="477" t="n"/>
      <c r="E267" s="477" t="n"/>
      <c r="F267" s="477" t="n"/>
      <c r="G267" s="477" t="n"/>
      <c r="H267" s="505" t="n"/>
      <c r="I267" s="477" t="n"/>
      <c r="J267" s="477" t="n"/>
      <c r="K267" s="477" t="n"/>
      <c r="L267" s="477" t="n"/>
      <c r="M267" s="477" t="n"/>
      <c r="N267" s="477" t="n"/>
      <c r="O267" s="477" t="n"/>
      <c r="P267" s="477" t="n"/>
      <c r="Q267" s="477" t="n"/>
      <c r="R267" s="477" t="n"/>
      <c r="S267" s="477" t="n"/>
      <c r="T267" s="477" t="n"/>
      <c r="U267" s="477" t="n"/>
      <c r="V267" s="477" t="n"/>
      <c r="W267" s="477" t="n"/>
      <c r="X267" s="477" t="n"/>
      <c r="Y267" s="477" t="n"/>
      <c r="Z267" s="477" t="n"/>
    </row>
    <row r="268" ht="15.75" customHeight="1">
      <c r="A268" s="477" t="n"/>
      <c r="B268" s="477" t="n"/>
      <c r="C268" s="477" t="n"/>
      <c r="D268" s="477" t="n"/>
      <c r="E268" s="477" t="n"/>
      <c r="F268" s="477" t="n"/>
      <c r="G268" s="477" t="n"/>
      <c r="H268" s="505" t="n"/>
      <c r="I268" s="477" t="n"/>
      <c r="J268" s="477" t="n"/>
      <c r="K268" s="477" t="n"/>
      <c r="L268" s="477" t="n"/>
      <c r="M268" s="477" t="n"/>
      <c r="N268" s="477" t="n"/>
      <c r="O268" s="477" t="n"/>
      <c r="P268" s="477" t="n"/>
      <c r="Q268" s="477" t="n"/>
      <c r="R268" s="477" t="n"/>
      <c r="S268" s="477" t="n"/>
      <c r="T268" s="477" t="n"/>
      <c r="U268" s="477" t="n"/>
      <c r="V268" s="477" t="n"/>
      <c r="W268" s="477" t="n"/>
      <c r="X268" s="477" t="n"/>
      <c r="Y268" s="477" t="n"/>
      <c r="Z268" s="477" t="n"/>
    </row>
    <row r="269" ht="15.75" customHeight="1">
      <c r="A269" s="477" t="n"/>
      <c r="B269" s="477" t="n"/>
      <c r="C269" s="477" t="n"/>
      <c r="D269" s="477" t="n"/>
      <c r="E269" s="477" t="n"/>
      <c r="F269" s="477" t="n"/>
      <c r="G269" s="477" t="n"/>
      <c r="H269" s="505" t="n"/>
      <c r="I269" s="477" t="n"/>
      <c r="J269" s="477" t="n"/>
      <c r="K269" s="477" t="n"/>
      <c r="L269" s="477" t="n"/>
      <c r="M269" s="477" t="n"/>
      <c r="N269" s="477" t="n"/>
      <c r="O269" s="477" t="n"/>
      <c r="P269" s="477" t="n"/>
      <c r="Q269" s="477" t="n"/>
      <c r="R269" s="477" t="n"/>
      <c r="S269" s="477" t="n"/>
      <c r="T269" s="477" t="n"/>
      <c r="U269" s="477" t="n"/>
      <c r="V269" s="477" t="n"/>
      <c r="W269" s="477" t="n"/>
      <c r="X269" s="477" t="n"/>
      <c r="Y269" s="477" t="n"/>
      <c r="Z269" s="477" t="n"/>
    </row>
    <row r="270" ht="15.75" customHeight="1">
      <c r="A270" s="477" t="n"/>
      <c r="B270" s="477" t="n"/>
      <c r="C270" s="477" t="n"/>
      <c r="D270" s="477" t="n"/>
      <c r="E270" s="477" t="n"/>
      <c r="F270" s="477" t="n"/>
      <c r="G270" s="477" t="n"/>
      <c r="H270" s="505" t="n"/>
      <c r="I270" s="477" t="n"/>
      <c r="J270" s="477" t="n"/>
      <c r="K270" s="477" t="n"/>
      <c r="L270" s="477" t="n"/>
      <c r="M270" s="477" t="n"/>
      <c r="N270" s="477" t="n"/>
      <c r="O270" s="477" t="n"/>
      <c r="P270" s="477" t="n"/>
      <c r="Q270" s="477" t="n"/>
      <c r="R270" s="477" t="n"/>
      <c r="S270" s="477" t="n"/>
      <c r="T270" s="477" t="n"/>
      <c r="U270" s="477" t="n"/>
      <c r="V270" s="477" t="n"/>
      <c r="W270" s="477" t="n"/>
      <c r="X270" s="477" t="n"/>
      <c r="Y270" s="477" t="n"/>
      <c r="Z270" s="477" t="n"/>
    </row>
    <row r="271" ht="15.75" customHeight="1">
      <c r="A271" s="477" t="n"/>
      <c r="B271" s="477" t="n"/>
      <c r="C271" s="477" t="n"/>
      <c r="D271" s="477" t="n"/>
      <c r="E271" s="477" t="n"/>
      <c r="F271" s="477" t="n"/>
      <c r="G271" s="477" t="n"/>
      <c r="H271" s="505" t="n"/>
      <c r="I271" s="477" t="n"/>
      <c r="J271" s="477" t="n"/>
      <c r="K271" s="477" t="n"/>
      <c r="L271" s="477" t="n"/>
      <c r="M271" s="477" t="n"/>
      <c r="N271" s="477" t="n"/>
      <c r="O271" s="477" t="n"/>
      <c r="P271" s="477" t="n"/>
      <c r="Q271" s="477" t="n"/>
      <c r="R271" s="477" t="n"/>
      <c r="S271" s="477" t="n"/>
      <c r="T271" s="477" t="n"/>
      <c r="U271" s="477" t="n"/>
      <c r="V271" s="477" t="n"/>
      <c r="W271" s="477" t="n"/>
      <c r="X271" s="477" t="n"/>
      <c r="Y271" s="477" t="n"/>
      <c r="Z271" s="477" t="n"/>
    </row>
    <row r="272" ht="15.75" customHeight="1">
      <c r="A272" s="477" t="n"/>
      <c r="B272" s="477" t="n"/>
      <c r="C272" s="477" t="n"/>
      <c r="D272" s="477" t="n"/>
      <c r="E272" s="477" t="n"/>
      <c r="F272" s="477" t="n"/>
      <c r="G272" s="477" t="n"/>
      <c r="H272" s="505" t="n"/>
      <c r="I272" s="477" t="n"/>
      <c r="J272" s="477" t="n"/>
      <c r="K272" s="477" t="n"/>
      <c r="L272" s="477" t="n"/>
      <c r="M272" s="477" t="n"/>
      <c r="N272" s="477" t="n"/>
      <c r="O272" s="477" t="n"/>
      <c r="P272" s="477" t="n"/>
      <c r="Q272" s="477" t="n"/>
      <c r="R272" s="477" t="n"/>
      <c r="S272" s="477" t="n"/>
      <c r="T272" s="477" t="n"/>
      <c r="U272" s="477" t="n"/>
      <c r="V272" s="477" t="n"/>
      <c r="W272" s="477" t="n"/>
      <c r="X272" s="477" t="n"/>
      <c r="Y272" s="477" t="n"/>
      <c r="Z272" s="477" t="n"/>
    </row>
    <row r="273" ht="15.75" customHeight="1">
      <c r="A273" s="477" t="n"/>
      <c r="B273" s="477" t="n"/>
      <c r="C273" s="477" t="n"/>
      <c r="D273" s="477" t="n"/>
      <c r="E273" s="477" t="n"/>
      <c r="F273" s="477" t="n"/>
      <c r="G273" s="477" t="n"/>
      <c r="H273" s="505" t="n"/>
      <c r="I273" s="477" t="n"/>
      <c r="J273" s="477" t="n"/>
      <c r="K273" s="477" t="n"/>
      <c r="L273" s="477" t="n"/>
      <c r="M273" s="477" t="n"/>
      <c r="N273" s="477" t="n"/>
      <c r="O273" s="477" t="n"/>
      <c r="P273" s="477" t="n"/>
      <c r="Q273" s="477" t="n"/>
      <c r="R273" s="477" t="n"/>
      <c r="S273" s="477" t="n"/>
      <c r="T273" s="477" t="n"/>
      <c r="U273" s="477" t="n"/>
      <c r="V273" s="477" t="n"/>
      <c r="W273" s="477" t="n"/>
      <c r="X273" s="477" t="n"/>
      <c r="Y273" s="477" t="n"/>
      <c r="Z273" s="477" t="n"/>
    </row>
    <row r="274" ht="15.75" customHeight="1">
      <c r="A274" s="477" t="n"/>
      <c r="B274" s="477" t="n"/>
      <c r="C274" s="477" t="n"/>
      <c r="D274" s="477" t="n"/>
      <c r="E274" s="477" t="n"/>
      <c r="F274" s="477" t="n"/>
      <c r="G274" s="477" t="n"/>
      <c r="H274" s="505" t="n"/>
      <c r="I274" s="477" t="n"/>
      <c r="J274" s="477" t="n"/>
      <c r="K274" s="477" t="n"/>
      <c r="L274" s="477" t="n"/>
      <c r="M274" s="477" t="n"/>
      <c r="N274" s="477" t="n"/>
      <c r="O274" s="477" t="n"/>
      <c r="P274" s="477" t="n"/>
      <c r="Q274" s="477" t="n"/>
      <c r="R274" s="477" t="n"/>
      <c r="S274" s="477" t="n"/>
      <c r="T274" s="477" t="n"/>
      <c r="U274" s="477" t="n"/>
      <c r="V274" s="477" t="n"/>
      <c r="W274" s="477" t="n"/>
      <c r="X274" s="477" t="n"/>
      <c r="Y274" s="477" t="n"/>
      <c r="Z274" s="477" t="n"/>
    </row>
    <row r="275" ht="15.75" customHeight="1">
      <c r="A275" s="477" t="n"/>
      <c r="B275" s="477" t="n"/>
      <c r="C275" s="477" t="n"/>
      <c r="D275" s="477" t="n"/>
      <c r="E275" s="477" t="n"/>
      <c r="F275" s="477" t="n"/>
      <c r="G275" s="477" t="n"/>
      <c r="H275" s="505" t="n"/>
      <c r="I275" s="477" t="n"/>
      <c r="J275" s="477" t="n"/>
      <c r="K275" s="477" t="n"/>
      <c r="L275" s="477" t="n"/>
      <c r="M275" s="477" t="n"/>
      <c r="N275" s="477" t="n"/>
      <c r="O275" s="477" t="n"/>
      <c r="P275" s="477" t="n"/>
      <c r="Q275" s="477" t="n"/>
      <c r="R275" s="477" t="n"/>
      <c r="S275" s="477" t="n"/>
      <c r="T275" s="477" t="n"/>
      <c r="U275" s="477" t="n"/>
      <c r="V275" s="477" t="n"/>
      <c r="W275" s="477" t="n"/>
      <c r="X275" s="477" t="n"/>
      <c r="Y275" s="477" t="n"/>
      <c r="Z275" s="477" t="n"/>
    </row>
    <row r="276" ht="15.75" customHeight="1">
      <c r="A276" s="477" t="n"/>
      <c r="B276" s="477" t="n"/>
      <c r="C276" s="477" t="n"/>
      <c r="D276" s="477" t="n"/>
      <c r="E276" s="477" t="n"/>
      <c r="F276" s="477" t="n"/>
      <c r="G276" s="477" t="n"/>
      <c r="H276" s="505" t="n"/>
      <c r="I276" s="477" t="n"/>
      <c r="J276" s="477" t="n"/>
      <c r="K276" s="477" t="n"/>
      <c r="L276" s="477" t="n"/>
      <c r="M276" s="477" t="n"/>
      <c r="N276" s="477" t="n"/>
      <c r="O276" s="477" t="n"/>
      <c r="P276" s="477" t="n"/>
      <c r="Q276" s="477" t="n"/>
      <c r="R276" s="477" t="n"/>
      <c r="S276" s="477" t="n"/>
      <c r="T276" s="477" t="n"/>
      <c r="U276" s="477" t="n"/>
      <c r="V276" s="477" t="n"/>
      <c r="W276" s="477" t="n"/>
      <c r="X276" s="477" t="n"/>
      <c r="Y276" s="477" t="n"/>
      <c r="Z276" s="477" t="n"/>
    </row>
    <row r="277" ht="15.75" customHeight="1">
      <c r="A277" s="477" t="n"/>
      <c r="B277" s="477" t="n"/>
      <c r="C277" s="477" t="n"/>
      <c r="D277" s="477" t="n"/>
      <c r="E277" s="477" t="n"/>
      <c r="F277" s="477" t="n"/>
      <c r="G277" s="477" t="n"/>
      <c r="H277" s="505" t="n"/>
      <c r="I277" s="477" t="n"/>
      <c r="J277" s="477" t="n"/>
      <c r="K277" s="477" t="n"/>
      <c r="L277" s="477" t="n"/>
      <c r="M277" s="477" t="n"/>
      <c r="N277" s="477" t="n"/>
      <c r="O277" s="477" t="n"/>
      <c r="P277" s="477" t="n"/>
      <c r="Q277" s="477" t="n"/>
      <c r="R277" s="477" t="n"/>
      <c r="S277" s="477" t="n"/>
      <c r="T277" s="477" t="n"/>
      <c r="U277" s="477" t="n"/>
      <c r="V277" s="477" t="n"/>
      <c r="W277" s="477" t="n"/>
      <c r="X277" s="477" t="n"/>
      <c r="Y277" s="477" t="n"/>
      <c r="Z277" s="477" t="n"/>
    </row>
    <row r="278" ht="15.75" customHeight="1">
      <c r="A278" s="477" t="n"/>
      <c r="B278" s="477" t="n"/>
      <c r="C278" s="477" t="n"/>
      <c r="D278" s="477" t="n"/>
      <c r="E278" s="477" t="n"/>
      <c r="F278" s="477" t="n"/>
      <c r="G278" s="477" t="n"/>
      <c r="H278" s="505" t="n"/>
      <c r="I278" s="477" t="n"/>
      <c r="J278" s="477" t="n"/>
      <c r="K278" s="477" t="n"/>
      <c r="L278" s="477" t="n"/>
      <c r="M278" s="477" t="n"/>
      <c r="N278" s="477" t="n"/>
      <c r="O278" s="477" t="n"/>
      <c r="P278" s="477" t="n"/>
      <c r="Q278" s="477" t="n"/>
      <c r="R278" s="477" t="n"/>
      <c r="S278" s="477" t="n"/>
      <c r="T278" s="477" t="n"/>
      <c r="U278" s="477" t="n"/>
      <c r="V278" s="477" t="n"/>
      <c r="W278" s="477" t="n"/>
      <c r="X278" s="477" t="n"/>
      <c r="Y278" s="477" t="n"/>
      <c r="Z278" s="477" t="n"/>
    </row>
    <row r="279" ht="15.75" customHeight="1">
      <c r="A279" s="477" t="n"/>
      <c r="B279" s="477" t="n"/>
      <c r="C279" s="477" t="n"/>
      <c r="D279" s="477" t="n"/>
      <c r="E279" s="477" t="n"/>
      <c r="F279" s="477" t="n"/>
      <c r="G279" s="477" t="n"/>
      <c r="H279" s="505" t="n"/>
      <c r="I279" s="477" t="n"/>
      <c r="J279" s="477" t="n"/>
      <c r="K279" s="477" t="n"/>
      <c r="L279" s="477" t="n"/>
      <c r="M279" s="477" t="n"/>
      <c r="N279" s="477" t="n"/>
      <c r="O279" s="477" t="n"/>
      <c r="P279" s="477" t="n"/>
      <c r="Q279" s="477" t="n"/>
      <c r="R279" s="477" t="n"/>
      <c r="S279" s="477" t="n"/>
      <c r="T279" s="477" t="n"/>
      <c r="U279" s="477" t="n"/>
      <c r="V279" s="477" t="n"/>
      <c r="W279" s="477" t="n"/>
      <c r="X279" s="477" t="n"/>
      <c r="Y279" s="477" t="n"/>
      <c r="Z279" s="477" t="n"/>
    </row>
    <row r="280" ht="15.75" customHeight="1">
      <c r="A280" s="477" t="n"/>
      <c r="B280" s="477" t="n"/>
      <c r="C280" s="477" t="n"/>
      <c r="D280" s="477" t="n"/>
      <c r="E280" s="477" t="n"/>
      <c r="F280" s="477" t="n"/>
      <c r="G280" s="477" t="n"/>
      <c r="H280" s="505" t="n"/>
      <c r="I280" s="477" t="n"/>
      <c r="J280" s="477" t="n"/>
      <c r="K280" s="477" t="n"/>
      <c r="L280" s="477" t="n"/>
      <c r="M280" s="477" t="n"/>
      <c r="N280" s="477" t="n"/>
      <c r="O280" s="477" t="n"/>
      <c r="P280" s="477" t="n"/>
      <c r="Q280" s="477" t="n"/>
      <c r="R280" s="477" t="n"/>
      <c r="S280" s="477" t="n"/>
      <c r="T280" s="477" t="n"/>
      <c r="U280" s="477" t="n"/>
      <c r="V280" s="477" t="n"/>
      <c r="W280" s="477" t="n"/>
      <c r="X280" s="477" t="n"/>
      <c r="Y280" s="477" t="n"/>
      <c r="Z280" s="477" t="n"/>
    </row>
    <row r="281" ht="15.75" customHeight="1">
      <c r="A281" s="477" t="n"/>
      <c r="B281" s="477" t="n"/>
      <c r="C281" s="477" t="n"/>
      <c r="D281" s="477" t="n"/>
      <c r="E281" s="477" t="n"/>
      <c r="F281" s="477" t="n"/>
      <c r="G281" s="477" t="n"/>
      <c r="H281" s="505" t="n"/>
      <c r="I281" s="477" t="n"/>
      <c r="J281" s="477" t="n"/>
      <c r="K281" s="477" t="n"/>
      <c r="L281" s="477" t="n"/>
      <c r="M281" s="477" t="n"/>
      <c r="N281" s="477" t="n"/>
      <c r="O281" s="477" t="n"/>
      <c r="P281" s="477" t="n"/>
      <c r="Q281" s="477" t="n"/>
      <c r="R281" s="477" t="n"/>
      <c r="S281" s="477" t="n"/>
      <c r="T281" s="477" t="n"/>
      <c r="U281" s="477" t="n"/>
      <c r="V281" s="477" t="n"/>
      <c r="W281" s="477" t="n"/>
      <c r="X281" s="477" t="n"/>
      <c r="Y281" s="477" t="n"/>
      <c r="Z281" s="477" t="n"/>
    </row>
    <row r="282" ht="15.75" customHeight="1">
      <c r="A282" s="477" t="n"/>
      <c r="B282" s="477" t="n"/>
      <c r="C282" s="477" t="n"/>
      <c r="D282" s="477" t="n"/>
      <c r="E282" s="477" t="n"/>
      <c r="F282" s="477" t="n"/>
      <c r="G282" s="477" t="n"/>
      <c r="H282" s="505" t="n"/>
      <c r="I282" s="477" t="n"/>
      <c r="J282" s="477" t="n"/>
      <c r="K282" s="477" t="n"/>
      <c r="L282" s="477" t="n"/>
      <c r="M282" s="477" t="n"/>
      <c r="N282" s="477" t="n"/>
      <c r="O282" s="477" t="n"/>
      <c r="P282" s="477" t="n"/>
      <c r="Q282" s="477" t="n"/>
      <c r="R282" s="477" t="n"/>
      <c r="S282" s="477" t="n"/>
      <c r="T282" s="477" t="n"/>
      <c r="U282" s="477" t="n"/>
      <c r="V282" s="477" t="n"/>
      <c r="W282" s="477" t="n"/>
      <c r="X282" s="477" t="n"/>
      <c r="Y282" s="477" t="n"/>
      <c r="Z282" s="477" t="n"/>
    </row>
    <row r="283" ht="15.75" customHeight="1">
      <c r="A283" s="477" t="n"/>
      <c r="B283" s="477" t="n"/>
      <c r="C283" s="477" t="n"/>
      <c r="D283" s="477" t="n"/>
      <c r="E283" s="477" t="n"/>
      <c r="F283" s="477" t="n"/>
      <c r="G283" s="477" t="n"/>
      <c r="H283" s="505" t="n"/>
      <c r="I283" s="477" t="n"/>
      <c r="J283" s="477" t="n"/>
      <c r="K283" s="477" t="n"/>
      <c r="L283" s="477" t="n"/>
      <c r="M283" s="477" t="n"/>
      <c r="N283" s="477" t="n"/>
      <c r="O283" s="477" t="n"/>
      <c r="P283" s="477" t="n"/>
      <c r="Q283" s="477" t="n"/>
      <c r="R283" s="477" t="n"/>
      <c r="S283" s="477" t="n"/>
      <c r="T283" s="477" t="n"/>
      <c r="U283" s="477" t="n"/>
      <c r="V283" s="477" t="n"/>
      <c r="W283" s="477" t="n"/>
      <c r="X283" s="477" t="n"/>
      <c r="Y283" s="477" t="n"/>
      <c r="Z283" s="477" t="n"/>
    </row>
    <row r="284" ht="15.75" customHeight="1">
      <c r="A284" s="477" t="n"/>
      <c r="B284" s="477" t="n"/>
      <c r="C284" s="477" t="n"/>
      <c r="D284" s="477" t="n"/>
      <c r="E284" s="477" t="n"/>
      <c r="F284" s="477" t="n"/>
      <c r="G284" s="477" t="n"/>
      <c r="H284" s="505" t="n"/>
      <c r="I284" s="477" t="n"/>
      <c r="J284" s="477" t="n"/>
      <c r="K284" s="477" t="n"/>
      <c r="L284" s="477" t="n"/>
      <c r="M284" s="477" t="n"/>
      <c r="N284" s="477" t="n"/>
      <c r="O284" s="477" t="n"/>
      <c r="P284" s="477" t="n"/>
      <c r="Q284" s="477" t="n"/>
      <c r="R284" s="477" t="n"/>
      <c r="S284" s="477" t="n"/>
      <c r="T284" s="477" t="n"/>
      <c r="U284" s="477" t="n"/>
      <c r="V284" s="477" t="n"/>
      <c r="W284" s="477" t="n"/>
      <c r="X284" s="477" t="n"/>
      <c r="Y284" s="477" t="n"/>
      <c r="Z284" s="477" t="n"/>
    </row>
    <row r="285" ht="15.75" customHeight="1">
      <c r="A285" s="477" t="n"/>
      <c r="B285" s="477" t="n"/>
      <c r="C285" s="477" t="n"/>
      <c r="D285" s="477" t="n"/>
      <c r="E285" s="477" t="n"/>
      <c r="F285" s="477" t="n"/>
      <c r="G285" s="477" t="n"/>
      <c r="H285" s="505" t="n"/>
      <c r="I285" s="477" t="n"/>
      <c r="J285" s="477" t="n"/>
      <c r="K285" s="477" t="n"/>
      <c r="L285" s="477" t="n"/>
      <c r="M285" s="477" t="n"/>
      <c r="N285" s="477" t="n"/>
      <c r="O285" s="477" t="n"/>
      <c r="P285" s="477" t="n"/>
      <c r="Q285" s="477" t="n"/>
      <c r="R285" s="477" t="n"/>
      <c r="S285" s="477" t="n"/>
      <c r="T285" s="477" t="n"/>
      <c r="U285" s="477" t="n"/>
      <c r="V285" s="477" t="n"/>
      <c r="W285" s="477" t="n"/>
      <c r="X285" s="477" t="n"/>
      <c r="Y285" s="477" t="n"/>
      <c r="Z285" s="477" t="n"/>
    </row>
    <row r="286" ht="15.75" customHeight="1">
      <c r="A286" s="477" t="n"/>
      <c r="B286" s="477" t="n"/>
      <c r="C286" s="477" t="n"/>
      <c r="D286" s="477" t="n"/>
      <c r="E286" s="477" t="n"/>
      <c r="F286" s="477" t="n"/>
      <c r="G286" s="477" t="n"/>
      <c r="H286" s="505" t="n"/>
      <c r="I286" s="477" t="n"/>
      <c r="J286" s="477" t="n"/>
      <c r="K286" s="477" t="n"/>
      <c r="L286" s="477" t="n"/>
      <c r="M286" s="477" t="n"/>
      <c r="N286" s="477" t="n"/>
      <c r="O286" s="477" t="n"/>
      <c r="P286" s="477" t="n"/>
      <c r="Q286" s="477" t="n"/>
      <c r="R286" s="477" t="n"/>
      <c r="S286" s="477" t="n"/>
      <c r="T286" s="477" t="n"/>
      <c r="U286" s="477" t="n"/>
      <c r="V286" s="477" t="n"/>
      <c r="W286" s="477" t="n"/>
      <c r="X286" s="477" t="n"/>
      <c r="Y286" s="477" t="n"/>
      <c r="Z286" s="477" t="n"/>
    </row>
    <row r="287" ht="15.75" customHeight="1">
      <c r="A287" s="477" t="n"/>
      <c r="B287" s="477" t="n"/>
      <c r="C287" s="477" t="n"/>
      <c r="D287" s="477" t="n"/>
      <c r="E287" s="477" t="n"/>
      <c r="F287" s="477" t="n"/>
      <c r="G287" s="477" t="n"/>
      <c r="H287" s="505" t="n"/>
      <c r="I287" s="477" t="n"/>
      <c r="J287" s="477" t="n"/>
      <c r="K287" s="477" t="n"/>
      <c r="L287" s="477" t="n"/>
      <c r="M287" s="477" t="n"/>
      <c r="N287" s="477" t="n"/>
      <c r="O287" s="477" t="n"/>
      <c r="P287" s="477" t="n"/>
      <c r="Q287" s="477" t="n"/>
      <c r="R287" s="477" t="n"/>
      <c r="S287" s="477" t="n"/>
      <c r="T287" s="477" t="n"/>
      <c r="U287" s="477" t="n"/>
      <c r="V287" s="477" t="n"/>
      <c r="W287" s="477" t="n"/>
      <c r="X287" s="477" t="n"/>
      <c r="Y287" s="477" t="n"/>
      <c r="Z287" s="477" t="n"/>
    </row>
    <row r="288" ht="15.75" customHeight="1">
      <c r="A288" s="477" t="n"/>
      <c r="B288" s="477" t="n"/>
      <c r="C288" s="477" t="n"/>
      <c r="D288" s="477" t="n"/>
      <c r="E288" s="477" t="n"/>
      <c r="F288" s="477" t="n"/>
      <c r="G288" s="477" t="n"/>
      <c r="H288" s="505" t="n"/>
      <c r="I288" s="477" t="n"/>
      <c r="J288" s="477" t="n"/>
      <c r="K288" s="477" t="n"/>
      <c r="L288" s="477" t="n"/>
      <c r="M288" s="477" t="n"/>
      <c r="N288" s="477" t="n"/>
      <c r="O288" s="477" t="n"/>
      <c r="P288" s="477" t="n"/>
      <c r="Q288" s="477" t="n"/>
      <c r="R288" s="477" t="n"/>
      <c r="S288" s="477" t="n"/>
      <c r="T288" s="477" t="n"/>
      <c r="U288" s="477" t="n"/>
      <c r="V288" s="477" t="n"/>
      <c r="W288" s="477" t="n"/>
      <c r="X288" s="477" t="n"/>
      <c r="Y288" s="477" t="n"/>
      <c r="Z288" s="477" t="n"/>
    </row>
    <row r="289" ht="15.75" customHeight="1">
      <c r="A289" s="477" t="n"/>
      <c r="B289" s="477" t="n"/>
      <c r="C289" s="477" t="n"/>
      <c r="D289" s="477" t="n"/>
      <c r="E289" s="477" t="n"/>
      <c r="F289" s="477" t="n"/>
      <c r="G289" s="477" t="n"/>
      <c r="H289" s="505" t="n"/>
      <c r="I289" s="477" t="n"/>
      <c r="J289" s="477" t="n"/>
      <c r="K289" s="477" t="n"/>
      <c r="L289" s="477" t="n"/>
      <c r="M289" s="477" t="n"/>
      <c r="N289" s="477" t="n"/>
      <c r="O289" s="477" t="n"/>
      <c r="P289" s="477" t="n"/>
      <c r="Q289" s="477" t="n"/>
      <c r="R289" s="477" t="n"/>
      <c r="S289" s="477" t="n"/>
      <c r="T289" s="477" t="n"/>
      <c r="U289" s="477" t="n"/>
      <c r="V289" s="477" t="n"/>
      <c r="W289" s="477" t="n"/>
      <c r="X289" s="477" t="n"/>
      <c r="Y289" s="477" t="n"/>
      <c r="Z289" s="477" t="n"/>
    </row>
    <row r="290" ht="15.75" customHeight="1">
      <c r="A290" s="477" t="n"/>
      <c r="B290" s="477" t="n"/>
      <c r="C290" s="477" t="n"/>
      <c r="D290" s="477" t="n"/>
      <c r="E290" s="477" t="n"/>
      <c r="F290" s="477" t="n"/>
      <c r="G290" s="477" t="n"/>
      <c r="H290" s="505" t="n"/>
      <c r="I290" s="477" t="n"/>
      <c r="J290" s="477" t="n"/>
      <c r="K290" s="477" t="n"/>
      <c r="L290" s="477" t="n"/>
      <c r="M290" s="477" t="n"/>
      <c r="N290" s="477" t="n"/>
      <c r="O290" s="477" t="n"/>
      <c r="P290" s="477" t="n"/>
      <c r="Q290" s="477" t="n"/>
      <c r="R290" s="477" t="n"/>
      <c r="S290" s="477" t="n"/>
      <c r="T290" s="477" t="n"/>
      <c r="U290" s="477" t="n"/>
      <c r="V290" s="477" t="n"/>
      <c r="W290" s="477" t="n"/>
      <c r="X290" s="477" t="n"/>
      <c r="Y290" s="477" t="n"/>
      <c r="Z290" s="477" t="n"/>
    </row>
    <row r="291" ht="15.75" customHeight="1">
      <c r="A291" s="477" t="n"/>
      <c r="B291" s="477" t="n"/>
      <c r="C291" s="477" t="n"/>
      <c r="D291" s="477" t="n"/>
      <c r="E291" s="477" t="n"/>
      <c r="F291" s="477" t="n"/>
      <c r="G291" s="477" t="n"/>
      <c r="H291" s="505" t="n"/>
      <c r="I291" s="477" t="n"/>
      <c r="J291" s="477" t="n"/>
      <c r="K291" s="477" t="n"/>
      <c r="L291" s="477" t="n"/>
      <c r="M291" s="477" t="n"/>
      <c r="N291" s="477" t="n"/>
      <c r="O291" s="477" t="n"/>
      <c r="P291" s="477" t="n"/>
      <c r="Q291" s="477" t="n"/>
      <c r="R291" s="477" t="n"/>
      <c r="S291" s="477" t="n"/>
      <c r="T291" s="477" t="n"/>
      <c r="U291" s="477" t="n"/>
      <c r="V291" s="477" t="n"/>
      <c r="W291" s="477" t="n"/>
      <c r="X291" s="477" t="n"/>
      <c r="Y291" s="477" t="n"/>
      <c r="Z291" s="477" t="n"/>
    </row>
    <row r="292" ht="15.75" customHeight="1">
      <c r="A292" s="477" t="n"/>
      <c r="B292" s="477" t="n"/>
      <c r="C292" s="477" t="n"/>
      <c r="D292" s="477" t="n"/>
      <c r="E292" s="477" t="n"/>
      <c r="F292" s="477" t="n"/>
      <c r="G292" s="477" t="n"/>
      <c r="H292" s="505" t="n"/>
      <c r="I292" s="477" t="n"/>
      <c r="J292" s="477" t="n"/>
      <c r="K292" s="477" t="n"/>
      <c r="L292" s="477" t="n"/>
      <c r="M292" s="477" t="n"/>
      <c r="N292" s="477" t="n"/>
      <c r="O292" s="477" t="n"/>
      <c r="P292" s="477" t="n"/>
      <c r="Q292" s="477" t="n"/>
      <c r="R292" s="477" t="n"/>
      <c r="S292" s="477" t="n"/>
      <c r="T292" s="477" t="n"/>
      <c r="U292" s="477" t="n"/>
      <c r="V292" s="477" t="n"/>
      <c r="W292" s="477" t="n"/>
      <c r="X292" s="477" t="n"/>
      <c r="Y292" s="477" t="n"/>
      <c r="Z292" s="477" t="n"/>
    </row>
    <row r="293" ht="15.75" customHeight="1">
      <c r="A293" s="477" t="n"/>
      <c r="B293" s="477" t="n"/>
      <c r="C293" s="477" t="n"/>
      <c r="D293" s="477" t="n"/>
      <c r="E293" s="477" t="n"/>
      <c r="F293" s="477" t="n"/>
      <c r="G293" s="477" t="n"/>
      <c r="H293" s="505" t="n"/>
      <c r="I293" s="477" t="n"/>
      <c r="J293" s="477" t="n"/>
      <c r="K293" s="477" t="n"/>
      <c r="L293" s="477" t="n"/>
      <c r="M293" s="477" t="n"/>
      <c r="N293" s="477" t="n"/>
      <c r="O293" s="477" t="n"/>
      <c r="P293" s="477" t="n"/>
      <c r="Q293" s="477" t="n"/>
      <c r="R293" s="477" t="n"/>
      <c r="S293" s="477" t="n"/>
      <c r="T293" s="477" t="n"/>
      <c r="U293" s="477" t="n"/>
      <c r="V293" s="477" t="n"/>
      <c r="W293" s="477" t="n"/>
      <c r="X293" s="477" t="n"/>
      <c r="Y293" s="477" t="n"/>
      <c r="Z293" s="477" t="n"/>
    </row>
    <row r="294" ht="15.75" customHeight="1">
      <c r="A294" s="477" t="n"/>
      <c r="B294" s="477" t="n"/>
      <c r="C294" s="477" t="n"/>
      <c r="D294" s="477" t="n"/>
      <c r="E294" s="477" t="n"/>
      <c r="F294" s="477" t="n"/>
      <c r="G294" s="477" t="n"/>
      <c r="H294" s="505" t="n"/>
      <c r="I294" s="477" t="n"/>
      <c r="J294" s="477" t="n"/>
      <c r="K294" s="477" t="n"/>
      <c r="L294" s="477" t="n"/>
      <c r="M294" s="477" t="n"/>
      <c r="N294" s="477" t="n"/>
      <c r="O294" s="477" t="n"/>
      <c r="P294" s="477" t="n"/>
      <c r="Q294" s="477" t="n"/>
      <c r="R294" s="477" t="n"/>
      <c r="S294" s="477" t="n"/>
      <c r="T294" s="477" t="n"/>
      <c r="U294" s="477" t="n"/>
      <c r="V294" s="477" t="n"/>
      <c r="W294" s="477" t="n"/>
      <c r="X294" s="477" t="n"/>
      <c r="Y294" s="477" t="n"/>
      <c r="Z294" s="477" t="n"/>
    </row>
    <row r="295" ht="15.75" customHeight="1">
      <c r="A295" s="477" t="n"/>
      <c r="B295" s="477" t="n"/>
      <c r="C295" s="477" t="n"/>
      <c r="D295" s="477" t="n"/>
      <c r="E295" s="477" t="n"/>
      <c r="F295" s="477" t="n"/>
      <c r="G295" s="477" t="n"/>
      <c r="H295" s="505" t="n"/>
      <c r="I295" s="477" t="n"/>
      <c r="J295" s="477" t="n"/>
      <c r="K295" s="477" t="n"/>
      <c r="L295" s="477" t="n"/>
      <c r="M295" s="477" t="n"/>
      <c r="N295" s="477" t="n"/>
      <c r="O295" s="477" t="n"/>
      <c r="P295" s="477" t="n"/>
      <c r="Q295" s="477" t="n"/>
      <c r="R295" s="477" t="n"/>
      <c r="S295" s="477" t="n"/>
      <c r="T295" s="477" t="n"/>
      <c r="U295" s="477" t="n"/>
      <c r="V295" s="477" t="n"/>
      <c r="W295" s="477" t="n"/>
      <c r="X295" s="477" t="n"/>
      <c r="Y295" s="477" t="n"/>
      <c r="Z295" s="477" t="n"/>
    </row>
    <row r="296" ht="15.75" customHeight="1">
      <c r="A296" s="477" t="n"/>
      <c r="B296" s="477" t="n"/>
      <c r="C296" s="477" t="n"/>
      <c r="D296" s="477" t="n"/>
      <c r="E296" s="477" t="n"/>
      <c r="F296" s="477" t="n"/>
      <c r="G296" s="477" t="n"/>
      <c r="H296" s="505" t="n"/>
      <c r="I296" s="477" t="n"/>
      <c r="J296" s="477" t="n"/>
      <c r="K296" s="477" t="n"/>
      <c r="L296" s="477" t="n"/>
      <c r="M296" s="477" t="n"/>
      <c r="N296" s="477" t="n"/>
      <c r="O296" s="477" t="n"/>
      <c r="P296" s="477" t="n"/>
      <c r="Q296" s="477" t="n"/>
      <c r="R296" s="477" t="n"/>
      <c r="S296" s="477" t="n"/>
      <c r="T296" s="477" t="n"/>
      <c r="U296" s="477" t="n"/>
      <c r="V296" s="477" t="n"/>
      <c r="W296" s="477" t="n"/>
      <c r="X296" s="477" t="n"/>
      <c r="Y296" s="477" t="n"/>
      <c r="Z296" s="477" t="n"/>
    </row>
    <row r="297" ht="15.75" customHeight="1">
      <c r="A297" s="477" t="n"/>
      <c r="B297" s="477" t="n"/>
      <c r="C297" s="477" t="n"/>
      <c r="D297" s="477" t="n"/>
      <c r="E297" s="477" t="n"/>
      <c r="F297" s="477" t="n"/>
      <c r="G297" s="477" t="n"/>
      <c r="H297" s="505" t="n"/>
      <c r="I297" s="477" t="n"/>
      <c r="J297" s="477" t="n"/>
      <c r="K297" s="477" t="n"/>
      <c r="L297" s="477" t="n"/>
      <c r="M297" s="477" t="n"/>
      <c r="N297" s="477" t="n"/>
      <c r="O297" s="477" t="n"/>
      <c r="P297" s="477" t="n"/>
      <c r="Q297" s="477" t="n"/>
      <c r="R297" s="477" t="n"/>
      <c r="S297" s="477" t="n"/>
      <c r="T297" s="477" t="n"/>
      <c r="U297" s="477" t="n"/>
      <c r="V297" s="477" t="n"/>
      <c r="W297" s="477" t="n"/>
      <c r="X297" s="477" t="n"/>
      <c r="Y297" s="477" t="n"/>
      <c r="Z297" s="477" t="n"/>
    </row>
    <row r="298" ht="15.75" customHeight="1">
      <c r="A298" s="477" t="n"/>
      <c r="B298" s="477" t="n"/>
      <c r="C298" s="477" t="n"/>
      <c r="D298" s="477" t="n"/>
      <c r="E298" s="477" t="n"/>
      <c r="F298" s="477" t="n"/>
      <c r="G298" s="477" t="n"/>
      <c r="H298" s="505" t="n"/>
      <c r="I298" s="477" t="n"/>
      <c r="J298" s="477" t="n"/>
      <c r="K298" s="477" t="n"/>
      <c r="L298" s="477" t="n"/>
      <c r="M298" s="477" t="n"/>
      <c r="N298" s="477" t="n"/>
      <c r="O298" s="477" t="n"/>
      <c r="P298" s="477" t="n"/>
      <c r="Q298" s="477" t="n"/>
      <c r="R298" s="477" t="n"/>
      <c r="S298" s="477" t="n"/>
      <c r="T298" s="477" t="n"/>
      <c r="U298" s="477" t="n"/>
      <c r="V298" s="477" t="n"/>
      <c r="W298" s="477" t="n"/>
      <c r="X298" s="477" t="n"/>
      <c r="Y298" s="477" t="n"/>
      <c r="Z298" s="477" t="n"/>
    </row>
    <row r="299" ht="15.75" customHeight="1">
      <c r="A299" s="477" t="n"/>
      <c r="B299" s="477" t="n"/>
      <c r="C299" s="477" t="n"/>
      <c r="D299" s="477" t="n"/>
      <c r="E299" s="477" t="n"/>
      <c r="F299" s="477" t="n"/>
      <c r="G299" s="477" t="n"/>
      <c r="H299" s="505" t="n"/>
      <c r="I299" s="477" t="n"/>
      <c r="J299" s="477" t="n"/>
      <c r="K299" s="477" t="n"/>
      <c r="L299" s="477" t="n"/>
      <c r="M299" s="477" t="n"/>
      <c r="N299" s="477" t="n"/>
      <c r="O299" s="477" t="n"/>
      <c r="P299" s="477" t="n"/>
      <c r="Q299" s="477" t="n"/>
      <c r="R299" s="477" t="n"/>
      <c r="S299" s="477" t="n"/>
      <c r="T299" s="477" t="n"/>
      <c r="U299" s="477" t="n"/>
      <c r="V299" s="477" t="n"/>
      <c r="W299" s="477" t="n"/>
      <c r="X299" s="477" t="n"/>
      <c r="Y299" s="477" t="n"/>
      <c r="Z299" s="477" t="n"/>
    </row>
    <row r="300" ht="15.75" customHeight="1">
      <c r="A300" s="477" t="n"/>
      <c r="B300" s="477" t="n"/>
      <c r="C300" s="477" t="n"/>
      <c r="D300" s="477" t="n"/>
      <c r="E300" s="477" t="n"/>
      <c r="F300" s="477" t="n"/>
      <c r="G300" s="477" t="n"/>
      <c r="H300" s="505" t="n"/>
      <c r="I300" s="477" t="n"/>
      <c r="J300" s="477" t="n"/>
      <c r="K300" s="477" t="n"/>
      <c r="L300" s="477" t="n"/>
      <c r="M300" s="477" t="n"/>
      <c r="N300" s="477" t="n"/>
      <c r="O300" s="477" t="n"/>
      <c r="P300" s="477" t="n"/>
      <c r="Q300" s="477" t="n"/>
      <c r="R300" s="477" t="n"/>
      <c r="S300" s="477" t="n"/>
      <c r="T300" s="477" t="n"/>
      <c r="U300" s="477" t="n"/>
      <c r="V300" s="477" t="n"/>
      <c r="W300" s="477" t="n"/>
      <c r="X300" s="477" t="n"/>
      <c r="Y300" s="477" t="n"/>
      <c r="Z300" s="477" t="n"/>
    </row>
    <row r="301" ht="15.75" customHeight="1">
      <c r="A301" s="477" t="n"/>
      <c r="B301" s="477" t="n"/>
      <c r="C301" s="477" t="n"/>
      <c r="D301" s="477" t="n"/>
      <c r="E301" s="477" t="n"/>
      <c r="F301" s="477" t="n"/>
      <c r="G301" s="477" t="n"/>
      <c r="H301" s="505" t="n"/>
      <c r="I301" s="477" t="n"/>
      <c r="J301" s="477" t="n"/>
      <c r="K301" s="477" t="n"/>
      <c r="L301" s="477" t="n"/>
      <c r="M301" s="477" t="n"/>
      <c r="N301" s="477" t="n"/>
      <c r="O301" s="477" t="n"/>
      <c r="P301" s="477" t="n"/>
      <c r="Q301" s="477" t="n"/>
      <c r="R301" s="477" t="n"/>
      <c r="S301" s="477" t="n"/>
      <c r="T301" s="477" t="n"/>
      <c r="U301" s="477" t="n"/>
      <c r="V301" s="477" t="n"/>
      <c r="W301" s="477" t="n"/>
      <c r="X301" s="477" t="n"/>
      <c r="Y301" s="477" t="n"/>
      <c r="Z301" s="477" t="n"/>
    </row>
    <row r="302" ht="15.75" customHeight="1">
      <c r="A302" s="477" t="n"/>
      <c r="B302" s="477" t="n"/>
      <c r="C302" s="477" t="n"/>
      <c r="D302" s="477" t="n"/>
      <c r="E302" s="477" t="n"/>
      <c r="F302" s="477" t="n"/>
      <c r="G302" s="477" t="n"/>
      <c r="H302" s="505" t="n"/>
      <c r="I302" s="477" t="n"/>
      <c r="J302" s="477" t="n"/>
      <c r="K302" s="477" t="n"/>
      <c r="L302" s="477" t="n"/>
      <c r="M302" s="477" t="n"/>
      <c r="N302" s="477" t="n"/>
      <c r="O302" s="477" t="n"/>
      <c r="P302" s="477" t="n"/>
      <c r="Q302" s="477" t="n"/>
      <c r="R302" s="477" t="n"/>
      <c r="S302" s="477" t="n"/>
      <c r="T302" s="477" t="n"/>
      <c r="U302" s="477" t="n"/>
      <c r="V302" s="477" t="n"/>
      <c r="W302" s="477" t="n"/>
      <c r="X302" s="477" t="n"/>
      <c r="Y302" s="477" t="n"/>
      <c r="Z302" s="477" t="n"/>
    </row>
    <row r="303" ht="15.75" customHeight="1">
      <c r="A303" s="477" t="n"/>
      <c r="B303" s="477" t="n"/>
      <c r="C303" s="477" t="n"/>
      <c r="D303" s="477" t="n"/>
      <c r="E303" s="477" t="n"/>
      <c r="F303" s="477" t="n"/>
      <c r="G303" s="477" t="n"/>
      <c r="H303" s="505" t="n"/>
      <c r="I303" s="477" t="n"/>
      <c r="J303" s="477" t="n"/>
      <c r="K303" s="477" t="n"/>
      <c r="L303" s="477" t="n"/>
      <c r="M303" s="477" t="n"/>
      <c r="N303" s="477" t="n"/>
      <c r="O303" s="477" t="n"/>
      <c r="P303" s="477" t="n"/>
      <c r="Q303" s="477" t="n"/>
      <c r="R303" s="477" t="n"/>
      <c r="S303" s="477" t="n"/>
      <c r="T303" s="477" t="n"/>
      <c r="U303" s="477" t="n"/>
      <c r="V303" s="477" t="n"/>
      <c r="W303" s="477" t="n"/>
      <c r="X303" s="477" t="n"/>
      <c r="Y303" s="477" t="n"/>
      <c r="Z303" s="477" t="n"/>
    </row>
    <row r="304" ht="15.75" customHeight="1">
      <c r="A304" s="477" t="n"/>
      <c r="B304" s="477" t="n"/>
      <c r="C304" s="477" t="n"/>
      <c r="D304" s="477" t="n"/>
      <c r="E304" s="477" t="n"/>
      <c r="F304" s="477" t="n"/>
      <c r="G304" s="477" t="n"/>
      <c r="H304" s="505" t="n"/>
      <c r="I304" s="477" t="n"/>
      <c r="J304" s="477" t="n"/>
      <c r="K304" s="477" t="n"/>
      <c r="L304" s="477" t="n"/>
      <c r="M304" s="477" t="n"/>
      <c r="N304" s="477" t="n"/>
      <c r="O304" s="477" t="n"/>
      <c r="P304" s="477" t="n"/>
      <c r="Q304" s="477" t="n"/>
      <c r="R304" s="477" t="n"/>
      <c r="S304" s="477" t="n"/>
      <c r="T304" s="477" t="n"/>
      <c r="U304" s="477" t="n"/>
      <c r="V304" s="477" t="n"/>
      <c r="W304" s="477" t="n"/>
      <c r="X304" s="477" t="n"/>
      <c r="Y304" s="477" t="n"/>
      <c r="Z304" s="477" t="n"/>
    </row>
    <row r="305" ht="15.75" customHeight="1">
      <c r="A305" s="477" t="n"/>
      <c r="B305" s="477" t="n"/>
      <c r="C305" s="477" t="n"/>
      <c r="D305" s="477" t="n"/>
      <c r="E305" s="477" t="n"/>
      <c r="F305" s="477" t="n"/>
      <c r="G305" s="477" t="n"/>
      <c r="H305" s="505" t="n"/>
      <c r="I305" s="477" t="n"/>
      <c r="J305" s="477" t="n"/>
      <c r="K305" s="477" t="n"/>
      <c r="L305" s="477" t="n"/>
      <c r="M305" s="477" t="n"/>
      <c r="N305" s="477" t="n"/>
      <c r="O305" s="477" t="n"/>
      <c r="P305" s="477" t="n"/>
      <c r="Q305" s="477" t="n"/>
      <c r="R305" s="477" t="n"/>
      <c r="S305" s="477" t="n"/>
      <c r="T305" s="477" t="n"/>
      <c r="U305" s="477" t="n"/>
      <c r="V305" s="477" t="n"/>
      <c r="W305" s="477" t="n"/>
      <c r="X305" s="477" t="n"/>
      <c r="Y305" s="477" t="n"/>
      <c r="Z305" s="477" t="n"/>
    </row>
    <row r="306" ht="15.75" customHeight="1">
      <c r="A306" s="477" t="n"/>
      <c r="B306" s="477" t="n"/>
      <c r="C306" s="477" t="n"/>
      <c r="D306" s="477" t="n"/>
      <c r="E306" s="477" t="n"/>
      <c r="F306" s="477" t="n"/>
      <c r="G306" s="477" t="n"/>
      <c r="H306" s="505" t="n"/>
      <c r="I306" s="477" t="n"/>
      <c r="J306" s="477" t="n"/>
      <c r="K306" s="477" t="n"/>
      <c r="L306" s="477" t="n"/>
      <c r="M306" s="477" t="n"/>
      <c r="N306" s="477" t="n"/>
      <c r="O306" s="477" t="n"/>
      <c r="P306" s="477" t="n"/>
      <c r="Q306" s="477" t="n"/>
      <c r="R306" s="477" t="n"/>
      <c r="S306" s="477" t="n"/>
      <c r="T306" s="477" t="n"/>
      <c r="U306" s="477" t="n"/>
      <c r="V306" s="477" t="n"/>
      <c r="W306" s="477" t="n"/>
      <c r="X306" s="477" t="n"/>
      <c r="Y306" s="477" t="n"/>
      <c r="Z306" s="477" t="n"/>
    </row>
    <row r="307" ht="15.75" customHeight="1">
      <c r="A307" s="477" t="n"/>
      <c r="B307" s="477" t="n"/>
      <c r="C307" s="477" t="n"/>
      <c r="D307" s="477" t="n"/>
      <c r="E307" s="477" t="n"/>
      <c r="F307" s="477" t="n"/>
      <c r="G307" s="477" t="n"/>
      <c r="H307" s="505" t="n"/>
      <c r="I307" s="477" t="n"/>
      <c r="J307" s="477" t="n"/>
      <c r="K307" s="477" t="n"/>
      <c r="L307" s="477" t="n"/>
      <c r="M307" s="477" t="n"/>
      <c r="N307" s="477" t="n"/>
      <c r="O307" s="477" t="n"/>
      <c r="P307" s="477" t="n"/>
      <c r="Q307" s="477" t="n"/>
      <c r="R307" s="477" t="n"/>
      <c r="S307" s="477" t="n"/>
      <c r="T307" s="477" t="n"/>
      <c r="U307" s="477" t="n"/>
      <c r="V307" s="477" t="n"/>
      <c r="W307" s="477" t="n"/>
      <c r="X307" s="477" t="n"/>
      <c r="Y307" s="477" t="n"/>
      <c r="Z307" s="477" t="n"/>
    </row>
    <row r="308" ht="15.75" customHeight="1">
      <c r="A308" s="477" t="n"/>
      <c r="B308" s="477" t="n"/>
      <c r="C308" s="477" t="n"/>
      <c r="D308" s="477" t="n"/>
      <c r="E308" s="477" t="n"/>
      <c r="F308" s="477" t="n"/>
      <c r="G308" s="477" t="n"/>
      <c r="H308" s="505" t="n"/>
      <c r="I308" s="477" t="n"/>
      <c r="J308" s="477" t="n"/>
      <c r="K308" s="477" t="n"/>
      <c r="L308" s="477" t="n"/>
      <c r="M308" s="477" t="n"/>
      <c r="N308" s="477" t="n"/>
      <c r="O308" s="477" t="n"/>
      <c r="P308" s="477" t="n"/>
      <c r="Q308" s="477" t="n"/>
      <c r="R308" s="477" t="n"/>
      <c r="S308" s="477" t="n"/>
      <c r="T308" s="477" t="n"/>
      <c r="U308" s="477" t="n"/>
      <c r="V308" s="477" t="n"/>
      <c r="W308" s="477" t="n"/>
      <c r="X308" s="477" t="n"/>
      <c r="Y308" s="477" t="n"/>
      <c r="Z308" s="477" t="n"/>
    </row>
    <row r="309" ht="15.75" customHeight="1">
      <c r="A309" s="477" t="n"/>
      <c r="B309" s="477" t="n"/>
      <c r="C309" s="477" t="n"/>
      <c r="D309" s="477" t="n"/>
      <c r="E309" s="477" t="n"/>
      <c r="F309" s="477" t="n"/>
      <c r="G309" s="477" t="n"/>
      <c r="H309" s="505" t="n"/>
      <c r="I309" s="477" t="n"/>
      <c r="J309" s="477" t="n"/>
      <c r="K309" s="477" t="n"/>
      <c r="L309" s="477" t="n"/>
      <c r="M309" s="477" t="n"/>
      <c r="N309" s="477" t="n"/>
      <c r="O309" s="477" t="n"/>
      <c r="P309" s="477" t="n"/>
      <c r="Q309" s="477" t="n"/>
      <c r="R309" s="477" t="n"/>
      <c r="S309" s="477" t="n"/>
      <c r="T309" s="477" t="n"/>
      <c r="U309" s="477" t="n"/>
      <c r="V309" s="477" t="n"/>
      <c r="W309" s="477" t="n"/>
      <c r="X309" s="477" t="n"/>
      <c r="Y309" s="477" t="n"/>
      <c r="Z309" s="477" t="n"/>
    </row>
    <row r="310" ht="15.75" customHeight="1">
      <c r="A310" s="477" t="n"/>
      <c r="B310" s="477" t="n"/>
      <c r="C310" s="477" t="n"/>
      <c r="D310" s="477" t="n"/>
      <c r="E310" s="477" t="n"/>
      <c r="F310" s="477" t="n"/>
      <c r="G310" s="477" t="n"/>
      <c r="H310" s="505" t="n"/>
      <c r="I310" s="477" t="n"/>
      <c r="J310" s="477" t="n"/>
      <c r="K310" s="477" t="n"/>
      <c r="L310" s="477" t="n"/>
      <c r="M310" s="477" t="n"/>
      <c r="N310" s="477" t="n"/>
      <c r="O310" s="477" t="n"/>
      <c r="P310" s="477" t="n"/>
      <c r="Q310" s="477" t="n"/>
      <c r="R310" s="477" t="n"/>
      <c r="S310" s="477" t="n"/>
      <c r="T310" s="477" t="n"/>
      <c r="U310" s="477" t="n"/>
      <c r="V310" s="477" t="n"/>
      <c r="W310" s="477" t="n"/>
      <c r="X310" s="477" t="n"/>
      <c r="Y310" s="477" t="n"/>
      <c r="Z310" s="477" t="n"/>
    </row>
    <row r="311" ht="15.75" customHeight="1">
      <c r="A311" s="477" t="n"/>
      <c r="B311" s="477" t="n"/>
      <c r="C311" s="477" t="n"/>
      <c r="D311" s="477" t="n"/>
      <c r="E311" s="477" t="n"/>
      <c r="F311" s="477" t="n"/>
      <c r="G311" s="477" t="n"/>
      <c r="H311" s="505" t="n"/>
      <c r="I311" s="477" t="n"/>
      <c r="J311" s="477" t="n"/>
      <c r="K311" s="477" t="n"/>
      <c r="L311" s="477" t="n"/>
      <c r="M311" s="477" t="n"/>
      <c r="N311" s="477" t="n"/>
      <c r="O311" s="477" t="n"/>
      <c r="P311" s="477" t="n"/>
      <c r="Q311" s="477" t="n"/>
      <c r="R311" s="477" t="n"/>
      <c r="S311" s="477" t="n"/>
      <c r="T311" s="477" t="n"/>
      <c r="U311" s="477" t="n"/>
      <c r="V311" s="477" t="n"/>
      <c r="W311" s="477" t="n"/>
      <c r="X311" s="477" t="n"/>
      <c r="Y311" s="477" t="n"/>
      <c r="Z311" s="477" t="n"/>
    </row>
    <row r="312" ht="15.75" customHeight="1">
      <c r="A312" s="477" t="n"/>
      <c r="B312" s="477" t="n"/>
      <c r="C312" s="477" t="n"/>
      <c r="D312" s="477" t="n"/>
      <c r="E312" s="477" t="n"/>
      <c r="F312" s="477" t="n"/>
      <c r="G312" s="477" t="n"/>
      <c r="H312" s="505" t="n"/>
      <c r="I312" s="477" t="n"/>
      <c r="J312" s="477" t="n"/>
      <c r="K312" s="477" t="n"/>
      <c r="L312" s="477" t="n"/>
      <c r="M312" s="477" t="n"/>
      <c r="N312" s="477" t="n"/>
      <c r="O312" s="477" t="n"/>
      <c r="P312" s="477" t="n"/>
      <c r="Q312" s="477" t="n"/>
      <c r="R312" s="477" t="n"/>
      <c r="S312" s="477" t="n"/>
      <c r="T312" s="477" t="n"/>
      <c r="U312" s="477" t="n"/>
      <c r="V312" s="477" t="n"/>
      <c r="W312" s="477" t="n"/>
      <c r="X312" s="477" t="n"/>
      <c r="Y312" s="477" t="n"/>
      <c r="Z312" s="477" t="n"/>
    </row>
    <row r="313" ht="15.75" customHeight="1">
      <c r="A313" s="477" t="n"/>
      <c r="B313" s="477" t="n"/>
      <c r="C313" s="477" t="n"/>
      <c r="D313" s="477" t="n"/>
      <c r="E313" s="477" t="n"/>
      <c r="F313" s="477" t="n"/>
      <c r="G313" s="477" t="n"/>
      <c r="H313" s="505" t="n"/>
      <c r="I313" s="477" t="n"/>
      <c r="J313" s="477" t="n"/>
      <c r="K313" s="477" t="n"/>
      <c r="L313" s="477" t="n"/>
      <c r="M313" s="477" t="n"/>
      <c r="N313" s="477" t="n"/>
      <c r="O313" s="477" t="n"/>
      <c r="P313" s="477" t="n"/>
      <c r="Q313" s="477" t="n"/>
      <c r="R313" s="477" t="n"/>
      <c r="S313" s="477" t="n"/>
      <c r="T313" s="477" t="n"/>
      <c r="U313" s="477" t="n"/>
      <c r="V313" s="477" t="n"/>
      <c r="W313" s="477" t="n"/>
      <c r="X313" s="477" t="n"/>
      <c r="Y313" s="477" t="n"/>
      <c r="Z313" s="477" t="n"/>
    </row>
    <row r="314" ht="15.75" customHeight="1">
      <c r="A314" s="477" t="n"/>
      <c r="B314" s="477" t="n"/>
      <c r="C314" s="477" t="n"/>
      <c r="D314" s="477" t="n"/>
      <c r="E314" s="477" t="n"/>
      <c r="F314" s="477" t="n"/>
      <c r="G314" s="477" t="n"/>
      <c r="H314" s="505" t="n"/>
      <c r="I314" s="477" t="n"/>
      <c r="J314" s="477" t="n"/>
      <c r="K314" s="477" t="n"/>
      <c r="L314" s="477" t="n"/>
      <c r="M314" s="477" t="n"/>
      <c r="N314" s="477" t="n"/>
      <c r="O314" s="477" t="n"/>
      <c r="P314" s="477" t="n"/>
      <c r="Q314" s="477" t="n"/>
      <c r="R314" s="477" t="n"/>
      <c r="S314" s="477" t="n"/>
      <c r="T314" s="477" t="n"/>
      <c r="U314" s="477" t="n"/>
      <c r="V314" s="477" t="n"/>
      <c r="W314" s="477" t="n"/>
      <c r="X314" s="477" t="n"/>
      <c r="Y314" s="477" t="n"/>
      <c r="Z314" s="477" t="n"/>
    </row>
    <row r="315" ht="15.75" customHeight="1">
      <c r="A315" s="477" t="n"/>
      <c r="B315" s="477" t="n"/>
      <c r="C315" s="477" t="n"/>
      <c r="D315" s="477" t="n"/>
      <c r="E315" s="477" t="n"/>
      <c r="F315" s="477" t="n"/>
      <c r="G315" s="477" t="n"/>
      <c r="H315" s="505" t="n"/>
      <c r="I315" s="477" t="n"/>
      <c r="J315" s="477" t="n"/>
      <c r="K315" s="477" t="n"/>
      <c r="L315" s="477" t="n"/>
      <c r="M315" s="477" t="n"/>
      <c r="N315" s="477" t="n"/>
      <c r="O315" s="477" t="n"/>
      <c r="P315" s="477" t="n"/>
      <c r="Q315" s="477" t="n"/>
      <c r="R315" s="477" t="n"/>
      <c r="S315" s="477" t="n"/>
      <c r="T315" s="477" t="n"/>
      <c r="U315" s="477" t="n"/>
      <c r="V315" s="477" t="n"/>
      <c r="W315" s="477" t="n"/>
      <c r="X315" s="477" t="n"/>
      <c r="Y315" s="477" t="n"/>
      <c r="Z315" s="477" t="n"/>
    </row>
    <row r="316" ht="15.75" customHeight="1">
      <c r="A316" s="477" t="n"/>
      <c r="B316" s="477" t="n"/>
      <c r="C316" s="477" t="n"/>
      <c r="D316" s="477" t="n"/>
      <c r="E316" s="477" t="n"/>
      <c r="F316" s="477" t="n"/>
      <c r="G316" s="477" t="n"/>
      <c r="H316" s="505" t="n"/>
      <c r="I316" s="477" t="n"/>
      <c r="J316" s="477" t="n"/>
      <c r="K316" s="477" t="n"/>
      <c r="L316" s="477" t="n"/>
      <c r="M316" s="477" t="n"/>
      <c r="N316" s="477" t="n"/>
      <c r="O316" s="477" t="n"/>
      <c r="P316" s="477" t="n"/>
      <c r="Q316" s="477" t="n"/>
      <c r="R316" s="477" t="n"/>
      <c r="S316" s="477" t="n"/>
      <c r="T316" s="477" t="n"/>
      <c r="U316" s="477" t="n"/>
      <c r="V316" s="477" t="n"/>
      <c r="W316" s="477" t="n"/>
      <c r="X316" s="477" t="n"/>
      <c r="Y316" s="477" t="n"/>
      <c r="Z316" s="477" t="n"/>
    </row>
    <row r="317" ht="15.75" customHeight="1">
      <c r="A317" s="477" t="n"/>
      <c r="B317" s="477" t="n"/>
      <c r="C317" s="477" t="n"/>
      <c r="D317" s="477" t="n"/>
      <c r="E317" s="477" t="n"/>
      <c r="F317" s="477" t="n"/>
      <c r="G317" s="477" t="n"/>
      <c r="H317" s="505" t="n"/>
      <c r="I317" s="477" t="n"/>
      <c r="J317" s="477" t="n"/>
      <c r="K317" s="477" t="n"/>
      <c r="L317" s="477" t="n"/>
      <c r="M317" s="477" t="n"/>
      <c r="N317" s="477" t="n"/>
      <c r="O317" s="477" t="n"/>
      <c r="P317" s="477" t="n"/>
      <c r="Q317" s="477" t="n"/>
      <c r="R317" s="477" t="n"/>
      <c r="S317" s="477" t="n"/>
      <c r="T317" s="477" t="n"/>
      <c r="U317" s="477" t="n"/>
      <c r="V317" s="477" t="n"/>
      <c r="W317" s="477" t="n"/>
      <c r="X317" s="477" t="n"/>
      <c r="Y317" s="477" t="n"/>
      <c r="Z317" s="477" t="n"/>
    </row>
    <row r="318" ht="15.75" customHeight="1">
      <c r="A318" s="477" t="n"/>
      <c r="B318" s="477" t="n"/>
      <c r="C318" s="477" t="n"/>
      <c r="D318" s="477" t="n"/>
      <c r="E318" s="477" t="n"/>
      <c r="F318" s="477" t="n"/>
      <c r="G318" s="477" t="n"/>
      <c r="H318" s="505" t="n"/>
      <c r="I318" s="477" t="n"/>
      <c r="J318" s="477" t="n"/>
      <c r="K318" s="477" t="n"/>
      <c r="L318" s="477" t="n"/>
      <c r="M318" s="477" t="n"/>
      <c r="N318" s="477" t="n"/>
      <c r="O318" s="477" t="n"/>
      <c r="P318" s="477" t="n"/>
      <c r="Q318" s="477" t="n"/>
      <c r="R318" s="477" t="n"/>
      <c r="S318" s="477" t="n"/>
      <c r="T318" s="477" t="n"/>
      <c r="U318" s="477" t="n"/>
      <c r="V318" s="477" t="n"/>
      <c r="W318" s="477" t="n"/>
      <c r="X318" s="477" t="n"/>
      <c r="Y318" s="477" t="n"/>
      <c r="Z318" s="477" t="n"/>
    </row>
    <row r="319" ht="15.75" customHeight="1">
      <c r="A319" s="477" t="n"/>
      <c r="B319" s="477" t="n"/>
      <c r="C319" s="477" t="n"/>
      <c r="D319" s="477" t="n"/>
      <c r="E319" s="477" t="n"/>
      <c r="F319" s="477" t="n"/>
      <c r="G319" s="477" t="n"/>
      <c r="H319" s="505" t="n"/>
      <c r="I319" s="477" t="n"/>
      <c r="J319" s="477" t="n"/>
      <c r="K319" s="477" t="n"/>
      <c r="L319" s="477" t="n"/>
      <c r="M319" s="477" t="n"/>
      <c r="N319" s="477" t="n"/>
      <c r="O319" s="477" t="n"/>
      <c r="P319" s="477" t="n"/>
      <c r="Q319" s="477" t="n"/>
      <c r="R319" s="477" t="n"/>
      <c r="S319" s="477" t="n"/>
      <c r="T319" s="477" t="n"/>
      <c r="U319" s="477" t="n"/>
      <c r="V319" s="477" t="n"/>
      <c r="W319" s="477" t="n"/>
      <c r="X319" s="477" t="n"/>
      <c r="Y319" s="477" t="n"/>
      <c r="Z319" s="477" t="n"/>
    </row>
    <row r="320" ht="15.75" customHeight="1">
      <c r="A320" s="477" t="n"/>
      <c r="B320" s="477" t="n"/>
      <c r="C320" s="477" t="n"/>
      <c r="D320" s="477" t="n"/>
      <c r="E320" s="477" t="n"/>
      <c r="F320" s="477" t="n"/>
      <c r="G320" s="477" t="n"/>
      <c r="H320" s="505" t="n"/>
      <c r="I320" s="477" t="n"/>
      <c r="J320" s="477" t="n"/>
      <c r="K320" s="477" t="n"/>
      <c r="L320" s="477" t="n"/>
      <c r="M320" s="477" t="n"/>
      <c r="N320" s="477" t="n"/>
      <c r="O320" s="477" t="n"/>
      <c r="P320" s="477" t="n"/>
      <c r="Q320" s="477" t="n"/>
      <c r="R320" s="477" t="n"/>
      <c r="S320" s="477" t="n"/>
      <c r="T320" s="477" t="n"/>
      <c r="U320" s="477" t="n"/>
      <c r="V320" s="477" t="n"/>
      <c r="W320" s="477" t="n"/>
      <c r="X320" s="477" t="n"/>
      <c r="Y320" s="477" t="n"/>
      <c r="Z320" s="477" t="n"/>
    </row>
    <row r="321" ht="15.75" customHeight="1">
      <c r="A321" s="477" t="n"/>
      <c r="B321" s="477" t="n"/>
      <c r="C321" s="477" t="n"/>
      <c r="D321" s="477" t="n"/>
      <c r="E321" s="477" t="n"/>
      <c r="F321" s="477" t="n"/>
      <c r="G321" s="477" t="n"/>
      <c r="H321" s="505" t="n"/>
      <c r="I321" s="477" t="n"/>
      <c r="J321" s="477" t="n"/>
      <c r="K321" s="477" t="n"/>
      <c r="L321" s="477" t="n"/>
      <c r="M321" s="477" t="n"/>
      <c r="N321" s="477" t="n"/>
      <c r="O321" s="477" t="n"/>
      <c r="P321" s="477" t="n"/>
      <c r="Q321" s="477" t="n"/>
      <c r="R321" s="477" t="n"/>
      <c r="S321" s="477" t="n"/>
      <c r="T321" s="477" t="n"/>
      <c r="U321" s="477" t="n"/>
      <c r="V321" s="477" t="n"/>
      <c r="W321" s="477" t="n"/>
      <c r="X321" s="477" t="n"/>
      <c r="Y321" s="477" t="n"/>
      <c r="Z321" s="477" t="n"/>
    </row>
    <row r="322" ht="15.75" customHeight="1">
      <c r="A322" s="477" t="n"/>
      <c r="B322" s="477" t="n"/>
      <c r="C322" s="477" t="n"/>
      <c r="D322" s="477" t="n"/>
      <c r="E322" s="477" t="n"/>
      <c r="F322" s="477" t="n"/>
      <c r="G322" s="477" t="n"/>
      <c r="H322" s="505" t="n"/>
      <c r="I322" s="477" t="n"/>
      <c r="J322" s="477" t="n"/>
      <c r="K322" s="477" t="n"/>
      <c r="L322" s="477" t="n"/>
      <c r="M322" s="477" t="n"/>
      <c r="N322" s="477" t="n"/>
      <c r="O322" s="477" t="n"/>
      <c r="P322" s="477" t="n"/>
      <c r="Q322" s="477" t="n"/>
      <c r="R322" s="477" t="n"/>
      <c r="S322" s="477" t="n"/>
      <c r="T322" s="477" t="n"/>
      <c r="U322" s="477" t="n"/>
      <c r="V322" s="477" t="n"/>
      <c r="W322" s="477" t="n"/>
      <c r="X322" s="477" t="n"/>
      <c r="Y322" s="477" t="n"/>
      <c r="Z322" s="477" t="n"/>
    </row>
    <row r="323" ht="15.75" customHeight="1">
      <c r="A323" s="477" t="n"/>
      <c r="B323" s="477" t="n"/>
      <c r="C323" s="477" t="n"/>
      <c r="D323" s="477" t="n"/>
      <c r="E323" s="477" t="n"/>
      <c r="F323" s="477" t="n"/>
      <c r="G323" s="477" t="n"/>
      <c r="H323" s="505" t="n"/>
      <c r="I323" s="477" t="n"/>
      <c r="J323" s="477" t="n"/>
      <c r="K323" s="477" t="n"/>
      <c r="L323" s="477" t="n"/>
      <c r="M323" s="477" t="n"/>
      <c r="N323" s="477" t="n"/>
      <c r="O323" s="477" t="n"/>
      <c r="P323" s="477" t="n"/>
      <c r="Q323" s="477" t="n"/>
      <c r="R323" s="477" t="n"/>
      <c r="S323" s="477" t="n"/>
      <c r="T323" s="477" t="n"/>
      <c r="U323" s="477" t="n"/>
      <c r="V323" s="477" t="n"/>
      <c r="W323" s="477" t="n"/>
      <c r="X323" s="477" t="n"/>
      <c r="Y323" s="477" t="n"/>
      <c r="Z323" s="477" t="n"/>
    </row>
    <row r="324" ht="15.75" customHeight="1">
      <c r="A324" s="477" t="n"/>
      <c r="B324" s="477" t="n"/>
      <c r="C324" s="477" t="n"/>
      <c r="D324" s="477" t="n"/>
      <c r="E324" s="477" t="n"/>
      <c r="F324" s="477" t="n"/>
      <c r="G324" s="477" t="n"/>
      <c r="H324" s="505" t="n"/>
      <c r="I324" s="477" t="n"/>
      <c r="J324" s="477" t="n"/>
      <c r="K324" s="477" t="n"/>
      <c r="L324" s="477" t="n"/>
      <c r="M324" s="477" t="n"/>
      <c r="N324" s="477" t="n"/>
      <c r="O324" s="477" t="n"/>
      <c r="P324" s="477" t="n"/>
      <c r="Q324" s="477" t="n"/>
      <c r="R324" s="477" t="n"/>
      <c r="S324" s="477" t="n"/>
      <c r="T324" s="477" t="n"/>
      <c r="U324" s="477" t="n"/>
      <c r="V324" s="477" t="n"/>
      <c r="W324" s="477" t="n"/>
      <c r="X324" s="477" t="n"/>
      <c r="Y324" s="477" t="n"/>
      <c r="Z324" s="477" t="n"/>
    </row>
    <row r="325" ht="15.75" customHeight="1">
      <c r="A325" s="477" t="n"/>
      <c r="B325" s="477" t="n"/>
      <c r="C325" s="477" t="n"/>
      <c r="D325" s="477" t="n"/>
      <c r="E325" s="477" t="n"/>
      <c r="F325" s="477" t="n"/>
      <c r="G325" s="477" t="n"/>
      <c r="H325" s="505" t="n"/>
      <c r="I325" s="477" t="n"/>
      <c r="J325" s="477" t="n"/>
      <c r="K325" s="477" t="n"/>
      <c r="L325" s="477" t="n"/>
      <c r="M325" s="477" t="n"/>
      <c r="N325" s="477" t="n"/>
      <c r="O325" s="477" t="n"/>
      <c r="P325" s="477" t="n"/>
      <c r="Q325" s="477" t="n"/>
      <c r="R325" s="477" t="n"/>
      <c r="S325" s="477" t="n"/>
      <c r="T325" s="477" t="n"/>
      <c r="U325" s="477" t="n"/>
      <c r="V325" s="477" t="n"/>
      <c r="W325" s="477" t="n"/>
      <c r="X325" s="477" t="n"/>
      <c r="Y325" s="477" t="n"/>
      <c r="Z325" s="477" t="n"/>
    </row>
    <row r="326" ht="15.75" customHeight="1">
      <c r="A326" s="477" t="n"/>
      <c r="B326" s="477" t="n"/>
      <c r="C326" s="477" t="n"/>
      <c r="D326" s="477" t="n"/>
      <c r="E326" s="477" t="n"/>
      <c r="F326" s="477" t="n"/>
      <c r="G326" s="477" t="n"/>
      <c r="H326" s="505" t="n"/>
      <c r="I326" s="477" t="n"/>
      <c r="J326" s="477" t="n"/>
      <c r="K326" s="477" t="n"/>
      <c r="L326" s="477" t="n"/>
      <c r="M326" s="477" t="n"/>
      <c r="N326" s="477" t="n"/>
      <c r="O326" s="477" t="n"/>
      <c r="P326" s="477" t="n"/>
      <c r="Q326" s="477" t="n"/>
      <c r="R326" s="477" t="n"/>
      <c r="S326" s="477" t="n"/>
      <c r="T326" s="477" t="n"/>
      <c r="U326" s="477" t="n"/>
      <c r="V326" s="477" t="n"/>
      <c r="W326" s="477" t="n"/>
      <c r="X326" s="477" t="n"/>
      <c r="Y326" s="477" t="n"/>
      <c r="Z326" s="477" t="n"/>
    </row>
    <row r="327" ht="15.75" customHeight="1">
      <c r="A327" s="477" t="n"/>
      <c r="B327" s="477" t="n"/>
      <c r="C327" s="477" t="n"/>
      <c r="D327" s="477" t="n"/>
      <c r="E327" s="477" t="n"/>
      <c r="F327" s="477" t="n"/>
      <c r="G327" s="477" t="n"/>
      <c r="H327" s="505" t="n"/>
      <c r="I327" s="477" t="n"/>
      <c r="J327" s="477" t="n"/>
      <c r="K327" s="477" t="n"/>
      <c r="L327" s="477" t="n"/>
      <c r="M327" s="477" t="n"/>
      <c r="N327" s="477" t="n"/>
      <c r="O327" s="477" t="n"/>
      <c r="P327" s="477" t="n"/>
      <c r="Q327" s="477" t="n"/>
      <c r="R327" s="477" t="n"/>
      <c r="S327" s="477" t="n"/>
      <c r="T327" s="477" t="n"/>
      <c r="U327" s="477" t="n"/>
      <c r="V327" s="477" t="n"/>
      <c r="W327" s="477" t="n"/>
      <c r="X327" s="477" t="n"/>
      <c r="Y327" s="477" t="n"/>
      <c r="Z327" s="477" t="n"/>
    </row>
    <row r="328" ht="15.75" customHeight="1">
      <c r="A328" s="477" t="n"/>
      <c r="B328" s="477" t="n"/>
      <c r="C328" s="477" t="n"/>
      <c r="D328" s="477" t="n"/>
      <c r="E328" s="477" t="n"/>
      <c r="F328" s="477" t="n"/>
      <c r="G328" s="477" t="n"/>
      <c r="H328" s="505" t="n"/>
      <c r="I328" s="477" t="n"/>
      <c r="J328" s="477" t="n"/>
      <c r="K328" s="477" t="n"/>
      <c r="L328" s="477" t="n"/>
      <c r="M328" s="477" t="n"/>
      <c r="N328" s="477" t="n"/>
      <c r="O328" s="477" t="n"/>
      <c r="P328" s="477" t="n"/>
      <c r="Q328" s="477" t="n"/>
      <c r="R328" s="477" t="n"/>
      <c r="S328" s="477" t="n"/>
      <c r="T328" s="477" t="n"/>
      <c r="U328" s="477" t="n"/>
      <c r="V328" s="477" t="n"/>
      <c r="W328" s="477" t="n"/>
      <c r="X328" s="477" t="n"/>
      <c r="Y328" s="477" t="n"/>
      <c r="Z328" s="477" t="n"/>
    </row>
    <row r="329" ht="15.75" customHeight="1">
      <c r="A329" s="477" t="n"/>
      <c r="B329" s="477" t="n"/>
      <c r="C329" s="477" t="n"/>
      <c r="D329" s="477" t="n"/>
      <c r="E329" s="477" t="n"/>
      <c r="F329" s="477" t="n"/>
      <c r="G329" s="477" t="n"/>
      <c r="H329" s="505" t="n"/>
      <c r="I329" s="477" t="n"/>
      <c r="J329" s="477" t="n"/>
      <c r="K329" s="477" t="n"/>
      <c r="L329" s="477" t="n"/>
      <c r="M329" s="477" t="n"/>
      <c r="N329" s="477" t="n"/>
      <c r="O329" s="477" t="n"/>
      <c r="P329" s="477" t="n"/>
      <c r="Q329" s="477" t="n"/>
      <c r="R329" s="477" t="n"/>
      <c r="S329" s="477" t="n"/>
      <c r="T329" s="477" t="n"/>
      <c r="U329" s="477" t="n"/>
      <c r="V329" s="477" t="n"/>
      <c r="W329" s="477" t="n"/>
      <c r="X329" s="477" t="n"/>
      <c r="Y329" s="477" t="n"/>
      <c r="Z329" s="477" t="n"/>
    </row>
    <row r="330" ht="15.75" customHeight="1">
      <c r="A330" s="477" t="n"/>
      <c r="B330" s="477" t="n"/>
      <c r="C330" s="477" t="n"/>
      <c r="D330" s="477" t="n"/>
      <c r="E330" s="477" t="n"/>
      <c r="F330" s="477" t="n"/>
      <c r="G330" s="477" t="n"/>
      <c r="H330" s="505" t="n"/>
      <c r="I330" s="477" t="n"/>
      <c r="J330" s="477" t="n"/>
      <c r="K330" s="477" t="n"/>
      <c r="L330" s="477" t="n"/>
      <c r="M330" s="477" t="n"/>
      <c r="N330" s="477" t="n"/>
      <c r="O330" s="477" t="n"/>
      <c r="P330" s="477" t="n"/>
      <c r="Q330" s="477" t="n"/>
      <c r="R330" s="477" t="n"/>
      <c r="S330" s="477" t="n"/>
      <c r="T330" s="477" t="n"/>
      <c r="U330" s="477" t="n"/>
      <c r="V330" s="477" t="n"/>
      <c r="W330" s="477" t="n"/>
      <c r="X330" s="477" t="n"/>
      <c r="Y330" s="477" t="n"/>
      <c r="Z330" s="477" t="n"/>
    </row>
    <row r="331" ht="15.75" customHeight="1">
      <c r="A331" s="477" t="n"/>
      <c r="B331" s="477" t="n"/>
      <c r="C331" s="477" t="n"/>
      <c r="D331" s="477" t="n"/>
      <c r="E331" s="477" t="n"/>
      <c r="F331" s="477" t="n"/>
      <c r="G331" s="477" t="n"/>
      <c r="H331" s="505" t="n"/>
      <c r="I331" s="477" t="n"/>
      <c r="J331" s="477" t="n"/>
      <c r="K331" s="477" t="n"/>
      <c r="L331" s="477" t="n"/>
      <c r="M331" s="477" t="n"/>
      <c r="N331" s="477" t="n"/>
      <c r="O331" s="477" t="n"/>
      <c r="P331" s="477" t="n"/>
      <c r="Q331" s="477" t="n"/>
      <c r="R331" s="477" t="n"/>
      <c r="S331" s="477" t="n"/>
      <c r="T331" s="477" t="n"/>
      <c r="U331" s="477" t="n"/>
      <c r="V331" s="477" t="n"/>
      <c r="W331" s="477" t="n"/>
      <c r="X331" s="477" t="n"/>
      <c r="Y331" s="477" t="n"/>
      <c r="Z331" s="477" t="n"/>
    </row>
    <row r="332" ht="15.75" customHeight="1">
      <c r="A332" s="477" t="n"/>
      <c r="B332" s="477" t="n"/>
      <c r="C332" s="477" t="n"/>
      <c r="D332" s="477" t="n"/>
      <c r="E332" s="477" t="n"/>
      <c r="F332" s="477" t="n"/>
      <c r="G332" s="477" t="n"/>
      <c r="H332" s="505" t="n"/>
      <c r="I332" s="477" t="n"/>
      <c r="J332" s="477" t="n"/>
      <c r="K332" s="477" t="n"/>
      <c r="L332" s="477" t="n"/>
      <c r="M332" s="477" t="n"/>
      <c r="N332" s="477" t="n"/>
      <c r="O332" s="477" t="n"/>
      <c r="P332" s="477" t="n"/>
      <c r="Q332" s="477" t="n"/>
      <c r="R332" s="477" t="n"/>
      <c r="S332" s="477" t="n"/>
      <c r="T332" s="477" t="n"/>
      <c r="U332" s="477" t="n"/>
      <c r="V332" s="477" t="n"/>
      <c r="W332" s="477" t="n"/>
      <c r="X332" s="477" t="n"/>
      <c r="Y332" s="477" t="n"/>
      <c r="Z332" s="477" t="n"/>
    </row>
    <row r="333" ht="15.75" customHeight="1">
      <c r="A333" s="477" t="n"/>
      <c r="B333" s="477" t="n"/>
      <c r="C333" s="477" t="n"/>
      <c r="D333" s="477" t="n"/>
      <c r="E333" s="477" t="n"/>
      <c r="F333" s="477" t="n"/>
      <c r="G333" s="477" t="n"/>
      <c r="H333" s="505" t="n"/>
      <c r="I333" s="477" t="n"/>
      <c r="J333" s="477" t="n"/>
      <c r="K333" s="477" t="n"/>
      <c r="L333" s="477" t="n"/>
      <c r="M333" s="477" t="n"/>
      <c r="N333" s="477" t="n"/>
      <c r="O333" s="477" t="n"/>
      <c r="P333" s="477" t="n"/>
      <c r="Q333" s="477" t="n"/>
      <c r="R333" s="477" t="n"/>
      <c r="S333" s="477" t="n"/>
      <c r="T333" s="477" t="n"/>
      <c r="U333" s="477" t="n"/>
      <c r="V333" s="477" t="n"/>
      <c r="W333" s="477" t="n"/>
      <c r="X333" s="477" t="n"/>
      <c r="Y333" s="477" t="n"/>
      <c r="Z333" s="477" t="n"/>
    </row>
    <row r="334" ht="15.75" customHeight="1">
      <c r="A334" s="477" t="n"/>
      <c r="B334" s="477" t="n"/>
      <c r="C334" s="477" t="n"/>
      <c r="D334" s="477" t="n"/>
      <c r="E334" s="477" t="n"/>
      <c r="F334" s="477" t="n"/>
      <c r="G334" s="477" t="n"/>
      <c r="H334" s="505" t="n"/>
      <c r="I334" s="477" t="n"/>
      <c r="J334" s="477" t="n"/>
      <c r="K334" s="477" t="n"/>
      <c r="L334" s="477" t="n"/>
      <c r="M334" s="477" t="n"/>
      <c r="N334" s="477" t="n"/>
      <c r="O334" s="477" t="n"/>
      <c r="P334" s="477" t="n"/>
      <c r="Q334" s="477" t="n"/>
      <c r="R334" s="477" t="n"/>
      <c r="S334" s="477" t="n"/>
      <c r="T334" s="477" t="n"/>
      <c r="U334" s="477" t="n"/>
      <c r="V334" s="477" t="n"/>
      <c r="W334" s="477" t="n"/>
      <c r="X334" s="477" t="n"/>
      <c r="Y334" s="477" t="n"/>
      <c r="Z334" s="477" t="n"/>
    </row>
    <row r="335" ht="15.75" customHeight="1">
      <c r="A335" s="477" t="n"/>
      <c r="B335" s="477" t="n"/>
      <c r="C335" s="477" t="n"/>
      <c r="D335" s="477" t="n"/>
      <c r="E335" s="477" t="n"/>
      <c r="F335" s="477" t="n"/>
      <c r="G335" s="477" t="n"/>
      <c r="H335" s="505" t="n"/>
      <c r="I335" s="477" t="n"/>
      <c r="J335" s="477" t="n"/>
      <c r="K335" s="477" t="n"/>
      <c r="L335" s="477" t="n"/>
      <c r="M335" s="477" t="n"/>
      <c r="N335" s="477" t="n"/>
      <c r="O335" s="477" t="n"/>
      <c r="P335" s="477" t="n"/>
      <c r="Q335" s="477" t="n"/>
      <c r="R335" s="477" t="n"/>
      <c r="S335" s="477" t="n"/>
      <c r="T335" s="477" t="n"/>
      <c r="U335" s="477" t="n"/>
      <c r="V335" s="477" t="n"/>
      <c r="W335" s="477" t="n"/>
      <c r="X335" s="477" t="n"/>
      <c r="Y335" s="477" t="n"/>
      <c r="Z335" s="477" t="n"/>
    </row>
    <row r="336" ht="15.75" customHeight="1">
      <c r="A336" s="477" t="n"/>
      <c r="B336" s="477" t="n"/>
      <c r="C336" s="477" t="n"/>
      <c r="D336" s="477" t="n"/>
      <c r="E336" s="477" t="n"/>
      <c r="F336" s="477" t="n"/>
      <c r="G336" s="477" t="n"/>
      <c r="H336" s="505" t="n"/>
      <c r="I336" s="477" t="n"/>
      <c r="J336" s="477" t="n"/>
      <c r="K336" s="477" t="n"/>
      <c r="L336" s="477" t="n"/>
      <c r="M336" s="477" t="n"/>
      <c r="N336" s="477" t="n"/>
      <c r="O336" s="477" t="n"/>
      <c r="P336" s="477" t="n"/>
      <c r="Q336" s="477" t="n"/>
      <c r="R336" s="477" t="n"/>
      <c r="S336" s="477" t="n"/>
      <c r="T336" s="477" t="n"/>
      <c r="U336" s="477" t="n"/>
      <c r="V336" s="477" t="n"/>
      <c r="W336" s="477" t="n"/>
      <c r="X336" s="477" t="n"/>
      <c r="Y336" s="477" t="n"/>
      <c r="Z336" s="477" t="n"/>
    </row>
    <row r="337" ht="15.75" customHeight="1">
      <c r="A337" s="477" t="n"/>
      <c r="B337" s="477" t="n"/>
      <c r="C337" s="477" t="n"/>
      <c r="D337" s="477" t="n"/>
      <c r="E337" s="477" t="n"/>
      <c r="F337" s="477" t="n"/>
      <c r="G337" s="477" t="n"/>
      <c r="H337" s="505" t="n"/>
      <c r="I337" s="477" t="n"/>
      <c r="J337" s="477" t="n"/>
      <c r="K337" s="477" t="n"/>
      <c r="L337" s="477" t="n"/>
      <c r="M337" s="477" t="n"/>
      <c r="N337" s="477" t="n"/>
      <c r="O337" s="477" t="n"/>
      <c r="P337" s="477" t="n"/>
      <c r="Q337" s="477" t="n"/>
      <c r="R337" s="477" t="n"/>
      <c r="S337" s="477" t="n"/>
      <c r="T337" s="477" t="n"/>
      <c r="U337" s="477" t="n"/>
      <c r="V337" s="477" t="n"/>
      <c r="W337" s="477" t="n"/>
      <c r="X337" s="477" t="n"/>
      <c r="Y337" s="477" t="n"/>
      <c r="Z337" s="477" t="n"/>
    </row>
    <row r="338" ht="15.75" customHeight="1">
      <c r="A338" s="477" t="n"/>
      <c r="B338" s="477" t="n"/>
      <c r="C338" s="477" t="n"/>
      <c r="D338" s="477" t="n"/>
      <c r="E338" s="477" t="n"/>
      <c r="F338" s="477" t="n"/>
      <c r="G338" s="477" t="n"/>
      <c r="H338" s="505" t="n"/>
      <c r="I338" s="477" t="n"/>
      <c r="J338" s="477" t="n"/>
      <c r="K338" s="477" t="n"/>
      <c r="L338" s="477" t="n"/>
      <c r="M338" s="477" t="n"/>
      <c r="N338" s="477" t="n"/>
      <c r="O338" s="477" t="n"/>
      <c r="P338" s="477" t="n"/>
      <c r="Q338" s="477" t="n"/>
      <c r="R338" s="477" t="n"/>
      <c r="S338" s="477" t="n"/>
      <c r="T338" s="477" t="n"/>
      <c r="U338" s="477" t="n"/>
      <c r="V338" s="477" t="n"/>
      <c r="W338" s="477" t="n"/>
      <c r="X338" s="477" t="n"/>
      <c r="Y338" s="477" t="n"/>
      <c r="Z338" s="477" t="n"/>
    </row>
    <row r="339" ht="15.75" customHeight="1">
      <c r="A339" s="477" t="n"/>
      <c r="B339" s="477" t="n"/>
      <c r="C339" s="477" t="n"/>
      <c r="D339" s="477" t="n"/>
      <c r="E339" s="477" t="n"/>
      <c r="F339" s="477" t="n"/>
      <c r="G339" s="477" t="n"/>
      <c r="H339" s="505" t="n"/>
      <c r="I339" s="477" t="n"/>
      <c r="J339" s="477" t="n"/>
      <c r="K339" s="477" t="n"/>
      <c r="L339" s="477" t="n"/>
      <c r="M339" s="477" t="n"/>
      <c r="N339" s="477" t="n"/>
      <c r="O339" s="477" t="n"/>
      <c r="P339" s="477" t="n"/>
      <c r="Q339" s="477" t="n"/>
      <c r="R339" s="477" t="n"/>
      <c r="S339" s="477" t="n"/>
      <c r="T339" s="477" t="n"/>
      <c r="U339" s="477" t="n"/>
      <c r="V339" s="477" t="n"/>
      <c r="W339" s="477" t="n"/>
      <c r="X339" s="477" t="n"/>
      <c r="Y339" s="477" t="n"/>
      <c r="Z339" s="477" t="n"/>
    </row>
    <row r="340" ht="15.75" customHeight="1">
      <c r="A340" s="477" t="n"/>
      <c r="B340" s="477" t="n"/>
      <c r="C340" s="477" t="n"/>
      <c r="D340" s="477" t="n"/>
      <c r="E340" s="477" t="n"/>
      <c r="F340" s="477" t="n"/>
      <c r="G340" s="477" t="n"/>
      <c r="H340" s="505" t="n"/>
      <c r="I340" s="477" t="n"/>
      <c r="J340" s="477" t="n"/>
      <c r="K340" s="477" t="n"/>
      <c r="L340" s="477" t="n"/>
      <c r="M340" s="477" t="n"/>
      <c r="N340" s="477" t="n"/>
      <c r="O340" s="477" t="n"/>
      <c r="P340" s="477" t="n"/>
      <c r="Q340" s="477" t="n"/>
      <c r="R340" s="477" t="n"/>
      <c r="S340" s="477" t="n"/>
      <c r="T340" s="477" t="n"/>
      <c r="U340" s="477" t="n"/>
      <c r="V340" s="477" t="n"/>
      <c r="W340" s="477" t="n"/>
      <c r="X340" s="477" t="n"/>
      <c r="Y340" s="477" t="n"/>
      <c r="Z340" s="477" t="n"/>
    </row>
    <row r="341" ht="15.75" customHeight="1">
      <c r="A341" s="477" t="n"/>
      <c r="B341" s="477" t="n"/>
      <c r="C341" s="477" t="n"/>
      <c r="D341" s="477" t="n"/>
      <c r="E341" s="477" t="n"/>
      <c r="F341" s="477" t="n"/>
      <c r="G341" s="477" t="n"/>
      <c r="H341" s="505" t="n"/>
      <c r="I341" s="477" t="n"/>
      <c r="J341" s="477" t="n"/>
      <c r="K341" s="477" t="n"/>
      <c r="L341" s="477" t="n"/>
      <c r="M341" s="477" t="n"/>
      <c r="N341" s="477" t="n"/>
      <c r="O341" s="477" t="n"/>
      <c r="P341" s="477" t="n"/>
      <c r="Q341" s="477" t="n"/>
      <c r="R341" s="477" t="n"/>
      <c r="S341" s="477" t="n"/>
      <c r="T341" s="477" t="n"/>
      <c r="U341" s="477" t="n"/>
      <c r="V341" s="477" t="n"/>
      <c r="W341" s="477" t="n"/>
      <c r="X341" s="477" t="n"/>
      <c r="Y341" s="477" t="n"/>
      <c r="Z341" s="477" t="n"/>
    </row>
    <row r="342" ht="15.75" customHeight="1">
      <c r="A342" s="477" t="n"/>
      <c r="B342" s="477" t="n"/>
      <c r="C342" s="477" t="n"/>
      <c r="D342" s="477" t="n"/>
      <c r="E342" s="477" t="n"/>
      <c r="F342" s="477" t="n"/>
      <c r="G342" s="477" t="n"/>
      <c r="H342" s="505" t="n"/>
      <c r="I342" s="477" t="n"/>
      <c r="J342" s="477" t="n"/>
      <c r="K342" s="477" t="n"/>
      <c r="L342" s="477" t="n"/>
      <c r="M342" s="477" t="n"/>
      <c r="N342" s="477" t="n"/>
      <c r="O342" s="477" t="n"/>
      <c r="P342" s="477" t="n"/>
      <c r="Q342" s="477" t="n"/>
      <c r="R342" s="477" t="n"/>
      <c r="S342" s="477" t="n"/>
      <c r="T342" s="477" t="n"/>
      <c r="U342" s="477" t="n"/>
      <c r="V342" s="477" t="n"/>
      <c r="W342" s="477" t="n"/>
      <c r="X342" s="477" t="n"/>
      <c r="Y342" s="477" t="n"/>
      <c r="Z342" s="477" t="n"/>
    </row>
    <row r="343" ht="15.75" customHeight="1">
      <c r="A343" s="477" t="n"/>
      <c r="B343" s="477" t="n"/>
      <c r="C343" s="477" t="n"/>
      <c r="D343" s="477" t="n"/>
      <c r="E343" s="477" t="n"/>
      <c r="F343" s="477" t="n"/>
      <c r="G343" s="477" t="n"/>
      <c r="H343" s="505" t="n"/>
      <c r="I343" s="477" t="n"/>
      <c r="J343" s="477" t="n"/>
      <c r="K343" s="477" t="n"/>
      <c r="L343" s="477" t="n"/>
      <c r="M343" s="477" t="n"/>
      <c r="N343" s="477" t="n"/>
      <c r="O343" s="477" t="n"/>
      <c r="P343" s="477" t="n"/>
      <c r="Q343" s="477" t="n"/>
      <c r="R343" s="477" t="n"/>
      <c r="S343" s="477" t="n"/>
      <c r="T343" s="477" t="n"/>
      <c r="U343" s="477" t="n"/>
      <c r="V343" s="477" t="n"/>
      <c r="W343" s="477" t="n"/>
      <c r="X343" s="477" t="n"/>
      <c r="Y343" s="477" t="n"/>
      <c r="Z343" s="477" t="n"/>
    </row>
    <row r="344" ht="15.75" customHeight="1">
      <c r="A344" s="477" t="n"/>
      <c r="B344" s="477" t="n"/>
      <c r="C344" s="477" t="n"/>
      <c r="D344" s="477" t="n"/>
      <c r="E344" s="477" t="n"/>
      <c r="F344" s="477" t="n"/>
      <c r="G344" s="477" t="n"/>
      <c r="H344" s="505" t="n"/>
      <c r="I344" s="477" t="n"/>
      <c r="J344" s="477" t="n"/>
      <c r="K344" s="477" t="n"/>
      <c r="L344" s="477" t="n"/>
      <c r="M344" s="477" t="n"/>
      <c r="N344" s="477" t="n"/>
      <c r="O344" s="477" t="n"/>
      <c r="P344" s="477" t="n"/>
      <c r="Q344" s="477" t="n"/>
      <c r="R344" s="477" t="n"/>
      <c r="S344" s="477" t="n"/>
      <c r="T344" s="477" t="n"/>
      <c r="U344" s="477" t="n"/>
      <c r="V344" s="477" t="n"/>
      <c r="W344" s="477" t="n"/>
      <c r="X344" s="477" t="n"/>
      <c r="Y344" s="477" t="n"/>
      <c r="Z344" s="477" t="n"/>
    </row>
    <row r="345" ht="15.75" customHeight="1">
      <c r="A345" s="477" t="n"/>
      <c r="B345" s="477" t="n"/>
      <c r="C345" s="477" t="n"/>
      <c r="D345" s="477" t="n"/>
      <c r="E345" s="477" t="n"/>
      <c r="F345" s="477" t="n"/>
      <c r="G345" s="477" t="n"/>
      <c r="H345" s="505" t="n"/>
      <c r="I345" s="477" t="n"/>
      <c r="J345" s="477" t="n"/>
      <c r="K345" s="477" t="n"/>
      <c r="L345" s="477" t="n"/>
      <c r="M345" s="477" t="n"/>
      <c r="N345" s="477" t="n"/>
      <c r="O345" s="477" t="n"/>
      <c r="P345" s="477" t="n"/>
      <c r="Q345" s="477" t="n"/>
      <c r="R345" s="477" t="n"/>
      <c r="S345" s="477" t="n"/>
      <c r="T345" s="477" t="n"/>
      <c r="U345" s="477" t="n"/>
      <c r="V345" s="477" t="n"/>
      <c r="W345" s="477" t="n"/>
      <c r="X345" s="477" t="n"/>
      <c r="Y345" s="477" t="n"/>
      <c r="Z345" s="477" t="n"/>
    </row>
    <row r="346" ht="15.75" customHeight="1">
      <c r="A346" s="477" t="n"/>
      <c r="B346" s="477" t="n"/>
      <c r="C346" s="477" t="n"/>
      <c r="D346" s="477" t="n"/>
      <c r="E346" s="477" t="n"/>
      <c r="F346" s="477" t="n"/>
      <c r="G346" s="477" t="n"/>
      <c r="H346" s="505" t="n"/>
      <c r="I346" s="477" t="n"/>
      <c r="J346" s="477" t="n"/>
      <c r="K346" s="477" t="n"/>
      <c r="L346" s="477" t="n"/>
      <c r="M346" s="477" t="n"/>
      <c r="N346" s="477" t="n"/>
      <c r="O346" s="477" t="n"/>
      <c r="P346" s="477" t="n"/>
      <c r="Q346" s="477" t="n"/>
      <c r="R346" s="477" t="n"/>
      <c r="S346" s="477" t="n"/>
      <c r="T346" s="477" t="n"/>
      <c r="U346" s="477" t="n"/>
      <c r="V346" s="477" t="n"/>
      <c r="W346" s="477" t="n"/>
      <c r="X346" s="477" t="n"/>
      <c r="Y346" s="477" t="n"/>
      <c r="Z346" s="477" t="n"/>
    </row>
    <row r="347" ht="15.75" customHeight="1">
      <c r="A347" s="477" t="n"/>
      <c r="B347" s="477" t="n"/>
      <c r="C347" s="477" t="n"/>
      <c r="D347" s="477" t="n"/>
      <c r="E347" s="477" t="n"/>
      <c r="F347" s="477" t="n"/>
      <c r="G347" s="477" t="n"/>
      <c r="H347" s="505" t="n"/>
      <c r="I347" s="477" t="n"/>
      <c r="J347" s="477" t="n"/>
      <c r="K347" s="477" t="n"/>
      <c r="L347" s="477" t="n"/>
      <c r="M347" s="477" t="n"/>
      <c r="N347" s="477" t="n"/>
      <c r="O347" s="477" t="n"/>
      <c r="P347" s="477" t="n"/>
      <c r="Q347" s="477" t="n"/>
      <c r="R347" s="477" t="n"/>
      <c r="S347" s="477" t="n"/>
      <c r="T347" s="477" t="n"/>
      <c r="U347" s="477" t="n"/>
      <c r="V347" s="477" t="n"/>
      <c r="W347" s="477" t="n"/>
      <c r="X347" s="477" t="n"/>
      <c r="Y347" s="477" t="n"/>
      <c r="Z347" s="477" t="n"/>
    </row>
    <row r="348" ht="15.75" customHeight="1">
      <c r="A348" s="477" t="n"/>
      <c r="B348" s="477" t="n"/>
      <c r="C348" s="477" t="n"/>
      <c r="D348" s="477" t="n"/>
      <c r="E348" s="477" t="n"/>
      <c r="F348" s="477" t="n"/>
      <c r="G348" s="477" t="n"/>
      <c r="H348" s="505" t="n"/>
      <c r="I348" s="477" t="n"/>
      <c r="J348" s="477" t="n"/>
      <c r="K348" s="477" t="n"/>
      <c r="L348" s="477" t="n"/>
      <c r="M348" s="477" t="n"/>
      <c r="N348" s="477" t="n"/>
      <c r="O348" s="477" t="n"/>
      <c r="P348" s="477" t="n"/>
      <c r="Q348" s="477" t="n"/>
      <c r="R348" s="477" t="n"/>
      <c r="S348" s="477" t="n"/>
      <c r="T348" s="477" t="n"/>
      <c r="U348" s="477" t="n"/>
      <c r="V348" s="477" t="n"/>
      <c r="W348" s="477" t="n"/>
      <c r="X348" s="477" t="n"/>
      <c r="Y348" s="477" t="n"/>
      <c r="Z348" s="477" t="n"/>
    </row>
    <row r="349" ht="15.75" customHeight="1">
      <c r="A349" s="477" t="n"/>
      <c r="B349" s="477" t="n"/>
      <c r="C349" s="477" t="n"/>
      <c r="D349" s="477" t="n"/>
      <c r="E349" s="477" t="n"/>
      <c r="F349" s="477" t="n"/>
      <c r="G349" s="477" t="n"/>
      <c r="H349" s="505" t="n"/>
      <c r="I349" s="477" t="n"/>
      <c r="J349" s="477" t="n"/>
      <c r="K349" s="477" t="n"/>
      <c r="L349" s="477" t="n"/>
      <c r="M349" s="477" t="n"/>
      <c r="N349" s="477" t="n"/>
      <c r="O349" s="477" t="n"/>
      <c r="P349" s="477" t="n"/>
      <c r="Q349" s="477" t="n"/>
      <c r="R349" s="477" t="n"/>
      <c r="S349" s="477" t="n"/>
      <c r="T349" s="477" t="n"/>
      <c r="U349" s="477" t="n"/>
      <c r="V349" s="477" t="n"/>
      <c r="W349" s="477" t="n"/>
      <c r="X349" s="477" t="n"/>
      <c r="Y349" s="477" t="n"/>
      <c r="Z349" s="477" t="n"/>
    </row>
    <row r="350" ht="15.75" customHeight="1">
      <c r="A350" s="477" t="n"/>
      <c r="B350" s="477" t="n"/>
      <c r="C350" s="477" t="n"/>
      <c r="D350" s="477" t="n"/>
      <c r="E350" s="477" t="n"/>
      <c r="F350" s="477" t="n"/>
      <c r="G350" s="477" t="n"/>
      <c r="H350" s="505" t="n"/>
      <c r="I350" s="477" t="n"/>
      <c r="J350" s="477" t="n"/>
      <c r="K350" s="477" t="n"/>
      <c r="L350" s="477" t="n"/>
      <c r="M350" s="477" t="n"/>
      <c r="N350" s="477" t="n"/>
      <c r="O350" s="477" t="n"/>
      <c r="P350" s="477" t="n"/>
      <c r="Q350" s="477" t="n"/>
      <c r="R350" s="477" t="n"/>
      <c r="S350" s="477" t="n"/>
      <c r="T350" s="477" t="n"/>
      <c r="U350" s="477" t="n"/>
      <c r="V350" s="477" t="n"/>
      <c r="W350" s="477" t="n"/>
      <c r="X350" s="477" t="n"/>
      <c r="Y350" s="477" t="n"/>
      <c r="Z350" s="477" t="n"/>
    </row>
    <row r="351" ht="15.75" customHeight="1">
      <c r="A351" s="477" t="n"/>
      <c r="B351" s="477" t="n"/>
      <c r="C351" s="477" t="n"/>
      <c r="D351" s="477" t="n"/>
      <c r="E351" s="477" t="n"/>
      <c r="F351" s="477" t="n"/>
      <c r="G351" s="477" t="n"/>
      <c r="H351" s="505" t="n"/>
      <c r="I351" s="477" t="n"/>
      <c r="J351" s="477" t="n"/>
      <c r="K351" s="477" t="n"/>
      <c r="L351" s="477" t="n"/>
      <c r="M351" s="477" t="n"/>
      <c r="N351" s="477" t="n"/>
      <c r="O351" s="477" t="n"/>
      <c r="P351" s="477" t="n"/>
      <c r="Q351" s="477" t="n"/>
      <c r="R351" s="477" t="n"/>
      <c r="S351" s="477" t="n"/>
      <c r="T351" s="477" t="n"/>
      <c r="U351" s="477" t="n"/>
      <c r="V351" s="477" t="n"/>
      <c r="W351" s="477" t="n"/>
      <c r="X351" s="477" t="n"/>
      <c r="Y351" s="477" t="n"/>
      <c r="Z351" s="477" t="n"/>
    </row>
    <row r="352" ht="15.75" customHeight="1">
      <c r="A352" s="477" t="n"/>
      <c r="B352" s="477" t="n"/>
      <c r="C352" s="477" t="n"/>
      <c r="D352" s="477" t="n"/>
      <c r="E352" s="477" t="n"/>
      <c r="F352" s="477" t="n"/>
      <c r="G352" s="477" t="n"/>
      <c r="H352" s="505" t="n"/>
      <c r="I352" s="477" t="n"/>
      <c r="J352" s="477" t="n"/>
      <c r="K352" s="477" t="n"/>
      <c r="L352" s="477" t="n"/>
      <c r="M352" s="477" t="n"/>
      <c r="N352" s="477" t="n"/>
      <c r="O352" s="477" t="n"/>
      <c r="P352" s="477" t="n"/>
      <c r="Q352" s="477" t="n"/>
      <c r="R352" s="477" t="n"/>
      <c r="S352" s="477" t="n"/>
      <c r="T352" s="477" t="n"/>
      <c r="U352" s="477" t="n"/>
      <c r="V352" s="477" t="n"/>
      <c r="W352" s="477" t="n"/>
      <c r="X352" s="477" t="n"/>
      <c r="Y352" s="477" t="n"/>
      <c r="Z352" s="477" t="n"/>
    </row>
    <row r="353" ht="15.75" customHeight="1">
      <c r="A353" s="477" t="n"/>
      <c r="B353" s="477" t="n"/>
      <c r="C353" s="477" t="n"/>
      <c r="D353" s="477" t="n"/>
      <c r="E353" s="477" t="n"/>
      <c r="F353" s="477" t="n"/>
      <c r="G353" s="477" t="n"/>
      <c r="H353" s="505" t="n"/>
      <c r="I353" s="477" t="n"/>
      <c r="J353" s="477" t="n"/>
      <c r="K353" s="477" t="n"/>
      <c r="L353" s="477" t="n"/>
      <c r="M353" s="477" t="n"/>
      <c r="N353" s="477" t="n"/>
      <c r="O353" s="477" t="n"/>
      <c r="P353" s="477" t="n"/>
      <c r="Q353" s="477" t="n"/>
      <c r="R353" s="477" t="n"/>
      <c r="S353" s="477" t="n"/>
      <c r="T353" s="477" t="n"/>
      <c r="U353" s="477" t="n"/>
      <c r="V353" s="477" t="n"/>
      <c r="W353" s="477" t="n"/>
      <c r="X353" s="477" t="n"/>
      <c r="Y353" s="477" t="n"/>
      <c r="Z353" s="477" t="n"/>
    </row>
    <row r="354" ht="15.75" customHeight="1">
      <c r="A354" s="477" t="n"/>
      <c r="B354" s="477" t="n"/>
      <c r="C354" s="477" t="n"/>
      <c r="D354" s="477" t="n"/>
      <c r="E354" s="477" t="n"/>
      <c r="F354" s="477" t="n"/>
      <c r="G354" s="477" t="n"/>
      <c r="H354" s="505" t="n"/>
      <c r="I354" s="477" t="n"/>
      <c r="J354" s="477" t="n"/>
      <c r="K354" s="477" t="n"/>
      <c r="L354" s="477" t="n"/>
      <c r="M354" s="477" t="n"/>
      <c r="N354" s="477" t="n"/>
      <c r="O354" s="477" t="n"/>
      <c r="P354" s="477" t="n"/>
      <c r="Q354" s="477" t="n"/>
      <c r="R354" s="477" t="n"/>
      <c r="S354" s="477" t="n"/>
      <c r="T354" s="477" t="n"/>
      <c r="U354" s="477" t="n"/>
      <c r="V354" s="477" t="n"/>
      <c r="W354" s="477" t="n"/>
      <c r="X354" s="477" t="n"/>
      <c r="Y354" s="477" t="n"/>
      <c r="Z354" s="477" t="n"/>
    </row>
    <row r="355" ht="15.75" customHeight="1">
      <c r="A355" s="477" t="n"/>
      <c r="B355" s="477" t="n"/>
      <c r="C355" s="477" t="n"/>
      <c r="D355" s="477" t="n"/>
      <c r="E355" s="477" t="n"/>
      <c r="F355" s="477" t="n"/>
      <c r="G355" s="477" t="n"/>
      <c r="H355" s="505" t="n"/>
      <c r="I355" s="477" t="n"/>
      <c r="J355" s="477" t="n"/>
      <c r="K355" s="477" t="n"/>
      <c r="L355" s="477" t="n"/>
      <c r="M355" s="477" t="n"/>
      <c r="N355" s="477" t="n"/>
      <c r="O355" s="477" t="n"/>
      <c r="P355" s="477" t="n"/>
      <c r="Q355" s="477" t="n"/>
      <c r="R355" s="477" t="n"/>
      <c r="S355" s="477" t="n"/>
      <c r="T355" s="477" t="n"/>
      <c r="U355" s="477" t="n"/>
      <c r="V355" s="477" t="n"/>
      <c r="W355" s="477" t="n"/>
      <c r="X355" s="477" t="n"/>
      <c r="Y355" s="477" t="n"/>
      <c r="Z355" s="477" t="n"/>
    </row>
    <row r="356" ht="15.75" customHeight="1">
      <c r="A356" s="477" t="n"/>
      <c r="B356" s="477" t="n"/>
      <c r="C356" s="477" t="n"/>
      <c r="D356" s="477" t="n"/>
      <c r="E356" s="477" t="n"/>
      <c r="F356" s="477" t="n"/>
      <c r="G356" s="477" t="n"/>
      <c r="H356" s="505" t="n"/>
      <c r="I356" s="477" t="n"/>
      <c r="J356" s="477" t="n"/>
      <c r="K356" s="477" t="n"/>
      <c r="L356" s="477" t="n"/>
      <c r="M356" s="477" t="n"/>
      <c r="N356" s="477" t="n"/>
      <c r="O356" s="477" t="n"/>
      <c r="P356" s="477" t="n"/>
      <c r="Q356" s="477" t="n"/>
      <c r="R356" s="477" t="n"/>
      <c r="S356" s="477" t="n"/>
      <c r="T356" s="477" t="n"/>
      <c r="U356" s="477" t="n"/>
      <c r="V356" s="477" t="n"/>
      <c r="W356" s="477" t="n"/>
      <c r="X356" s="477" t="n"/>
      <c r="Y356" s="477" t="n"/>
      <c r="Z356" s="477" t="n"/>
    </row>
    <row r="357" ht="15.75" customHeight="1">
      <c r="A357" s="477" t="n"/>
      <c r="B357" s="477" t="n"/>
      <c r="C357" s="477" t="n"/>
      <c r="D357" s="477" t="n"/>
      <c r="E357" s="477" t="n"/>
      <c r="F357" s="477" t="n"/>
      <c r="G357" s="477" t="n"/>
      <c r="H357" s="505" t="n"/>
      <c r="I357" s="477" t="n"/>
      <c r="J357" s="477" t="n"/>
      <c r="K357" s="477" t="n"/>
      <c r="L357" s="477" t="n"/>
      <c r="M357" s="477" t="n"/>
      <c r="N357" s="477" t="n"/>
      <c r="O357" s="477" t="n"/>
      <c r="P357" s="477" t="n"/>
      <c r="Q357" s="477" t="n"/>
      <c r="R357" s="477" t="n"/>
      <c r="S357" s="477" t="n"/>
      <c r="T357" s="477" t="n"/>
      <c r="U357" s="477" t="n"/>
      <c r="V357" s="477" t="n"/>
      <c r="W357" s="477" t="n"/>
      <c r="X357" s="477" t="n"/>
      <c r="Y357" s="477" t="n"/>
      <c r="Z357" s="477" t="n"/>
    </row>
    <row r="358" ht="15.75" customHeight="1">
      <c r="A358" s="477" t="n"/>
      <c r="B358" s="477" t="n"/>
      <c r="C358" s="477" t="n"/>
      <c r="D358" s="477" t="n"/>
      <c r="E358" s="477" t="n"/>
      <c r="F358" s="477" t="n"/>
      <c r="G358" s="477" t="n"/>
      <c r="H358" s="505" t="n"/>
      <c r="I358" s="477" t="n"/>
      <c r="J358" s="477" t="n"/>
      <c r="K358" s="477" t="n"/>
      <c r="L358" s="477" t="n"/>
      <c r="M358" s="477" t="n"/>
      <c r="N358" s="477" t="n"/>
      <c r="O358" s="477" t="n"/>
      <c r="P358" s="477" t="n"/>
      <c r="Q358" s="477" t="n"/>
      <c r="R358" s="477" t="n"/>
      <c r="S358" s="477" t="n"/>
      <c r="T358" s="477" t="n"/>
      <c r="U358" s="477" t="n"/>
      <c r="V358" s="477" t="n"/>
      <c r="W358" s="477" t="n"/>
      <c r="X358" s="477" t="n"/>
      <c r="Y358" s="477" t="n"/>
      <c r="Z358" s="477" t="n"/>
    </row>
    <row r="359" ht="15.75" customHeight="1">
      <c r="A359" s="477" t="n"/>
      <c r="B359" s="477" t="n"/>
      <c r="C359" s="477" t="n"/>
      <c r="D359" s="477" t="n"/>
      <c r="E359" s="477" t="n"/>
      <c r="F359" s="477" t="n"/>
      <c r="G359" s="477" t="n"/>
      <c r="H359" s="505" t="n"/>
      <c r="I359" s="477" t="n"/>
      <c r="J359" s="477" t="n"/>
      <c r="K359" s="477" t="n"/>
      <c r="L359" s="477" t="n"/>
      <c r="M359" s="477" t="n"/>
      <c r="N359" s="477" t="n"/>
      <c r="O359" s="477" t="n"/>
      <c r="P359" s="477" t="n"/>
      <c r="Q359" s="477" t="n"/>
      <c r="R359" s="477" t="n"/>
      <c r="S359" s="477" t="n"/>
      <c r="T359" s="477" t="n"/>
      <c r="U359" s="477" t="n"/>
      <c r="V359" s="477" t="n"/>
      <c r="W359" s="477" t="n"/>
      <c r="X359" s="477" t="n"/>
      <c r="Y359" s="477" t="n"/>
      <c r="Z359" s="477" t="n"/>
    </row>
    <row r="360" ht="15.75" customHeight="1">
      <c r="A360" s="477" t="n"/>
      <c r="B360" s="477" t="n"/>
      <c r="C360" s="477" t="n"/>
      <c r="D360" s="477" t="n"/>
      <c r="E360" s="477" t="n"/>
      <c r="F360" s="477" t="n"/>
      <c r="G360" s="477" t="n"/>
      <c r="H360" s="505" t="n"/>
      <c r="I360" s="477" t="n"/>
      <c r="J360" s="477" t="n"/>
      <c r="K360" s="477" t="n"/>
      <c r="L360" s="477" t="n"/>
      <c r="M360" s="477" t="n"/>
      <c r="N360" s="477" t="n"/>
      <c r="O360" s="477" t="n"/>
      <c r="P360" s="477" t="n"/>
      <c r="Q360" s="477" t="n"/>
      <c r="R360" s="477" t="n"/>
      <c r="S360" s="477" t="n"/>
      <c r="T360" s="477" t="n"/>
      <c r="U360" s="477" t="n"/>
      <c r="V360" s="477" t="n"/>
      <c r="W360" s="477" t="n"/>
      <c r="X360" s="477" t="n"/>
      <c r="Y360" s="477" t="n"/>
      <c r="Z360" s="477" t="n"/>
    </row>
    <row r="361" ht="15.75" customHeight="1">
      <c r="A361" s="477" t="n"/>
      <c r="B361" s="477" t="n"/>
      <c r="C361" s="477" t="n"/>
      <c r="D361" s="477" t="n"/>
      <c r="E361" s="477" t="n"/>
      <c r="F361" s="477" t="n"/>
      <c r="G361" s="477" t="n"/>
      <c r="H361" s="505" t="n"/>
      <c r="I361" s="477" t="n"/>
      <c r="J361" s="477" t="n"/>
      <c r="K361" s="477" t="n"/>
      <c r="L361" s="477" t="n"/>
      <c r="M361" s="477" t="n"/>
      <c r="N361" s="477" t="n"/>
      <c r="O361" s="477" t="n"/>
      <c r="P361" s="477" t="n"/>
      <c r="Q361" s="477" t="n"/>
      <c r="R361" s="477" t="n"/>
      <c r="S361" s="477" t="n"/>
      <c r="T361" s="477" t="n"/>
      <c r="U361" s="477" t="n"/>
      <c r="V361" s="477" t="n"/>
      <c r="W361" s="477" t="n"/>
      <c r="X361" s="477" t="n"/>
      <c r="Y361" s="477" t="n"/>
      <c r="Z361" s="477" t="n"/>
    </row>
    <row r="362" ht="15.75" customHeight="1">
      <c r="A362" s="477" t="n"/>
      <c r="B362" s="477" t="n"/>
      <c r="C362" s="477" t="n"/>
      <c r="D362" s="477" t="n"/>
      <c r="E362" s="477" t="n"/>
      <c r="F362" s="477" t="n"/>
      <c r="G362" s="477" t="n"/>
      <c r="H362" s="505" t="n"/>
      <c r="I362" s="477" t="n"/>
      <c r="J362" s="477" t="n"/>
      <c r="K362" s="477" t="n"/>
      <c r="L362" s="477" t="n"/>
      <c r="M362" s="477" t="n"/>
      <c r="N362" s="477" t="n"/>
      <c r="O362" s="477" t="n"/>
      <c r="P362" s="477" t="n"/>
      <c r="Q362" s="477" t="n"/>
      <c r="R362" s="477" t="n"/>
      <c r="S362" s="477" t="n"/>
      <c r="T362" s="477" t="n"/>
      <c r="U362" s="477" t="n"/>
      <c r="V362" s="477" t="n"/>
      <c r="W362" s="477" t="n"/>
      <c r="X362" s="477" t="n"/>
      <c r="Y362" s="477" t="n"/>
      <c r="Z362" s="477" t="n"/>
    </row>
    <row r="363" ht="15.75" customHeight="1">
      <c r="A363" s="477" t="n"/>
      <c r="B363" s="477" t="n"/>
      <c r="C363" s="477" t="n"/>
      <c r="D363" s="477" t="n"/>
      <c r="E363" s="477" t="n"/>
      <c r="F363" s="477" t="n"/>
      <c r="G363" s="477" t="n"/>
      <c r="H363" s="505" t="n"/>
      <c r="I363" s="477" t="n"/>
      <c r="J363" s="477" t="n"/>
      <c r="K363" s="477" t="n"/>
      <c r="L363" s="477" t="n"/>
      <c r="M363" s="477" t="n"/>
      <c r="N363" s="477" t="n"/>
      <c r="O363" s="477" t="n"/>
      <c r="P363" s="477" t="n"/>
      <c r="Q363" s="477" t="n"/>
      <c r="R363" s="477" t="n"/>
      <c r="S363" s="477" t="n"/>
      <c r="T363" s="477" t="n"/>
      <c r="U363" s="477" t="n"/>
      <c r="V363" s="477" t="n"/>
      <c r="W363" s="477" t="n"/>
      <c r="X363" s="477" t="n"/>
      <c r="Y363" s="477" t="n"/>
      <c r="Z363" s="477" t="n"/>
    </row>
    <row r="364" ht="15.75" customHeight="1">
      <c r="A364" s="477" t="n"/>
      <c r="B364" s="477" t="n"/>
      <c r="C364" s="477" t="n"/>
      <c r="D364" s="477" t="n"/>
      <c r="E364" s="477" t="n"/>
      <c r="F364" s="477" t="n"/>
      <c r="G364" s="477" t="n"/>
      <c r="H364" s="505" t="n"/>
      <c r="I364" s="477" t="n"/>
      <c r="J364" s="477" t="n"/>
      <c r="K364" s="477" t="n"/>
      <c r="L364" s="477" t="n"/>
      <c r="M364" s="477" t="n"/>
      <c r="N364" s="477" t="n"/>
      <c r="O364" s="477" t="n"/>
      <c r="P364" s="477" t="n"/>
      <c r="Q364" s="477" t="n"/>
      <c r="R364" s="477" t="n"/>
      <c r="S364" s="477" t="n"/>
      <c r="T364" s="477" t="n"/>
      <c r="U364" s="477" t="n"/>
      <c r="V364" s="477" t="n"/>
      <c r="W364" s="477" t="n"/>
      <c r="X364" s="477" t="n"/>
      <c r="Y364" s="477" t="n"/>
      <c r="Z364" s="477" t="n"/>
    </row>
    <row r="365" ht="15.75" customHeight="1">
      <c r="A365" s="477" t="n"/>
      <c r="B365" s="477" t="n"/>
      <c r="C365" s="477" t="n"/>
      <c r="D365" s="477" t="n"/>
      <c r="E365" s="477" t="n"/>
      <c r="F365" s="477" t="n"/>
      <c r="G365" s="477" t="n"/>
      <c r="H365" s="505" t="n"/>
      <c r="I365" s="477" t="n"/>
      <c r="J365" s="477" t="n"/>
      <c r="K365" s="477" t="n"/>
      <c r="L365" s="477" t="n"/>
      <c r="M365" s="477" t="n"/>
      <c r="N365" s="477" t="n"/>
      <c r="O365" s="477" t="n"/>
      <c r="P365" s="477" t="n"/>
      <c r="Q365" s="477" t="n"/>
      <c r="R365" s="477" t="n"/>
      <c r="S365" s="477" t="n"/>
      <c r="T365" s="477" t="n"/>
      <c r="U365" s="477" t="n"/>
      <c r="V365" s="477" t="n"/>
      <c r="W365" s="477" t="n"/>
      <c r="X365" s="477" t="n"/>
      <c r="Y365" s="477" t="n"/>
      <c r="Z365" s="477" t="n"/>
    </row>
    <row r="366" ht="15.75" customHeight="1">
      <c r="A366" s="477" t="n"/>
      <c r="B366" s="477" t="n"/>
      <c r="C366" s="477" t="n"/>
      <c r="D366" s="477" t="n"/>
      <c r="E366" s="477" t="n"/>
      <c r="F366" s="477" t="n"/>
      <c r="G366" s="477" t="n"/>
      <c r="H366" s="505" t="n"/>
      <c r="I366" s="477" t="n"/>
      <c r="J366" s="477" t="n"/>
      <c r="K366" s="477" t="n"/>
      <c r="L366" s="477" t="n"/>
      <c r="M366" s="477" t="n"/>
      <c r="N366" s="477" t="n"/>
      <c r="O366" s="477" t="n"/>
      <c r="P366" s="477" t="n"/>
      <c r="Q366" s="477" t="n"/>
      <c r="R366" s="477" t="n"/>
      <c r="S366" s="477" t="n"/>
      <c r="T366" s="477" t="n"/>
      <c r="U366" s="477" t="n"/>
      <c r="V366" s="477" t="n"/>
      <c r="W366" s="477" t="n"/>
      <c r="X366" s="477" t="n"/>
      <c r="Y366" s="477" t="n"/>
      <c r="Z366" s="477" t="n"/>
    </row>
    <row r="367" ht="15.75" customHeight="1">
      <c r="A367" s="477" t="n"/>
      <c r="B367" s="477" t="n"/>
      <c r="C367" s="477" t="n"/>
      <c r="D367" s="477" t="n"/>
      <c r="E367" s="477" t="n"/>
      <c r="F367" s="477" t="n"/>
      <c r="G367" s="477" t="n"/>
      <c r="H367" s="505" t="n"/>
      <c r="I367" s="477" t="n"/>
      <c r="J367" s="477" t="n"/>
      <c r="K367" s="477" t="n"/>
      <c r="L367" s="477" t="n"/>
      <c r="M367" s="477" t="n"/>
      <c r="N367" s="477" t="n"/>
      <c r="O367" s="477" t="n"/>
      <c r="P367" s="477" t="n"/>
      <c r="Q367" s="477" t="n"/>
      <c r="R367" s="477" t="n"/>
      <c r="S367" s="477" t="n"/>
      <c r="T367" s="477" t="n"/>
      <c r="U367" s="477" t="n"/>
      <c r="V367" s="477" t="n"/>
      <c r="W367" s="477" t="n"/>
      <c r="X367" s="477" t="n"/>
      <c r="Y367" s="477" t="n"/>
      <c r="Z367" s="477" t="n"/>
    </row>
    <row r="368" ht="15.75" customHeight="1">
      <c r="A368" s="477" t="n"/>
      <c r="B368" s="477" t="n"/>
      <c r="C368" s="477" t="n"/>
      <c r="D368" s="477" t="n"/>
      <c r="E368" s="477" t="n"/>
      <c r="F368" s="477" t="n"/>
      <c r="G368" s="477" t="n"/>
      <c r="H368" s="505" t="n"/>
      <c r="I368" s="477" t="n"/>
      <c r="J368" s="477" t="n"/>
      <c r="K368" s="477" t="n"/>
      <c r="L368" s="477" t="n"/>
      <c r="M368" s="477" t="n"/>
      <c r="N368" s="477" t="n"/>
      <c r="O368" s="477" t="n"/>
      <c r="P368" s="477" t="n"/>
      <c r="Q368" s="477" t="n"/>
      <c r="R368" s="477" t="n"/>
      <c r="S368" s="477" t="n"/>
      <c r="T368" s="477" t="n"/>
      <c r="U368" s="477" t="n"/>
      <c r="V368" s="477" t="n"/>
      <c r="W368" s="477" t="n"/>
      <c r="X368" s="477" t="n"/>
      <c r="Y368" s="477" t="n"/>
      <c r="Z368" s="477" t="n"/>
    </row>
    <row r="369" ht="15.75" customHeight="1">
      <c r="A369" s="477" t="n"/>
      <c r="B369" s="477" t="n"/>
      <c r="C369" s="477" t="n"/>
      <c r="D369" s="477" t="n"/>
      <c r="E369" s="477" t="n"/>
      <c r="F369" s="477" t="n"/>
      <c r="G369" s="477" t="n"/>
      <c r="H369" s="505" t="n"/>
      <c r="I369" s="477" t="n"/>
      <c r="J369" s="477" t="n"/>
      <c r="K369" s="477" t="n"/>
      <c r="L369" s="477" t="n"/>
      <c r="M369" s="477" t="n"/>
      <c r="N369" s="477" t="n"/>
      <c r="O369" s="477" t="n"/>
      <c r="P369" s="477" t="n"/>
      <c r="Q369" s="477" t="n"/>
      <c r="R369" s="477" t="n"/>
      <c r="S369" s="477" t="n"/>
      <c r="T369" s="477" t="n"/>
      <c r="U369" s="477" t="n"/>
      <c r="V369" s="477" t="n"/>
      <c r="W369" s="477" t="n"/>
      <c r="X369" s="477" t="n"/>
      <c r="Y369" s="477" t="n"/>
      <c r="Z369" s="477" t="n"/>
    </row>
    <row r="370" ht="15.75" customHeight="1">
      <c r="A370" s="477" t="n"/>
      <c r="B370" s="477" t="n"/>
      <c r="C370" s="477" t="n"/>
      <c r="D370" s="477" t="n"/>
      <c r="E370" s="477" t="n"/>
      <c r="F370" s="477" t="n"/>
      <c r="G370" s="477" t="n"/>
      <c r="H370" s="505" t="n"/>
      <c r="I370" s="477" t="n"/>
      <c r="J370" s="477" t="n"/>
      <c r="K370" s="477" t="n"/>
      <c r="L370" s="477" t="n"/>
      <c r="M370" s="477" t="n"/>
      <c r="N370" s="477" t="n"/>
      <c r="O370" s="477" t="n"/>
      <c r="P370" s="477" t="n"/>
      <c r="Q370" s="477" t="n"/>
      <c r="R370" s="477" t="n"/>
      <c r="S370" s="477" t="n"/>
      <c r="T370" s="477" t="n"/>
      <c r="U370" s="477" t="n"/>
      <c r="V370" s="477" t="n"/>
      <c r="W370" s="477" t="n"/>
      <c r="X370" s="477" t="n"/>
      <c r="Y370" s="477" t="n"/>
      <c r="Z370" s="477" t="n"/>
    </row>
    <row r="371" ht="15.75" customHeight="1">
      <c r="A371" s="477" t="n"/>
      <c r="B371" s="477" t="n"/>
      <c r="C371" s="477" t="n"/>
      <c r="D371" s="477" t="n"/>
      <c r="E371" s="477" t="n"/>
      <c r="F371" s="477" t="n"/>
      <c r="G371" s="477" t="n"/>
      <c r="H371" s="505" t="n"/>
      <c r="I371" s="477" t="n"/>
      <c r="J371" s="477" t="n"/>
      <c r="K371" s="477" t="n"/>
      <c r="L371" s="477" t="n"/>
      <c r="M371" s="477" t="n"/>
      <c r="N371" s="477" t="n"/>
      <c r="O371" s="477" t="n"/>
      <c r="P371" s="477" t="n"/>
      <c r="Q371" s="477" t="n"/>
      <c r="R371" s="477" t="n"/>
      <c r="S371" s="477" t="n"/>
      <c r="T371" s="477" t="n"/>
      <c r="U371" s="477" t="n"/>
      <c r="V371" s="477" t="n"/>
      <c r="W371" s="477" t="n"/>
      <c r="X371" s="477" t="n"/>
      <c r="Y371" s="477" t="n"/>
      <c r="Z371" s="477" t="n"/>
    </row>
    <row r="372" ht="15.75" customHeight="1">
      <c r="A372" s="477" t="n"/>
      <c r="B372" s="477" t="n"/>
      <c r="C372" s="477" t="n"/>
      <c r="D372" s="477" t="n"/>
      <c r="E372" s="477" t="n"/>
      <c r="F372" s="477" t="n"/>
      <c r="G372" s="477" t="n"/>
      <c r="H372" s="505" t="n"/>
      <c r="I372" s="477" t="n"/>
      <c r="J372" s="477" t="n"/>
      <c r="K372" s="477" t="n"/>
      <c r="L372" s="477" t="n"/>
      <c r="M372" s="477" t="n"/>
      <c r="N372" s="477" t="n"/>
      <c r="O372" s="477" t="n"/>
      <c r="P372" s="477" t="n"/>
      <c r="Q372" s="477" t="n"/>
      <c r="R372" s="477" t="n"/>
      <c r="S372" s="477" t="n"/>
      <c r="T372" s="477" t="n"/>
      <c r="U372" s="477" t="n"/>
      <c r="V372" s="477" t="n"/>
      <c r="W372" s="477" t="n"/>
      <c r="X372" s="477" t="n"/>
      <c r="Y372" s="477" t="n"/>
      <c r="Z372" s="477" t="n"/>
    </row>
    <row r="373" ht="15.75" customHeight="1">
      <c r="A373" s="477" t="n"/>
      <c r="B373" s="477" t="n"/>
      <c r="C373" s="477" t="n"/>
      <c r="D373" s="477" t="n"/>
      <c r="E373" s="477" t="n"/>
      <c r="F373" s="477" t="n"/>
      <c r="G373" s="477" t="n"/>
      <c r="H373" s="505" t="n"/>
      <c r="I373" s="477" t="n"/>
      <c r="J373" s="477" t="n"/>
      <c r="K373" s="477" t="n"/>
      <c r="L373" s="477" t="n"/>
      <c r="M373" s="477" t="n"/>
      <c r="N373" s="477" t="n"/>
      <c r="O373" s="477" t="n"/>
      <c r="P373" s="477" t="n"/>
      <c r="Q373" s="477" t="n"/>
      <c r="R373" s="477" t="n"/>
      <c r="S373" s="477" t="n"/>
      <c r="T373" s="477" t="n"/>
      <c r="U373" s="477" t="n"/>
      <c r="V373" s="477" t="n"/>
      <c r="W373" s="477" t="n"/>
      <c r="X373" s="477" t="n"/>
      <c r="Y373" s="477" t="n"/>
      <c r="Z373" s="477" t="n"/>
    </row>
    <row r="374" ht="15.75" customHeight="1">
      <c r="A374" s="477" t="n"/>
      <c r="B374" s="477" t="n"/>
      <c r="C374" s="477" t="n"/>
      <c r="D374" s="477" t="n"/>
      <c r="E374" s="477" t="n"/>
      <c r="F374" s="477" t="n"/>
      <c r="G374" s="477" t="n"/>
      <c r="H374" s="505" t="n"/>
      <c r="I374" s="477" t="n"/>
      <c r="J374" s="477" t="n"/>
      <c r="K374" s="477" t="n"/>
      <c r="L374" s="477" t="n"/>
      <c r="M374" s="477" t="n"/>
      <c r="N374" s="477" t="n"/>
      <c r="O374" s="477" t="n"/>
      <c r="P374" s="477" t="n"/>
      <c r="Q374" s="477" t="n"/>
      <c r="R374" s="477" t="n"/>
      <c r="S374" s="477" t="n"/>
      <c r="T374" s="477" t="n"/>
      <c r="U374" s="477" t="n"/>
      <c r="V374" s="477" t="n"/>
      <c r="W374" s="477" t="n"/>
      <c r="X374" s="477" t="n"/>
      <c r="Y374" s="477" t="n"/>
      <c r="Z374" s="477" t="n"/>
    </row>
    <row r="375" ht="15.75" customHeight="1">
      <c r="A375" s="477" t="n"/>
      <c r="B375" s="477" t="n"/>
      <c r="C375" s="477" t="n"/>
      <c r="D375" s="477" t="n"/>
      <c r="E375" s="477" t="n"/>
      <c r="F375" s="477" t="n"/>
      <c r="G375" s="477" t="n"/>
      <c r="H375" s="505" t="n"/>
      <c r="I375" s="477" t="n"/>
      <c r="J375" s="477" t="n"/>
      <c r="K375" s="477" t="n"/>
      <c r="L375" s="477" t="n"/>
      <c r="M375" s="477" t="n"/>
      <c r="N375" s="477" t="n"/>
      <c r="O375" s="477" t="n"/>
      <c r="P375" s="477" t="n"/>
      <c r="Q375" s="477" t="n"/>
      <c r="R375" s="477" t="n"/>
      <c r="S375" s="477" t="n"/>
      <c r="T375" s="477" t="n"/>
      <c r="U375" s="477" t="n"/>
      <c r="V375" s="477" t="n"/>
      <c r="W375" s="477" t="n"/>
      <c r="X375" s="477" t="n"/>
      <c r="Y375" s="477" t="n"/>
      <c r="Z375" s="477" t="n"/>
    </row>
    <row r="376" ht="15.75" customHeight="1">
      <c r="A376" s="477" t="n"/>
      <c r="B376" s="477" t="n"/>
      <c r="C376" s="477" t="n"/>
      <c r="D376" s="477" t="n"/>
      <c r="E376" s="477" t="n"/>
      <c r="F376" s="477" t="n"/>
      <c r="G376" s="477" t="n"/>
      <c r="H376" s="505" t="n"/>
      <c r="I376" s="477" t="n"/>
      <c r="J376" s="477" t="n"/>
      <c r="K376" s="477" t="n"/>
      <c r="L376" s="477" t="n"/>
      <c r="M376" s="477" t="n"/>
      <c r="N376" s="477" t="n"/>
      <c r="O376" s="477" t="n"/>
      <c r="P376" s="477" t="n"/>
      <c r="Q376" s="477" t="n"/>
      <c r="R376" s="477" t="n"/>
      <c r="S376" s="477" t="n"/>
      <c r="T376" s="477" t="n"/>
      <c r="U376" s="477" t="n"/>
      <c r="V376" s="477" t="n"/>
      <c r="W376" s="477" t="n"/>
      <c r="X376" s="477" t="n"/>
      <c r="Y376" s="477" t="n"/>
      <c r="Z376" s="477" t="n"/>
    </row>
    <row r="377" ht="15.75" customHeight="1">
      <c r="A377" s="477" t="n"/>
      <c r="B377" s="477" t="n"/>
      <c r="C377" s="477" t="n"/>
      <c r="D377" s="477" t="n"/>
      <c r="E377" s="477" t="n"/>
      <c r="F377" s="477" t="n"/>
      <c r="G377" s="477" t="n"/>
      <c r="H377" s="505" t="n"/>
      <c r="I377" s="477" t="n"/>
      <c r="J377" s="477" t="n"/>
      <c r="K377" s="477" t="n"/>
      <c r="L377" s="477" t="n"/>
      <c r="M377" s="477" t="n"/>
      <c r="N377" s="477" t="n"/>
      <c r="O377" s="477" t="n"/>
      <c r="P377" s="477" t="n"/>
      <c r="Q377" s="477" t="n"/>
      <c r="R377" s="477" t="n"/>
      <c r="S377" s="477" t="n"/>
      <c r="T377" s="477" t="n"/>
      <c r="U377" s="477" t="n"/>
      <c r="V377" s="477" t="n"/>
      <c r="W377" s="477" t="n"/>
      <c r="X377" s="477" t="n"/>
      <c r="Y377" s="477" t="n"/>
      <c r="Z377" s="477" t="n"/>
    </row>
    <row r="378" ht="15.75" customHeight="1">
      <c r="A378" s="477" t="n"/>
      <c r="B378" s="477" t="n"/>
      <c r="C378" s="477" t="n"/>
      <c r="D378" s="477" t="n"/>
      <c r="E378" s="477" t="n"/>
      <c r="F378" s="477" t="n"/>
      <c r="G378" s="477" t="n"/>
      <c r="H378" s="505" t="n"/>
      <c r="I378" s="477" t="n"/>
      <c r="J378" s="477" t="n"/>
      <c r="K378" s="477" t="n"/>
      <c r="L378" s="477" t="n"/>
      <c r="M378" s="477" t="n"/>
      <c r="N378" s="477" t="n"/>
      <c r="O378" s="477" t="n"/>
      <c r="P378" s="477" t="n"/>
      <c r="Q378" s="477" t="n"/>
      <c r="R378" s="477" t="n"/>
      <c r="S378" s="477" t="n"/>
      <c r="T378" s="477" t="n"/>
      <c r="U378" s="477" t="n"/>
      <c r="V378" s="477" t="n"/>
      <c r="W378" s="477" t="n"/>
      <c r="X378" s="477" t="n"/>
      <c r="Y378" s="477" t="n"/>
      <c r="Z378" s="477" t="n"/>
    </row>
    <row r="379" ht="15.75" customHeight="1">
      <c r="A379" s="477" t="n"/>
      <c r="B379" s="477" t="n"/>
      <c r="C379" s="477" t="n"/>
      <c r="D379" s="477" t="n"/>
      <c r="E379" s="477" t="n"/>
      <c r="F379" s="477" t="n"/>
      <c r="G379" s="477" t="n"/>
      <c r="H379" s="505" t="n"/>
      <c r="I379" s="477" t="n"/>
      <c r="J379" s="477" t="n"/>
      <c r="K379" s="477" t="n"/>
      <c r="L379" s="477" t="n"/>
      <c r="M379" s="477" t="n"/>
      <c r="N379" s="477" t="n"/>
      <c r="O379" s="477" t="n"/>
      <c r="P379" s="477" t="n"/>
      <c r="Q379" s="477" t="n"/>
      <c r="R379" s="477" t="n"/>
      <c r="S379" s="477" t="n"/>
      <c r="T379" s="477" t="n"/>
      <c r="U379" s="477" t="n"/>
      <c r="V379" s="477" t="n"/>
      <c r="W379" s="477" t="n"/>
      <c r="X379" s="477" t="n"/>
      <c r="Y379" s="477" t="n"/>
      <c r="Z379" s="477" t="n"/>
    </row>
    <row r="380" ht="15.75" customHeight="1">
      <c r="A380" s="477" t="n"/>
      <c r="B380" s="477" t="n"/>
      <c r="C380" s="477" t="n"/>
      <c r="D380" s="477" t="n"/>
      <c r="E380" s="477" t="n"/>
      <c r="F380" s="477" t="n"/>
      <c r="G380" s="477" t="n"/>
      <c r="H380" s="505" t="n"/>
      <c r="I380" s="477" t="n"/>
      <c r="J380" s="477" t="n"/>
      <c r="K380" s="477" t="n"/>
      <c r="L380" s="477" t="n"/>
      <c r="M380" s="477" t="n"/>
      <c r="N380" s="477" t="n"/>
      <c r="O380" s="477" t="n"/>
      <c r="P380" s="477" t="n"/>
      <c r="Q380" s="477" t="n"/>
      <c r="R380" s="477" t="n"/>
      <c r="S380" s="477" t="n"/>
      <c r="T380" s="477" t="n"/>
      <c r="U380" s="477" t="n"/>
      <c r="V380" s="477" t="n"/>
      <c r="W380" s="477" t="n"/>
      <c r="X380" s="477" t="n"/>
      <c r="Y380" s="477" t="n"/>
      <c r="Z380" s="477" t="n"/>
    </row>
    <row r="381" ht="15.75" customHeight="1">
      <c r="A381" s="477" t="n"/>
      <c r="B381" s="477" t="n"/>
      <c r="C381" s="477" t="n"/>
      <c r="D381" s="477" t="n"/>
      <c r="E381" s="477" t="n"/>
      <c r="F381" s="477" t="n"/>
      <c r="G381" s="477" t="n"/>
      <c r="H381" s="505" t="n"/>
      <c r="I381" s="477" t="n"/>
      <c r="J381" s="477" t="n"/>
      <c r="K381" s="477" t="n"/>
      <c r="L381" s="477" t="n"/>
      <c r="M381" s="477" t="n"/>
      <c r="N381" s="477" t="n"/>
      <c r="O381" s="477" t="n"/>
      <c r="P381" s="477" t="n"/>
      <c r="Q381" s="477" t="n"/>
      <c r="R381" s="477" t="n"/>
      <c r="S381" s="477" t="n"/>
      <c r="T381" s="477" t="n"/>
      <c r="U381" s="477" t="n"/>
      <c r="V381" s="477" t="n"/>
      <c r="W381" s="477" t="n"/>
      <c r="X381" s="477" t="n"/>
      <c r="Y381" s="477" t="n"/>
      <c r="Z381" s="477" t="n"/>
    </row>
    <row r="382" ht="15.75" customHeight="1">
      <c r="A382" s="477" t="n"/>
      <c r="B382" s="477" t="n"/>
      <c r="C382" s="477" t="n"/>
      <c r="D382" s="477" t="n"/>
      <c r="E382" s="477" t="n"/>
      <c r="F382" s="477" t="n"/>
      <c r="G382" s="477" t="n"/>
      <c r="H382" s="505" t="n"/>
      <c r="I382" s="477" t="n"/>
      <c r="J382" s="477" t="n"/>
      <c r="K382" s="477" t="n"/>
      <c r="L382" s="477" t="n"/>
      <c r="M382" s="477" t="n"/>
      <c r="N382" s="477" t="n"/>
      <c r="O382" s="477" t="n"/>
      <c r="P382" s="477" t="n"/>
      <c r="Q382" s="477" t="n"/>
      <c r="R382" s="477" t="n"/>
      <c r="S382" s="477" t="n"/>
      <c r="T382" s="477" t="n"/>
      <c r="U382" s="477" t="n"/>
      <c r="V382" s="477" t="n"/>
      <c r="W382" s="477" t="n"/>
      <c r="X382" s="477" t="n"/>
      <c r="Y382" s="477" t="n"/>
      <c r="Z382" s="477" t="n"/>
    </row>
    <row r="383" ht="15.75" customHeight="1">
      <c r="A383" s="477" t="n"/>
      <c r="B383" s="477" t="n"/>
      <c r="C383" s="477" t="n"/>
      <c r="D383" s="477" t="n"/>
      <c r="E383" s="477" t="n"/>
      <c r="F383" s="477" t="n"/>
      <c r="G383" s="477" t="n"/>
      <c r="H383" s="505" t="n"/>
      <c r="I383" s="477" t="n"/>
      <c r="J383" s="477" t="n"/>
      <c r="K383" s="477" t="n"/>
      <c r="L383" s="477" t="n"/>
      <c r="M383" s="477" t="n"/>
      <c r="N383" s="477" t="n"/>
      <c r="O383" s="477" t="n"/>
      <c r="P383" s="477" t="n"/>
      <c r="Q383" s="477" t="n"/>
      <c r="R383" s="477" t="n"/>
      <c r="S383" s="477" t="n"/>
      <c r="T383" s="477" t="n"/>
      <c r="U383" s="477" t="n"/>
      <c r="V383" s="477" t="n"/>
      <c r="W383" s="477" t="n"/>
      <c r="X383" s="477" t="n"/>
      <c r="Y383" s="477" t="n"/>
      <c r="Z383" s="477" t="n"/>
    </row>
    <row r="384" ht="15.75" customHeight="1">
      <c r="A384" s="477" t="n"/>
      <c r="B384" s="477" t="n"/>
      <c r="C384" s="477" t="n"/>
      <c r="D384" s="477" t="n"/>
      <c r="E384" s="477" t="n"/>
      <c r="F384" s="477" t="n"/>
      <c r="G384" s="477" t="n"/>
      <c r="H384" s="505" t="n"/>
      <c r="I384" s="477" t="n"/>
      <c r="J384" s="477" t="n"/>
      <c r="K384" s="477" t="n"/>
      <c r="L384" s="477" t="n"/>
      <c r="M384" s="477" t="n"/>
      <c r="N384" s="477" t="n"/>
      <c r="O384" s="477" t="n"/>
      <c r="P384" s="477" t="n"/>
      <c r="Q384" s="477" t="n"/>
      <c r="R384" s="477" t="n"/>
      <c r="S384" s="477" t="n"/>
      <c r="T384" s="477" t="n"/>
      <c r="U384" s="477" t="n"/>
      <c r="V384" s="477" t="n"/>
      <c r="W384" s="477" t="n"/>
      <c r="X384" s="477" t="n"/>
      <c r="Y384" s="477" t="n"/>
      <c r="Z384" s="477" t="n"/>
    </row>
    <row r="385" ht="15.75" customHeight="1">
      <c r="A385" s="477" t="n"/>
      <c r="B385" s="477" t="n"/>
      <c r="C385" s="477" t="n"/>
      <c r="D385" s="477" t="n"/>
      <c r="E385" s="477" t="n"/>
      <c r="F385" s="477" t="n"/>
      <c r="G385" s="477" t="n"/>
      <c r="H385" s="505" t="n"/>
      <c r="I385" s="477" t="n"/>
      <c r="J385" s="477" t="n"/>
      <c r="K385" s="477" t="n"/>
      <c r="L385" s="477" t="n"/>
      <c r="M385" s="477" t="n"/>
      <c r="N385" s="477" t="n"/>
      <c r="O385" s="477" t="n"/>
      <c r="P385" s="477" t="n"/>
      <c r="Q385" s="477" t="n"/>
      <c r="R385" s="477" t="n"/>
      <c r="S385" s="477" t="n"/>
      <c r="T385" s="477" t="n"/>
      <c r="U385" s="477" t="n"/>
      <c r="V385" s="477" t="n"/>
      <c r="W385" s="477" t="n"/>
      <c r="X385" s="477" t="n"/>
      <c r="Y385" s="477" t="n"/>
      <c r="Z385" s="477" t="n"/>
    </row>
    <row r="386" ht="15.75" customHeight="1">
      <c r="A386" s="477" t="n"/>
      <c r="B386" s="477" t="n"/>
      <c r="C386" s="477" t="n"/>
      <c r="D386" s="477" t="n"/>
      <c r="E386" s="477" t="n"/>
      <c r="F386" s="477" t="n"/>
      <c r="G386" s="477" t="n"/>
      <c r="H386" s="505" t="n"/>
      <c r="I386" s="477" t="n"/>
      <c r="J386" s="477" t="n"/>
      <c r="K386" s="477" t="n"/>
      <c r="L386" s="477" t="n"/>
      <c r="M386" s="477" t="n"/>
      <c r="N386" s="477" t="n"/>
      <c r="O386" s="477" t="n"/>
      <c r="P386" s="477" t="n"/>
      <c r="Q386" s="477" t="n"/>
      <c r="R386" s="477" t="n"/>
      <c r="S386" s="477" t="n"/>
      <c r="T386" s="477" t="n"/>
      <c r="U386" s="477" t="n"/>
      <c r="V386" s="477" t="n"/>
      <c r="W386" s="477" t="n"/>
      <c r="X386" s="477" t="n"/>
      <c r="Y386" s="477" t="n"/>
      <c r="Z386" s="477" t="n"/>
    </row>
    <row r="387" ht="15.75" customHeight="1">
      <c r="A387" s="477" t="n"/>
      <c r="B387" s="477" t="n"/>
      <c r="C387" s="477" t="n"/>
      <c r="D387" s="477" t="n"/>
      <c r="E387" s="477" t="n"/>
      <c r="F387" s="477" t="n"/>
      <c r="G387" s="477" t="n"/>
      <c r="H387" s="505" t="n"/>
      <c r="I387" s="477" t="n"/>
      <c r="J387" s="477" t="n"/>
      <c r="K387" s="477" t="n"/>
      <c r="L387" s="477" t="n"/>
      <c r="M387" s="477" t="n"/>
      <c r="N387" s="477" t="n"/>
      <c r="O387" s="477" t="n"/>
      <c r="P387" s="477" t="n"/>
      <c r="Q387" s="477" t="n"/>
      <c r="R387" s="477" t="n"/>
      <c r="S387" s="477" t="n"/>
      <c r="T387" s="477" t="n"/>
      <c r="U387" s="477" t="n"/>
      <c r="V387" s="477" t="n"/>
      <c r="W387" s="477" t="n"/>
      <c r="X387" s="477" t="n"/>
      <c r="Y387" s="477" t="n"/>
      <c r="Z387" s="477" t="n"/>
    </row>
    <row r="388" ht="15.75" customHeight="1">
      <c r="A388" s="477" t="n"/>
      <c r="B388" s="477" t="n"/>
      <c r="C388" s="477" t="n"/>
      <c r="D388" s="477" t="n"/>
      <c r="E388" s="477" t="n"/>
      <c r="F388" s="477" t="n"/>
      <c r="G388" s="477" t="n"/>
      <c r="H388" s="505" t="n"/>
      <c r="I388" s="477" t="n"/>
      <c r="J388" s="477" t="n"/>
      <c r="K388" s="477" t="n"/>
      <c r="L388" s="477" t="n"/>
      <c r="M388" s="477" t="n"/>
      <c r="N388" s="477" t="n"/>
      <c r="O388" s="477" t="n"/>
      <c r="P388" s="477" t="n"/>
      <c r="Q388" s="477" t="n"/>
      <c r="R388" s="477" t="n"/>
      <c r="S388" s="477" t="n"/>
      <c r="T388" s="477" t="n"/>
      <c r="U388" s="477" t="n"/>
      <c r="V388" s="477" t="n"/>
      <c r="W388" s="477" t="n"/>
      <c r="X388" s="477" t="n"/>
      <c r="Y388" s="477" t="n"/>
      <c r="Z388" s="477" t="n"/>
    </row>
    <row r="389" ht="15.75" customHeight="1">
      <c r="A389" s="477" t="n"/>
      <c r="B389" s="477" t="n"/>
      <c r="C389" s="477" t="n"/>
      <c r="D389" s="477" t="n"/>
      <c r="E389" s="477" t="n"/>
      <c r="F389" s="477" t="n"/>
      <c r="G389" s="477" t="n"/>
      <c r="H389" s="505" t="n"/>
      <c r="I389" s="477" t="n"/>
      <c r="J389" s="477" t="n"/>
      <c r="K389" s="477" t="n"/>
      <c r="L389" s="477" t="n"/>
      <c r="M389" s="477" t="n"/>
      <c r="N389" s="477" t="n"/>
      <c r="O389" s="477" t="n"/>
      <c r="P389" s="477" t="n"/>
      <c r="Q389" s="477" t="n"/>
      <c r="R389" s="477" t="n"/>
      <c r="S389" s="477" t="n"/>
      <c r="T389" s="477" t="n"/>
      <c r="U389" s="477" t="n"/>
      <c r="V389" s="477" t="n"/>
      <c r="W389" s="477" t="n"/>
      <c r="X389" s="477" t="n"/>
      <c r="Y389" s="477" t="n"/>
      <c r="Z389" s="477" t="n"/>
    </row>
    <row r="390" ht="15.75" customHeight="1">
      <c r="A390" s="477" t="n"/>
      <c r="B390" s="477" t="n"/>
      <c r="C390" s="477" t="n"/>
      <c r="D390" s="477" t="n"/>
      <c r="E390" s="477" t="n"/>
      <c r="F390" s="477" t="n"/>
      <c r="G390" s="477" t="n"/>
      <c r="H390" s="505" t="n"/>
      <c r="I390" s="477" t="n"/>
      <c r="J390" s="477" t="n"/>
      <c r="K390" s="477" t="n"/>
      <c r="L390" s="477" t="n"/>
      <c r="M390" s="477" t="n"/>
      <c r="N390" s="477" t="n"/>
      <c r="O390" s="477" t="n"/>
      <c r="P390" s="477" t="n"/>
      <c r="Q390" s="477" t="n"/>
      <c r="R390" s="477" t="n"/>
      <c r="S390" s="477" t="n"/>
      <c r="T390" s="477" t="n"/>
      <c r="U390" s="477" t="n"/>
      <c r="V390" s="477" t="n"/>
      <c r="W390" s="477" t="n"/>
      <c r="X390" s="477" t="n"/>
      <c r="Y390" s="477" t="n"/>
      <c r="Z390" s="477" t="n"/>
    </row>
    <row r="391" ht="15.75" customHeight="1">
      <c r="A391" s="477" t="n"/>
      <c r="B391" s="477" t="n"/>
      <c r="C391" s="477" t="n"/>
      <c r="D391" s="477" t="n"/>
      <c r="E391" s="477" t="n"/>
      <c r="F391" s="477" t="n"/>
      <c r="G391" s="477" t="n"/>
      <c r="H391" s="505" t="n"/>
      <c r="I391" s="477" t="n"/>
      <c r="J391" s="477" t="n"/>
      <c r="K391" s="477" t="n"/>
      <c r="L391" s="477" t="n"/>
      <c r="M391" s="477" t="n"/>
      <c r="N391" s="477" t="n"/>
      <c r="O391" s="477" t="n"/>
      <c r="P391" s="477" t="n"/>
      <c r="Q391" s="477" t="n"/>
      <c r="R391" s="477" t="n"/>
      <c r="S391" s="477" t="n"/>
      <c r="T391" s="477" t="n"/>
      <c r="U391" s="477" t="n"/>
      <c r="V391" s="477" t="n"/>
      <c r="W391" s="477" t="n"/>
      <c r="X391" s="477" t="n"/>
      <c r="Y391" s="477" t="n"/>
      <c r="Z391" s="477" t="n"/>
    </row>
    <row r="392" ht="15.75" customHeight="1">
      <c r="A392" s="477" t="n"/>
      <c r="B392" s="477" t="n"/>
      <c r="C392" s="477" t="n"/>
      <c r="D392" s="477" t="n"/>
      <c r="E392" s="477" t="n"/>
      <c r="F392" s="477" t="n"/>
      <c r="G392" s="477" t="n"/>
      <c r="H392" s="505" t="n"/>
      <c r="I392" s="477" t="n"/>
      <c r="J392" s="477" t="n"/>
      <c r="K392" s="477" t="n"/>
      <c r="L392" s="477" t="n"/>
      <c r="M392" s="477" t="n"/>
      <c r="N392" s="477" t="n"/>
      <c r="O392" s="477" t="n"/>
      <c r="P392" s="477" t="n"/>
      <c r="Q392" s="477" t="n"/>
      <c r="R392" s="477" t="n"/>
      <c r="S392" s="477" t="n"/>
      <c r="T392" s="477" t="n"/>
      <c r="U392" s="477" t="n"/>
      <c r="V392" s="477" t="n"/>
      <c r="W392" s="477" t="n"/>
      <c r="X392" s="477" t="n"/>
      <c r="Y392" s="477" t="n"/>
      <c r="Z392" s="477" t="n"/>
    </row>
    <row r="393" ht="15.75" customHeight="1">
      <c r="A393" s="477" t="n"/>
      <c r="B393" s="477" t="n"/>
      <c r="C393" s="477" t="n"/>
      <c r="D393" s="477" t="n"/>
      <c r="E393" s="477" t="n"/>
      <c r="F393" s="477" t="n"/>
      <c r="G393" s="477" t="n"/>
      <c r="H393" s="505" t="n"/>
      <c r="I393" s="477" t="n"/>
      <c r="J393" s="477" t="n"/>
      <c r="K393" s="477" t="n"/>
      <c r="L393" s="477" t="n"/>
      <c r="M393" s="477" t="n"/>
      <c r="N393" s="477" t="n"/>
      <c r="O393" s="477" t="n"/>
      <c r="P393" s="477" t="n"/>
      <c r="Q393" s="477" t="n"/>
      <c r="R393" s="477" t="n"/>
      <c r="S393" s="477" t="n"/>
      <c r="T393" s="477" t="n"/>
      <c r="U393" s="477" t="n"/>
      <c r="V393" s="477" t="n"/>
      <c r="W393" s="477" t="n"/>
      <c r="X393" s="477" t="n"/>
      <c r="Y393" s="477" t="n"/>
      <c r="Z393" s="477" t="n"/>
    </row>
    <row r="394" ht="15.75" customHeight="1">
      <c r="A394" s="477" t="n"/>
      <c r="B394" s="477" t="n"/>
      <c r="C394" s="477" t="n"/>
      <c r="D394" s="477" t="n"/>
      <c r="E394" s="477" t="n"/>
      <c r="F394" s="477" t="n"/>
      <c r="G394" s="477" t="n"/>
      <c r="H394" s="505" t="n"/>
      <c r="I394" s="477" t="n"/>
      <c r="J394" s="477" t="n"/>
      <c r="K394" s="477" t="n"/>
      <c r="L394" s="477" t="n"/>
      <c r="M394" s="477" t="n"/>
      <c r="N394" s="477" t="n"/>
      <c r="O394" s="477" t="n"/>
      <c r="P394" s="477" t="n"/>
      <c r="Q394" s="477" t="n"/>
      <c r="R394" s="477" t="n"/>
      <c r="S394" s="477" t="n"/>
      <c r="T394" s="477" t="n"/>
      <c r="U394" s="477" t="n"/>
      <c r="V394" s="477" t="n"/>
      <c r="W394" s="477" t="n"/>
      <c r="X394" s="477" t="n"/>
      <c r="Y394" s="477" t="n"/>
      <c r="Z394" s="477" t="n"/>
    </row>
    <row r="395" ht="15.75" customHeight="1">
      <c r="A395" s="477" t="n"/>
      <c r="B395" s="477" t="n"/>
      <c r="C395" s="477" t="n"/>
      <c r="D395" s="477" t="n"/>
      <c r="E395" s="477" t="n"/>
      <c r="F395" s="477" t="n"/>
      <c r="G395" s="477" t="n"/>
      <c r="H395" s="505" t="n"/>
      <c r="I395" s="477" t="n"/>
      <c r="J395" s="477" t="n"/>
      <c r="K395" s="477" t="n"/>
      <c r="L395" s="477" t="n"/>
      <c r="M395" s="477" t="n"/>
      <c r="N395" s="477" t="n"/>
      <c r="O395" s="477" t="n"/>
      <c r="P395" s="477" t="n"/>
      <c r="Q395" s="477" t="n"/>
      <c r="R395" s="477" t="n"/>
      <c r="S395" s="477" t="n"/>
      <c r="T395" s="477" t="n"/>
      <c r="U395" s="477" t="n"/>
      <c r="V395" s="477" t="n"/>
      <c r="W395" s="477" t="n"/>
      <c r="X395" s="477" t="n"/>
      <c r="Y395" s="477" t="n"/>
      <c r="Z395" s="477" t="n"/>
    </row>
    <row r="396" ht="15.75" customHeight="1">
      <c r="A396" s="477" t="n"/>
      <c r="B396" s="477" t="n"/>
      <c r="C396" s="477" t="n"/>
      <c r="D396" s="477" t="n"/>
      <c r="E396" s="477" t="n"/>
      <c r="F396" s="477" t="n"/>
      <c r="G396" s="477" t="n"/>
      <c r="H396" s="505" t="n"/>
      <c r="I396" s="477" t="n"/>
      <c r="J396" s="477" t="n"/>
      <c r="K396" s="477" t="n"/>
      <c r="L396" s="477" t="n"/>
      <c r="M396" s="477" t="n"/>
      <c r="N396" s="477" t="n"/>
      <c r="O396" s="477" t="n"/>
      <c r="P396" s="477" t="n"/>
      <c r="Q396" s="477" t="n"/>
      <c r="R396" s="477" t="n"/>
      <c r="S396" s="477" t="n"/>
      <c r="T396" s="477" t="n"/>
      <c r="U396" s="477" t="n"/>
      <c r="V396" s="477" t="n"/>
      <c r="W396" s="477" t="n"/>
      <c r="X396" s="477" t="n"/>
      <c r="Y396" s="477" t="n"/>
      <c r="Z396" s="477" t="n"/>
    </row>
    <row r="397" ht="15.75" customHeight="1">
      <c r="A397" s="477" t="n"/>
      <c r="B397" s="477" t="n"/>
      <c r="C397" s="477" t="n"/>
      <c r="D397" s="477" t="n"/>
      <c r="E397" s="477" t="n"/>
      <c r="F397" s="477" t="n"/>
      <c r="G397" s="477" t="n"/>
      <c r="H397" s="505" t="n"/>
      <c r="I397" s="477" t="n"/>
      <c r="J397" s="477" t="n"/>
      <c r="K397" s="477" t="n"/>
      <c r="L397" s="477" t="n"/>
      <c r="M397" s="477" t="n"/>
      <c r="N397" s="477" t="n"/>
      <c r="O397" s="477" t="n"/>
      <c r="P397" s="477" t="n"/>
      <c r="Q397" s="477" t="n"/>
      <c r="R397" s="477" t="n"/>
      <c r="S397" s="477" t="n"/>
      <c r="T397" s="477" t="n"/>
      <c r="U397" s="477" t="n"/>
      <c r="V397" s="477" t="n"/>
      <c r="W397" s="477" t="n"/>
      <c r="X397" s="477" t="n"/>
      <c r="Y397" s="477" t="n"/>
      <c r="Z397" s="477" t="n"/>
    </row>
    <row r="398" ht="15.75" customHeight="1">
      <c r="A398" s="477" t="n"/>
      <c r="B398" s="477" t="n"/>
      <c r="C398" s="477" t="n"/>
      <c r="D398" s="477" t="n"/>
      <c r="E398" s="477" t="n"/>
      <c r="F398" s="477" t="n"/>
      <c r="G398" s="477" t="n"/>
      <c r="H398" s="505" t="n"/>
      <c r="I398" s="477" t="n"/>
      <c r="J398" s="477" t="n"/>
      <c r="K398" s="477" t="n"/>
      <c r="L398" s="477" t="n"/>
      <c r="M398" s="477" t="n"/>
      <c r="N398" s="477" t="n"/>
      <c r="O398" s="477" t="n"/>
      <c r="P398" s="477" t="n"/>
      <c r="Q398" s="477" t="n"/>
      <c r="R398" s="477" t="n"/>
      <c r="S398" s="477" t="n"/>
      <c r="T398" s="477" t="n"/>
      <c r="U398" s="477" t="n"/>
      <c r="V398" s="477" t="n"/>
      <c r="W398" s="477" t="n"/>
      <c r="X398" s="477" t="n"/>
      <c r="Y398" s="477" t="n"/>
      <c r="Z398" s="477" t="n"/>
    </row>
    <row r="399" ht="15.75" customHeight="1">
      <c r="A399" s="477" t="n"/>
      <c r="B399" s="477" t="n"/>
      <c r="C399" s="477" t="n"/>
      <c r="D399" s="477" t="n"/>
      <c r="E399" s="477" t="n"/>
      <c r="F399" s="477" t="n"/>
      <c r="G399" s="477" t="n"/>
      <c r="H399" s="505" t="n"/>
      <c r="I399" s="477" t="n"/>
      <c r="J399" s="477" t="n"/>
      <c r="K399" s="477" t="n"/>
      <c r="L399" s="477" t="n"/>
      <c r="M399" s="477" t="n"/>
      <c r="N399" s="477" t="n"/>
      <c r="O399" s="477" t="n"/>
      <c r="P399" s="477" t="n"/>
      <c r="Q399" s="477" t="n"/>
      <c r="R399" s="477" t="n"/>
      <c r="S399" s="477" t="n"/>
      <c r="T399" s="477" t="n"/>
      <c r="U399" s="477" t="n"/>
      <c r="V399" s="477" t="n"/>
      <c r="W399" s="477" t="n"/>
      <c r="X399" s="477" t="n"/>
      <c r="Y399" s="477" t="n"/>
      <c r="Z399" s="477" t="n"/>
    </row>
    <row r="400" ht="15.75" customHeight="1">
      <c r="A400" s="477" t="n"/>
      <c r="B400" s="477" t="n"/>
      <c r="C400" s="477" t="n"/>
      <c r="D400" s="477" t="n"/>
      <c r="E400" s="477" t="n"/>
      <c r="F400" s="477" t="n"/>
      <c r="G400" s="477" t="n"/>
      <c r="H400" s="505" t="n"/>
      <c r="I400" s="477" t="n"/>
      <c r="J400" s="477" t="n"/>
      <c r="K400" s="477" t="n"/>
      <c r="L400" s="477" t="n"/>
      <c r="M400" s="477" t="n"/>
      <c r="N400" s="477" t="n"/>
      <c r="O400" s="477" t="n"/>
      <c r="P400" s="477" t="n"/>
      <c r="Q400" s="477" t="n"/>
      <c r="R400" s="477" t="n"/>
      <c r="S400" s="477" t="n"/>
      <c r="T400" s="477" t="n"/>
      <c r="U400" s="477" t="n"/>
      <c r="V400" s="477" t="n"/>
      <c r="W400" s="477" t="n"/>
      <c r="X400" s="477" t="n"/>
      <c r="Y400" s="477" t="n"/>
      <c r="Z400" s="477" t="n"/>
    </row>
    <row r="401" ht="15.75" customHeight="1">
      <c r="A401" s="477" t="n"/>
      <c r="B401" s="477" t="n"/>
      <c r="C401" s="477" t="n"/>
      <c r="D401" s="477" t="n"/>
      <c r="E401" s="477" t="n"/>
      <c r="F401" s="477" t="n"/>
      <c r="G401" s="477" t="n"/>
      <c r="H401" s="505" t="n"/>
      <c r="I401" s="477" t="n"/>
      <c r="J401" s="477" t="n"/>
      <c r="K401" s="477" t="n"/>
      <c r="L401" s="477" t="n"/>
      <c r="M401" s="477" t="n"/>
      <c r="N401" s="477" t="n"/>
      <c r="O401" s="477" t="n"/>
      <c r="P401" s="477" t="n"/>
      <c r="Q401" s="477" t="n"/>
      <c r="R401" s="477" t="n"/>
      <c r="S401" s="477" t="n"/>
      <c r="T401" s="477" t="n"/>
      <c r="U401" s="477" t="n"/>
      <c r="V401" s="477" t="n"/>
      <c r="W401" s="477" t="n"/>
      <c r="X401" s="477" t="n"/>
      <c r="Y401" s="477" t="n"/>
      <c r="Z401" s="477" t="n"/>
    </row>
    <row r="402" ht="15.75" customHeight="1">
      <c r="A402" s="477" t="n"/>
      <c r="B402" s="477" t="n"/>
      <c r="C402" s="477" t="n"/>
      <c r="D402" s="477" t="n"/>
      <c r="E402" s="477" t="n"/>
      <c r="F402" s="477" t="n"/>
      <c r="G402" s="477" t="n"/>
      <c r="H402" s="505" t="n"/>
      <c r="I402" s="477" t="n"/>
      <c r="J402" s="477" t="n"/>
      <c r="K402" s="477" t="n"/>
      <c r="L402" s="477" t="n"/>
      <c r="M402" s="477" t="n"/>
      <c r="N402" s="477" t="n"/>
      <c r="O402" s="477" t="n"/>
      <c r="P402" s="477" t="n"/>
      <c r="Q402" s="477" t="n"/>
      <c r="R402" s="477" t="n"/>
      <c r="S402" s="477" t="n"/>
      <c r="T402" s="477" t="n"/>
      <c r="U402" s="477" t="n"/>
      <c r="V402" s="477" t="n"/>
      <c r="W402" s="477" t="n"/>
      <c r="X402" s="477" t="n"/>
      <c r="Y402" s="477" t="n"/>
      <c r="Z402" s="477" t="n"/>
    </row>
    <row r="403" ht="15.75" customHeight="1">
      <c r="A403" s="477" t="n"/>
      <c r="B403" s="477" t="n"/>
      <c r="C403" s="477" t="n"/>
      <c r="D403" s="477" t="n"/>
      <c r="E403" s="477" t="n"/>
      <c r="F403" s="477" t="n"/>
      <c r="G403" s="477" t="n"/>
      <c r="H403" s="505" t="n"/>
      <c r="I403" s="477" t="n"/>
      <c r="J403" s="477" t="n"/>
      <c r="K403" s="477" t="n"/>
      <c r="L403" s="477" t="n"/>
      <c r="M403" s="477" t="n"/>
      <c r="N403" s="477" t="n"/>
      <c r="O403" s="477" t="n"/>
      <c r="P403" s="477" t="n"/>
      <c r="Q403" s="477" t="n"/>
      <c r="R403" s="477" t="n"/>
      <c r="S403" s="477" t="n"/>
      <c r="T403" s="477" t="n"/>
      <c r="U403" s="477" t="n"/>
      <c r="V403" s="477" t="n"/>
      <c r="W403" s="477" t="n"/>
      <c r="X403" s="477" t="n"/>
      <c r="Y403" s="477" t="n"/>
      <c r="Z403" s="477" t="n"/>
    </row>
    <row r="404" ht="15.75" customHeight="1">
      <c r="A404" s="477" t="n"/>
      <c r="B404" s="477" t="n"/>
      <c r="C404" s="477" t="n"/>
      <c r="D404" s="477" t="n"/>
      <c r="E404" s="477" t="n"/>
      <c r="F404" s="477" t="n"/>
      <c r="G404" s="477" t="n"/>
      <c r="H404" s="505" t="n"/>
      <c r="I404" s="477" t="n"/>
      <c r="J404" s="477" t="n"/>
      <c r="K404" s="477" t="n"/>
      <c r="L404" s="477" t="n"/>
      <c r="M404" s="477" t="n"/>
      <c r="N404" s="477" t="n"/>
      <c r="O404" s="477" t="n"/>
      <c r="P404" s="477" t="n"/>
      <c r="Q404" s="477" t="n"/>
      <c r="R404" s="477" t="n"/>
      <c r="S404" s="477" t="n"/>
      <c r="T404" s="477" t="n"/>
      <c r="U404" s="477" t="n"/>
      <c r="V404" s="477" t="n"/>
      <c r="W404" s="477" t="n"/>
      <c r="X404" s="477" t="n"/>
      <c r="Y404" s="477" t="n"/>
      <c r="Z404" s="477" t="n"/>
    </row>
    <row r="405" ht="15.75" customHeight="1">
      <c r="A405" s="477" t="n"/>
      <c r="B405" s="477" t="n"/>
      <c r="C405" s="477" t="n"/>
      <c r="D405" s="477" t="n"/>
      <c r="E405" s="477" t="n"/>
      <c r="F405" s="477" t="n"/>
      <c r="G405" s="477" t="n"/>
      <c r="H405" s="505" t="n"/>
      <c r="I405" s="477" t="n"/>
      <c r="J405" s="477" t="n"/>
      <c r="K405" s="477" t="n"/>
      <c r="L405" s="477" t="n"/>
      <c r="M405" s="477" t="n"/>
      <c r="N405" s="477" t="n"/>
      <c r="O405" s="477" t="n"/>
      <c r="P405" s="477" t="n"/>
      <c r="Q405" s="477" t="n"/>
      <c r="R405" s="477" t="n"/>
      <c r="S405" s="477" t="n"/>
      <c r="T405" s="477" t="n"/>
      <c r="U405" s="477" t="n"/>
      <c r="V405" s="477" t="n"/>
      <c r="W405" s="477" t="n"/>
      <c r="X405" s="477" t="n"/>
      <c r="Y405" s="477" t="n"/>
      <c r="Z405" s="477" t="n"/>
    </row>
    <row r="406" ht="15.75" customHeight="1">
      <c r="A406" s="477" t="n"/>
      <c r="B406" s="477" t="n"/>
      <c r="C406" s="477" t="n"/>
      <c r="D406" s="477" t="n"/>
      <c r="E406" s="477" t="n"/>
      <c r="F406" s="477" t="n"/>
      <c r="G406" s="477" t="n"/>
      <c r="H406" s="505" t="n"/>
      <c r="I406" s="477" t="n"/>
      <c r="J406" s="477" t="n"/>
      <c r="K406" s="477" t="n"/>
      <c r="L406" s="477" t="n"/>
      <c r="M406" s="477" t="n"/>
      <c r="N406" s="477" t="n"/>
      <c r="O406" s="477" t="n"/>
      <c r="P406" s="477" t="n"/>
      <c r="Q406" s="477" t="n"/>
      <c r="R406" s="477" t="n"/>
      <c r="S406" s="477" t="n"/>
      <c r="T406" s="477" t="n"/>
      <c r="U406" s="477" t="n"/>
      <c r="V406" s="477" t="n"/>
      <c r="W406" s="477" t="n"/>
      <c r="X406" s="477" t="n"/>
      <c r="Y406" s="477" t="n"/>
      <c r="Z406" s="477" t="n"/>
    </row>
    <row r="407" ht="15.75" customHeight="1">
      <c r="A407" s="477" t="n"/>
      <c r="B407" s="477" t="n"/>
      <c r="C407" s="477" t="n"/>
      <c r="D407" s="477" t="n"/>
      <c r="E407" s="477" t="n"/>
      <c r="F407" s="477" t="n"/>
      <c r="G407" s="477" t="n"/>
      <c r="H407" s="505" t="n"/>
      <c r="I407" s="477" t="n"/>
      <c r="J407" s="477" t="n"/>
      <c r="K407" s="477" t="n"/>
      <c r="L407" s="477" t="n"/>
      <c r="M407" s="477" t="n"/>
      <c r="N407" s="477" t="n"/>
      <c r="O407" s="477" t="n"/>
      <c r="P407" s="477" t="n"/>
      <c r="Q407" s="477" t="n"/>
      <c r="R407" s="477" t="n"/>
      <c r="S407" s="477" t="n"/>
      <c r="T407" s="477" t="n"/>
      <c r="U407" s="477" t="n"/>
      <c r="V407" s="477" t="n"/>
      <c r="W407" s="477" t="n"/>
      <c r="X407" s="477" t="n"/>
      <c r="Y407" s="477" t="n"/>
      <c r="Z407" s="477" t="n"/>
    </row>
    <row r="408" ht="15.75" customHeight="1">
      <c r="A408" s="477" t="n"/>
      <c r="B408" s="477" t="n"/>
      <c r="C408" s="477" t="n"/>
      <c r="D408" s="477" t="n"/>
      <c r="E408" s="477" t="n"/>
      <c r="F408" s="477" t="n"/>
      <c r="G408" s="477" t="n"/>
      <c r="H408" s="505" t="n"/>
      <c r="I408" s="477" t="n"/>
      <c r="J408" s="477" t="n"/>
      <c r="K408" s="477" t="n"/>
      <c r="L408" s="477" t="n"/>
      <c r="M408" s="477" t="n"/>
      <c r="N408" s="477" t="n"/>
      <c r="O408" s="477" t="n"/>
      <c r="P408" s="477" t="n"/>
      <c r="Q408" s="477" t="n"/>
      <c r="R408" s="477" t="n"/>
      <c r="S408" s="477" t="n"/>
      <c r="T408" s="477" t="n"/>
      <c r="U408" s="477" t="n"/>
      <c r="V408" s="477" t="n"/>
      <c r="W408" s="477" t="n"/>
      <c r="X408" s="477" t="n"/>
      <c r="Y408" s="477" t="n"/>
      <c r="Z408" s="477" t="n"/>
    </row>
    <row r="409" ht="15.75" customHeight="1">
      <c r="A409" s="477" t="n"/>
      <c r="B409" s="477" t="n"/>
      <c r="C409" s="477" t="n"/>
      <c r="D409" s="477" t="n"/>
      <c r="E409" s="477" t="n"/>
      <c r="F409" s="477" t="n"/>
      <c r="G409" s="477" t="n"/>
      <c r="H409" s="505" t="n"/>
      <c r="I409" s="477" t="n"/>
      <c r="J409" s="477" t="n"/>
      <c r="K409" s="477" t="n"/>
      <c r="L409" s="477" t="n"/>
      <c r="M409" s="477" t="n"/>
      <c r="N409" s="477" t="n"/>
      <c r="O409" s="477" t="n"/>
      <c r="P409" s="477" t="n"/>
      <c r="Q409" s="477" t="n"/>
      <c r="R409" s="477" t="n"/>
      <c r="S409" s="477" t="n"/>
      <c r="T409" s="477" t="n"/>
      <c r="U409" s="477" t="n"/>
      <c r="V409" s="477" t="n"/>
      <c r="W409" s="477" t="n"/>
      <c r="X409" s="477" t="n"/>
      <c r="Y409" s="477" t="n"/>
      <c r="Z409" s="477" t="n"/>
    </row>
    <row r="410" ht="15.75" customHeight="1">
      <c r="A410" s="477" t="n"/>
      <c r="B410" s="477" t="n"/>
      <c r="C410" s="477" t="n"/>
      <c r="D410" s="477" t="n"/>
      <c r="E410" s="477" t="n"/>
      <c r="F410" s="477" t="n"/>
      <c r="G410" s="477" t="n"/>
      <c r="H410" s="505" t="n"/>
      <c r="I410" s="477" t="n"/>
      <c r="J410" s="477" t="n"/>
      <c r="K410" s="477" t="n"/>
      <c r="L410" s="477" t="n"/>
      <c r="M410" s="477" t="n"/>
      <c r="N410" s="477" t="n"/>
      <c r="O410" s="477" t="n"/>
      <c r="P410" s="477" t="n"/>
      <c r="Q410" s="477" t="n"/>
      <c r="R410" s="477" t="n"/>
      <c r="S410" s="477" t="n"/>
      <c r="T410" s="477" t="n"/>
      <c r="U410" s="477" t="n"/>
      <c r="V410" s="477" t="n"/>
      <c r="W410" s="477" t="n"/>
      <c r="X410" s="477" t="n"/>
      <c r="Y410" s="477" t="n"/>
      <c r="Z410" s="477" t="n"/>
    </row>
    <row r="411" ht="15.75" customHeight="1">
      <c r="A411" s="477" t="n"/>
      <c r="B411" s="477" t="n"/>
      <c r="C411" s="477" t="n"/>
      <c r="D411" s="477" t="n"/>
      <c r="E411" s="477" t="n"/>
      <c r="F411" s="477" t="n"/>
      <c r="G411" s="477" t="n"/>
      <c r="H411" s="505" t="n"/>
      <c r="I411" s="477" t="n"/>
      <c r="J411" s="477" t="n"/>
      <c r="K411" s="477" t="n"/>
      <c r="L411" s="477" t="n"/>
      <c r="M411" s="477" t="n"/>
      <c r="N411" s="477" t="n"/>
      <c r="O411" s="477" t="n"/>
      <c r="P411" s="477" t="n"/>
      <c r="Q411" s="477" t="n"/>
      <c r="R411" s="477" t="n"/>
      <c r="S411" s="477" t="n"/>
      <c r="T411" s="477" t="n"/>
      <c r="U411" s="477" t="n"/>
      <c r="V411" s="477" t="n"/>
      <c r="W411" s="477" t="n"/>
      <c r="X411" s="477" t="n"/>
      <c r="Y411" s="477" t="n"/>
      <c r="Z411" s="477" t="n"/>
    </row>
    <row r="412" ht="15.75" customHeight="1">
      <c r="A412" s="477" t="n"/>
      <c r="B412" s="477" t="n"/>
      <c r="C412" s="477" t="n"/>
      <c r="D412" s="477" t="n"/>
      <c r="E412" s="477" t="n"/>
      <c r="F412" s="477" t="n"/>
      <c r="G412" s="477" t="n"/>
      <c r="H412" s="505" t="n"/>
      <c r="I412" s="477" t="n"/>
      <c r="J412" s="477" t="n"/>
      <c r="K412" s="477" t="n"/>
      <c r="L412" s="477" t="n"/>
      <c r="M412" s="477" t="n"/>
      <c r="N412" s="477" t="n"/>
      <c r="O412" s="477" t="n"/>
      <c r="P412" s="477" t="n"/>
      <c r="Q412" s="477" t="n"/>
      <c r="R412" s="477" t="n"/>
      <c r="S412" s="477" t="n"/>
      <c r="T412" s="477" t="n"/>
      <c r="U412" s="477" t="n"/>
      <c r="V412" s="477" t="n"/>
      <c r="W412" s="477" t="n"/>
      <c r="X412" s="477" t="n"/>
      <c r="Y412" s="477" t="n"/>
      <c r="Z412" s="477" t="n"/>
    </row>
    <row r="413" ht="15.75" customHeight="1">
      <c r="A413" s="477" t="n"/>
      <c r="B413" s="477" t="n"/>
      <c r="C413" s="477" t="n"/>
      <c r="D413" s="477" t="n"/>
      <c r="E413" s="477" t="n"/>
      <c r="F413" s="477" t="n"/>
      <c r="G413" s="477" t="n"/>
      <c r="H413" s="505" t="n"/>
      <c r="I413" s="477" t="n"/>
      <c r="J413" s="477" t="n"/>
      <c r="K413" s="477" t="n"/>
      <c r="L413" s="477" t="n"/>
      <c r="M413" s="477" t="n"/>
      <c r="N413" s="477" t="n"/>
      <c r="O413" s="477" t="n"/>
      <c r="P413" s="477" t="n"/>
      <c r="Q413" s="477" t="n"/>
      <c r="R413" s="477" t="n"/>
      <c r="S413" s="477" t="n"/>
      <c r="T413" s="477" t="n"/>
      <c r="U413" s="477" t="n"/>
      <c r="V413" s="477" t="n"/>
      <c r="W413" s="477" t="n"/>
      <c r="X413" s="477" t="n"/>
      <c r="Y413" s="477" t="n"/>
      <c r="Z413" s="477" t="n"/>
    </row>
    <row r="414" ht="15.75" customHeight="1">
      <c r="A414" s="477" t="n"/>
      <c r="B414" s="477" t="n"/>
      <c r="C414" s="477" t="n"/>
      <c r="D414" s="477" t="n"/>
      <c r="E414" s="477" t="n"/>
      <c r="F414" s="477" t="n"/>
      <c r="G414" s="477" t="n"/>
      <c r="H414" s="505" t="n"/>
      <c r="I414" s="477" t="n"/>
      <c r="J414" s="477" t="n"/>
      <c r="K414" s="477" t="n"/>
      <c r="L414" s="477" t="n"/>
      <c r="M414" s="477" t="n"/>
      <c r="N414" s="477" t="n"/>
      <c r="O414" s="477" t="n"/>
      <c r="P414" s="477" t="n"/>
      <c r="Q414" s="477" t="n"/>
      <c r="R414" s="477" t="n"/>
      <c r="S414" s="477" t="n"/>
      <c r="T414" s="477" t="n"/>
      <c r="U414" s="477" t="n"/>
      <c r="V414" s="477" t="n"/>
      <c r="W414" s="477" t="n"/>
      <c r="X414" s="477" t="n"/>
      <c r="Y414" s="477" t="n"/>
      <c r="Z414" s="477" t="n"/>
    </row>
    <row r="415" ht="15.75" customHeight="1">
      <c r="A415" s="477" t="n"/>
      <c r="B415" s="477" t="n"/>
      <c r="C415" s="477" t="n"/>
      <c r="D415" s="477" t="n"/>
      <c r="E415" s="477" t="n"/>
      <c r="F415" s="477" t="n"/>
      <c r="G415" s="477" t="n"/>
      <c r="H415" s="505" t="n"/>
      <c r="I415" s="477" t="n"/>
      <c r="J415" s="477" t="n"/>
      <c r="K415" s="477" t="n"/>
      <c r="L415" s="477" t="n"/>
      <c r="M415" s="477" t="n"/>
      <c r="N415" s="477" t="n"/>
      <c r="O415" s="477" t="n"/>
      <c r="P415" s="477" t="n"/>
      <c r="Q415" s="477" t="n"/>
      <c r="R415" s="477" t="n"/>
      <c r="S415" s="477" t="n"/>
      <c r="T415" s="477" t="n"/>
      <c r="U415" s="477" t="n"/>
      <c r="V415" s="477" t="n"/>
      <c r="W415" s="477" t="n"/>
      <c r="X415" s="477" t="n"/>
      <c r="Y415" s="477" t="n"/>
      <c r="Z415" s="477" t="n"/>
    </row>
    <row r="416" ht="15.75" customHeight="1">
      <c r="A416" s="477" t="n"/>
      <c r="B416" s="477" t="n"/>
      <c r="C416" s="477" t="n"/>
      <c r="D416" s="477" t="n"/>
      <c r="E416" s="477" t="n"/>
      <c r="F416" s="477" t="n"/>
      <c r="G416" s="477" t="n"/>
      <c r="H416" s="505" t="n"/>
      <c r="I416" s="477" t="n"/>
      <c r="J416" s="477" t="n"/>
      <c r="K416" s="477" t="n"/>
      <c r="L416" s="477" t="n"/>
      <c r="M416" s="477" t="n"/>
      <c r="N416" s="477" t="n"/>
      <c r="O416" s="477" t="n"/>
      <c r="P416" s="477" t="n"/>
      <c r="Q416" s="477" t="n"/>
      <c r="R416" s="477" t="n"/>
      <c r="S416" s="477" t="n"/>
      <c r="T416" s="477" t="n"/>
      <c r="U416" s="477" t="n"/>
      <c r="V416" s="477" t="n"/>
      <c r="W416" s="477" t="n"/>
      <c r="X416" s="477" t="n"/>
      <c r="Y416" s="477" t="n"/>
      <c r="Z416" s="477" t="n"/>
    </row>
    <row r="417" ht="15.75" customHeight="1">
      <c r="A417" s="477" t="n"/>
      <c r="B417" s="477" t="n"/>
      <c r="C417" s="477" t="n"/>
      <c r="D417" s="477" t="n"/>
      <c r="E417" s="477" t="n"/>
      <c r="F417" s="477" t="n"/>
      <c r="G417" s="477" t="n"/>
      <c r="H417" s="505" t="n"/>
      <c r="I417" s="477" t="n"/>
      <c r="J417" s="477" t="n"/>
      <c r="K417" s="477" t="n"/>
      <c r="L417" s="477" t="n"/>
      <c r="M417" s="477" t="n"/>
      <c r="N417" s="477" t="n"/>
      <c r="O417" s="477" t="n"/>
      <c r="P417" s="477" t="n"/>
      <c r="Q417" s="477" t="n"/>
      <c r="R417" s="477" t="n"/>
      <c r="S417" s="477" t="n"/>
      <c r="T417" s="477" t="n"/>
      <c r="U417" s="477" t="n"/>
      <c r="V417" s="477" t="n"/>
      <c r="W417" s="477" t="n"/>
      <c r="X417" s="477" t="n"/>
      <c r="Y417" s="477" t="n"/>
      <c r="Z417" s="477" t="n"/>
    </row>
    <row r="418" ht="15.75" customHeight="1">
      <c r="A418" s="477" t="n"/>
      <c r="B418" s="477" t="n"/>
      <c r="C418" s="477" t="n"/>
      <c r="D418" s="477" t="n"/>
      <c r="E418" s="477" t="n"/>
      <c r="F418" s="477" t="n"/>
      <c r="G418" s="477" t="n"/>
      <c r="H418" s="505" t="n"/>
      <c r="I418" s="477" t="n"/>
      <c r="J418" s="477" t="n"/>
      <c r="K418" s="477" t="n"/>
      <c r="L418" s="477" t="n"/>
      <c r="M418" s="477" t="n"/>
      <c r="N418" s="477" t="n"/>
      <c r="O418" s="477" t="n"/>
      <c r="P418" s="477" t="n"/>
      <c r="Q418" s="477" t="n"/>
      <c r="R418" s="477" t="n"/>
      <c r="S418" s="477" t="n"/>
      <c r="T418" s="477" t="n"/>
      <c r="U418" s="477" t="n"/>
      <c r="V418" s="477" t="n"/>
      <c r="W418" s="477" t="n"/>
      <c r="X418" s="477" t="n"/>
      <c r="Y418" s="477" t="n"/>
      <c r="Z418" s="477" t="n"/>
    </row>
    <row r="419" ht="15.75" customHeight="1">
      <c r="A419" s="477" t="n"/>
      <c r="B419" s="477" t="n"/>
      <c r="C419" s="477" t="n"/>
      <c r="D419" s="477" t="n"/>
      <c r="E419" s="477" t="n"/>
      <c r="F419" s="477" t="n"/>
      <c r="G419" s="477" t="n"/>
      <c r="H419" s="505" t="n"/>
      <c r="I419" s="477" t="n"/>
      <c r="J419" s="477" t="n"/>
      <c r="K419" s="477" t="n"/>
      <c r="L419" s="477" t="n"/>
      <c r="M419" s="477" t="n"/>
      <c r="N419" s="477" t="n"/>
      <c r="O419" s="477" t="n"/>
      <c r="P419" s="477" t="n"/>
      <c r="Q419" s="477" t="n"/>
      <c r="R419" s="477" t="n"/>
      <c r="S419" s="477" t="n"/>
      <c r="T419" s="477" t="n"/>
      <c r="U419" s="477" t="n"/>
      <c r="V419" s="477" t="n"/>
      <c r="W419" s="477" t="n"/>
      <c r="X419" s="477" t="n"/>
      <c r="Y419" s="477" t="n"/>
      <c r="Z419" s="477" t="n"/>
    </row>
    <row r="420" ht="15.75" customHeight="1">
      <c r="A420" s="477" t="n"/>
      <c r="B420" s="477" t="n"/>
      <c r="C420" s="477" t="n"/>
      <c r="D420" s="477" t="n"/>
      <c r="E420" s="477" t="n"/>
      <c r="F420" s="477" t="n"/>
      <c r="G420" s="477" t="n"/>
      <c r="H420" s="505" t="n"/>
      <c r="I420" s="477" t="n"/>
      <c r="J420" s="477" t="n"/>
      <c r="K420" s="477" t="n"/>
      <c r="L420" s="477" t="n"/>
      <c r="M420" s="477" t="n"/>
      <c r="N420" s="477" t="n"/>
      <c r="O420" s="477" t="n"/>
      <c r="P420" s="477" t="n"/>
      <c r="Q420" s="477" t="n"/>
      <c r="R420" s="477" t="n"/>
      <c r="S420" s="477" t="n"/>
      <c r="T420" s="477" t="n"/>
      <c r="U420" s="477" t="n"/>
      <c r="V420" s="477" t="n"/>
      <c r="W420" s="477" t="n"/>
      <c r="X420" s="477" t="n"/>
      <c r="Y420" s="477" t="n"/>
      <c r="Z420" s="477" t="n"/>
    </row>
    <row r="421" ht="15.75" customHeight="1">
      <c r="A421" s="477" t="n"/>
      <c r="B421" s="477" t="n"/>
      <c r="C421" s="477" t="n"/>
      <c r="D421" s="477" t="n"/>
      <c r="E421" s="477" t="n"/>
      <c r="F421" s="477" t="n"/>
      <c r="G421" s="477" t="n"/>
      <c r="H421" s="505" t="n"/>
      <c r="I421" s="477" t="n"/>
      <c r="J421" s="477" t="n"/>
      <c r="K421" s="477" t="n"/>
      <c r="L421" s="477" t="n"/>
      <c r="M421" s="477" t="n"/>
      <c r="N421" s="477" t="n"/>
      <c r="O421" s="477" t="n"/>
      <c r="P421" s="477" t="n"/>
      <c r="Q421" s="477" t="n"/>
      <c r="R421" s="477" t="n"/>
      <c r="S421" s="477" t="n"/>
      <c r="T421" s="477" t="n"/>
      <c r="U421" s="477" t="n"/>
      <c r="V421" s="477" t="n"/>
      <c r="W421" s="477" t="n"/>
      <c r="X421" s="477" t="n"/>
      <c r="Y421" s="477" t="n"/>
      <c r="Z421" s="477" t="n"/>
    </row>
    <row r="422" ht="15.75" customHeight="1">
      <c r="A422" s="477" t="n"/>
      <c r="B422" s="477" t="n"/>
      <c r="C422" s="477" t="n"/>
      <c r="D422" s="477" t="n"/>
      <c r="E422" s="477" t="n"/>
      <c r="F422" s="477" t="n"/>
      <c r="G422" s="477" t="n"/>
      <c r="H422" s="505" t="n"/>
      <c r="I422" s="477" t="n"/>
      <c r="J422" s="477" t="n"/>
      <c r="K422" s="477" t="n"/>
      <c r="L422" s="477" t="n"/>
      <c r="M422" s="477" t="n"/>
      <c r="N422" s="477" t="n"/>
      <c r="O422" s="477" t="n"/>
      <c r="P422" s="477" t="n"/>
      <c r="Q422" s="477" t="n"/>
      <c r="R422" s="477" t="n"/>
      <c r="S422" s="477" t="n"/>
      <c r="T422" s="477" t="n"/>
      <c r="U422" s="477" t="n"/>
      <c r="V422" s="477" t="n"/>
      <c r="W422" s="477" t="n"/>
      <c r="X422" s="477" t="n"/>
      <c r="Y422" s="477" t="n"/>
      <c r="Z422" s="477" t="n"/>
    </row>
    <row r="423" ht="15.75" customHeight="1">
      <c r="A423" s="477" t="n"/>
      <c r="B423" s="477" t="n"/>
      <c r="C423" s="477" t="n"/>
      <c r="D423" s="477" t="n"/>
      <c r="E423" s="477" t="n"/>
      <c r="F423" s="477" t="n"/>
      <c r="G423" s="477" t="n"/>
      <c r="H423" s="505" t="n"/>
      <c r="I423" s="477" t="n"/>
      <c r="J423" s="477" t="n"/>
      <c r="K423" s="477" t="n"/>
      <c r="L423" s="477" t="n"/>
      <c r="M423" s="477" t="n"/>
      <c r="N423" s="477" t="n"/>
      <c r="O423" s="477" t="n"/>
      <c r="P423" s="477" t="n"/>
      <c r="Q423" s="477" t="n"/>
      <c r="R423" s="477" t="n"/>
      <c r="S423" s="477" t="n"/>
      <c r="T423" s="477" t="n"/>
      <c r="U423" s="477" t="n"/>
      <c r="V423" s="477" t="n"/>
      <c r="W423" s="477" t="n"/>
      <c r="X423" s="477" t="n"/>
      <c r="Y423" s="477" t="n"/>
      <c r="Z423" s="477" t="n"/>
    </row>
    <row r="424" ht="15.75" customHeight="1">
      <c r="A424" s="477" t="n"/>
      <c r="B424" s="477" t="n"/>
      <c r="C424" s="477" t="n"/>
      <c r="D424" s="477" t="n"/>
      <c r="E424" s="477" t="n"/>
      <c r="F424" s="477" t="n"/>
      <c r="G424" s="477" t="n"/>
      <c r="H424" s="505" t="n"/>
      <c r="I424" s="477" t="n"/>
      <c r="J424" s="477" t="n"/>
      <c r="K424" s="477" t="n"/>
      <c r="L424" s="477" t="n"/>
      <c r="M424" s="477" t="n"/>
      <c r="N424" s="477" t="n"/>
      <c r="O424" s="477" t="n"/>
      <c r="P424" s="477" t="n"/>
      <c r="Q424" s="477" t="n"/>
      <c r="R424" s="477" t="n"/>
      <c r="S424" s="477" t="n"/>
      <c r="T424" s="477" t="n"/>
      <c r="U424" s="477" t="n"/>
      <c r="V424" s="477" t="n"/>
      <c r="W424" s="477" t="n"/>
      <c r="X424" s="477" t="n"/>
      <c r="Y424" s="477" t="n"/>
      <c r="Z424" s="477" t="n"/>
    </row>
    <row r="425" ht="15.75" customHeight="1">
      <c r="A425" s="477" t="n"/>
      <c r="B425" s="477" t="n"/>
      <c r="C425" s="477" t="n"/>
      <c r="D425" s="477" t="n"/>
      <c r="E425" s="477" t="n"/>
      <c r="F425" s="477" t="n"/>
      <c r="G425" s="477" t="n"/>
      <c r="H425" s="505" t="n"/>
      <c r="I425" s="477" t="n"/>
      <c r="J425" s="477" t="n"/>
      <c r="K425" s="477" t="n"/>
      <c r="L425" s="477" t="n"/>
      <c r="M425" s="477" t="n"/>
      <c r="N425" s="477" t="n"/>
      <c r="O425" s="477" t="n"/>
      <c r="P425" s="477" t="n"/>
      <c r="Q425" s="477" t="n"/>
      <c r="R425" s="477" t="n"/>
      <c r="S425" s="477" t="n"/>
      <c r="T425" s="477" t="n"/>
      <c r="U425" s="477" t="n"/>
      <c r="V425" s="477" t="n"/>
      <c r="W425" s="477" t="n"/>
      <c r="X425" s="477" t="n"/>
      <c r="Y425" s="477" t="n"/>
      <c r="Z425" s="477" t="n"/>
    </row>
    <row r="426" ht="15.75" customHeight="1">
      <c r="A426" s="477" t="n"/>
      <c r="B426" s="477" t="n"/>
      <c r="C426" s="477" t="n"/>
      <c r="D426" s="477" t="n"/>
      <c r="E426" s="477" t="n"/>
      <c r="F426" s="477" t="n"/>
      <c r="G426" s="477" t="n"/>
      <c r="H426" s="505" t="n"/>
      <c r="I426" s="477" t="n"/>
      <c r="J426" s="477" t="n"/>
      <c r="K426" s="477" t="n"/>
      <c r="L426" s="477" t="n"/>
      <c r="M426" s="477" t="n"/>
      <c r="N426" s="477" t="n"/>
      <c r="O426" s="477" t="n"/>
      <c r="P426" s="477" t="n"/>
      <c r="Q426" s="477" t="n"/>
      <c r="R426" s="477" t="n"/>
      <c r="S426" s="477" t="n"/>
      <c r="T426" s="477" t="n"/>
      <c r="U426" s="477" t="n"/>
      <c r="V426" s="477" t="n"/>
      <c r="W426" s="477" t="n"/>
      <c r="X426" s="477" t="n"/>
      <c r="Y426" s="477" t="n"/>
      <c r="Z426" s="477" t="n"/>
    </row>
    <row r="427" ht="15.75" customHeight="1">
      <c r="A427" s="477" t="n"/>
      <c r="B427" s="477" t="n"/>
      <c r="C427" s="477" t="n"/>
      <c r="D427" s="477" t="n"/>
      <c r="E427" s="477" t="n"/>
      <c r="F427" s="477" t="n"/>
      <c r="G427" s="477" t="n"/>
      <c r="H427" s="505" t="n"/>
      <c r="I427" s="477" t="n"/>
      <c r="J427" s="477" t="n"/>
      <c r="K427" s="477" t="n"/>
      <c r="L427" s="477" t="n"/>
      <c r="M427" s="477" t="n"/>
      <c r="N427" s="477" t="n"/>
      <c r="O427" s="477" t="n"/>
      <c r="P427" s="477" t="n"/>
      <c r="Q427" s="477" t="n"/>
      <c r="R427" s="477" t="n"/>
      <c r="S427" s="477" t="n"/>
      <c r="T427" s="477" t="n"/>
      <c r="U427" s="477" t="n"/>
      <c r="V427" s="477" t="n"/>
      <c r="W427" s="477" t="n"/>
      <c r="X427" s="477" t="n"/>
      <c r="Y427" s="477" t="n"/>
      <c r="Z427" s="477" t="n"/>
    </row>
    <row r="428" ht="15.75" customHeight="1">
      <c r="A428" s="477" t="n"/>
      <c r="B428" s="477" t="n"/>
      <c r="C428" s="477" t="n"/>
      <c r="D428" s="477" t="n"/>
      <c r="E428" s="477" t="n"/>
      <c r="F428" s="477" t="n"/>
      <c r="G428" s="477" t="n"/>
      <c r="H428" s="505" t="n"/>
      <c r="I428" s="477" t="n"/>
      <c r="J428" s="477" t="n"/>
      <c r="K428" s="477" t="n"/>
      <c r="L428" s="477" t="n"/>
      <c r="M428" s="477" t="n"/>
      <c r="N428" s="477" t="n"/>
      <c r="O428" s="477" t="n"/>
      <c r="P428" s="477" t="n"/>
      <c r="Q428" s="477" t="n"/>
      <c r="R428" s="477" t="n"/>
      <c r="S428" s="477" t="n"/>
      <c r="T428" s="477" t="n"/>
      <c r="U428" s="477" t="n"/>
      <c r="V428" s="477" t="n"/>
      <c r="W428" s="477" t="n"/>
      <c r="X428" s="477" t="n"/>
      <c r="Y428" s="477" t="n"/>
      <c r="Z428" s="477" t="n"/>
    </row>
    <row r="429" ht="15.75" customHeight="1">
      <c r="A429" s="477" t="n"/>
      <c r="B429" s="477" t="n"/>
      <c r="C429" s="477" t="n"/>
      <c r="D429" s="477" t="n"/>
      <c r="E429" s="477" t="n"/>
      <c r="F429" s="477" t="n"/>
      <c r="G429" s="477" t="n"/>
      <c r="H429" s="505" t="n"/>
      <c r="I429" s="477" t="n"/>
      <c r="J429" s="477" t="n"/>
      <c r="K429" s="477" t="n"/>
      <c r="L429" s="477" t="n"/>
      <c r="M429" s="477" t="n"/>
      <c r="N429" s="477" t="n"/>
      <c r="O429" s="477" t="n"/>
      <c r="P429" s="477" t="n"/>
      <c r="Q429" s="477" t="n"/>
      <c r="R429" s="477" t="n"/>
      <c r="S429" s="477" t="n"/>
      <c r="T429" s="477" t="n"/>
      <c r="U429" s="477" t="n"/>
      <c r="V429" s="477" t="n"/>
      <c r="W429" s="477" t="n"/>
      <c r="X429" s="477" t="n"/>
      <c r="Y429" s="477" t="n"/>
      <c r="Z429" s="477" t="n"/>
    </row>
    <row r="430" ht="15.75" customHeight="1">
      <c r="A430" s="477" t="n"/>
      <c r="B430" s="477" t="n"/>
      <c r="C430" s="477" t="n"/>
      <c r="D430" s="477" t="n"/>
      <c r="E430" s="477" t="n"/>
      <c r="F430" s="477" t="n"/>
      <c r="G430" s="477" t="n"/>
      <c r="H430" s="505" t="n"/>
      <c r="I430" s="477" t="n"/>
      <c r="J430" s="477" t="n"/>
      <c r="K430" s="477" t="n"/>
      <c r="L430" s="477" t="n"/>
      <c r="M430" s="477" t="n"/>
      <c r="N430" s="477" t="n"/>
      <c r="O430" s="477" t="n"/>
      <c r="P430" s="477" t="n"/>
      <c r="Q430" s="477" t="n"/>
      <c r="R430" s="477" t="n"/>
      <c r="S430" s="477" t="n"/>
      <c r="T430" s="477" t="n"/>
      <c r="U430" s="477" t="n"/>
      <c r="V430" s="477" t="n"/>
      <c r="W430" s="477" t="n"/>
      <c r="X430" s="477" t="n"/>
      <c r="Y430" s="477" t="n"/>
      <c r="Z430" s="477" t="n"/>
    </row>
    <row r="431" ht="15.75" customHeight="1">
      <c r="A431" s="477" t="n"/>
      <c r="B431" s="477" t="n"/>
      <c r="C431" s="477" t="n"/>
      <c r="D431" s="477" t="n"/>
      <c r="E431" s="477" t="n"/>
      <c r="F431" s="477" t="n"/>
      <c r="G431" s="477" t="n"/>
      <c r="H431" s="505" t="n"/>
      <c r="I431" s="477" t="n"/>
      <c r="J431" s="477" t="n"/>
      <c r="K431" s="477" t="n"/>
      <c r="L431" s="477" t="n"/>
      <c r="M431" s="477" t="n"/>
      <c r="N431" s="477" t="n"/>
      <c r="O431" s="477" t="n"/>
      <c r="P431" s="477" t="n"/>
      <c r="Q431" s="477" t="n"/>
      <c r="R431" s="477" t="n"/>
      <c r="S431" s="477" t="n"/>
      <c r="T431" s="477" t="n"/>
      <c r="U431" s="477" t="n"/>
      <c r="V431" s="477" t="n"/>
      <c r="W431" s="477" t="n"/>
      <c r="X431" s="477" t="n"/>
      <c r="Y431" s="477" t="n"/>
      <c r="Z431" s="477" t="n"/>
    </row>
    <row r="432" ht="15.75" customHeight="1">
      <c r="A432" s="477" t="n"/>
      <c r="B432" s="477" t="n"/>
      <c r="C432" s="477" t="n"/>
      <c r="D432" s="477" t="n"/>
      <c r="E432" s="477" t="n"/>
      <c r="F432" s="477" t="n"/>
      <c r="G432" s="477" t="n"/>
      <c r="H432" s="505" t="n"/>
      <c r="I432" s="477" t="n"/>
      <c r="J432" s="477" t="n"/>
      <c r="K432" s="477" t="n"/>
      <c r="L432" s="477" t="n"/>
      <c r="M432" s="477" t="n"/>
      <c r="N432" s="477" t="n"/>
      <c r="O432" s="477" t="n"/>
      <c r="P432" s="477" t="n"/>
      <c r="Q432" s="477" t="n"/>
      <c r="R432" s="477" t="n"/>
      <c r="S432" s="477" t="n"/>
      <c r="T432" s="477" t="n"/>
      <c r="U432" s="477" t="n"/>
      <c r="V432" s="477" t="n"/>
      <c r="W432" s="477" t="n"/>
      <c r="X432" s="477" t="n"/>
      <c r="Y432" s="477" t="n"/>
      <c r="Z432" s="477" t="n"/>
    </row>
    <row r="433" ht="15.75" customHeight="1">
      <c r="A433" s="477" t="n"/>
      <c r="B433" s="477" t="n"/>
      <c r="C433" s="477" t="n"/>
      <c r="D433" s="477" t="n"/>
      <c r="E433" s="477" t="n"/>
      <c r="F433" s="477" t="n"/>
      <c r="G433" s="477" t="n"/>
      <c r="H433" s="505" t="n"/>
      <c r="I433" s="477" t="n"/>
      <c r="J433" s="477" t="n"/>
      <c r="K433" s="477" t="n"/>
      <c r="L433" s="477" t="n"/>
      <c r="M433" s="477" t="n"/>
      <c r="N433" s="477" t="n"/>
      <c r="O433" s="477" t="n"/>
      <c r="P433" s="477" t="n"/>
      <c r="Q433" s="477" t="n"/>
      <c r="R433" s="477" t="n"/>
      <c r="S433" s="477" t="n"/>
      <c r="T433" s="477" t="n"/>
      <c r="U433" s="477" t="n"/>
      <c r="V433" s="477" t="n"/>
      <c r="W433" s="477" t="n"/>
      <c r="X433" s="477" t="n"/>
      <c r="Y433" s="477" t="n"/>
      <c r="Z433" s="477" t="n"/>
    </row>
    <row r="434" ht="15.75" customHeight="1">
      <c r="A434" s="477" t="n"/>
      <c r="B434" s="477" t="n"/>
      <c r="C434" s="477" t="n"/>
      <c r="D434" s="477" t="n"/>
      <c r="E434" s="477" t="n"/>
      <c r="F434" s="477" t="n"/>
      <c r="G434" s="477" t="n"/>
      <c r="H434" s="505" t="n"/>
      <c r="I434" s="477" t="n"/>
      <c r="J434" s="477" t="n"/>
      <c r="K434" s="477" t="n"/>
      <c r="L434" s="477" t="n"/>
      <c r="M434" s="477" t="n"/>
      <c r="N434" s="477" t="n"/>
      <c r="O434" s="477" t="n"/>
      <c r="P434" s="477" t="n"/>
      <c r="Q434" s="477" t="n"/>
      <c r="R434" s="477" t="n"/>
      <c r="S434" s="477" t="n"/>
      <c r="T434" s="477" t="n"/>
      <c r="U434" s="477" t="n"/>
      <c r="V434" s="477" t="n"/>
      <c r="W434" s="477" t="n"/>
      <c r="X434" s="477" t="n"/>
      <c r="Y434" s="477" t="n"/>
      <c r="Z434" s="477" t="n"/>
    </row>
    <row r="435" ht="15.75" customHeight="1">
      <c r="A435" s="477" t="n"/>
      <c r="B435" s="477" t="n"/>
      <c r="C435" s="477" t="n"/>
      <c r="D435" s="477" t="n"/>
      <c r="E435" s="477" t="n"/>
      <c r="F435" s="477" t="n"/>
      <c r="G435" s="477" t="n"/>
      <c r="H435" s="505" t="n"/>
      <c r="I435" s="477" t="n"/>
      <c r="J435" s="477" t="n"/>
      <c r="K435" s="477" t="n"/>
      <c r="L435" s="477" t="n"/>
      <c r="M435" s="477" t="n"/>
      <c r="N435" s="477" t="n"/>
      <c r="O435" s="477" t="n"/>
      <c r="P435" s="477" t="n"/>
      <c r="Q435" s="477" t="n"/>
      <c r="R435" s="477" t="n"/>
      <c r="S435" s="477" t="n"/>
      <c r="T435" s="477" t="n"/>
      <c r="U435" s="477" t="n"/>
      <c r="V435" s="477" t="n"/>
      <c r="W435" s="477" t="n"/>
      <c r="X435" s="477" t="n"/>
      <c r="Y435" s="477" t="n"/>
      <c r="Z435" s="477" t="n"/>
    </row>
    <row r="436" ht="15.75" customHeight="1">
      <c r="A436" s="477" t="n"/>
      <c r="B436" s="477" t="n"/>
      <c r="C436" s="477" t="n"/>
      <c r="D436" s="477" t="n"/>
      <c r="E436" s="477" t="n"/>
      <c r="F436" s="477" t="n"/>
      <c r="G436" s="477" t="n"/>
      <c r="H436" s="505" t="n"/>
      <c r="I436" s="477" t="n"/>
      <c r="J436" s="477" t="n"/>
      <c r="K436" s="477" t="n"/>
      <c r="L436" s="477" t="n"/>
      <c r="M436" s="477" t="n"/>
      <c r="N436" s="477" t="n"/>
      <c r="O436" s="477" t="n"/>
      <c r="P436" s="477" t="n"/>
      <c r="Q436" s="477" t="n"/>
      <c r="R436" s="477" t="n"/>
      <c r="S436" s="477" t="n"/>
      <c r="T436" s="477" t="n"/>
      <c r="U436" s="477" t="n"/>
      <c r="V436" s="477" t="n"/>
      <c r="W436" s="477" t="n"/>
      <c r="X436" s="477" t="n"/>
      <c r="Y436" s="477" t="n"/>
      <c r="Z436" s="477" t="n"/>
    </row>
    <row r="437" ht="15.75" customHeight="1">
      <c r="A437" s="477" t="n"/>
      <c r="B437" s="477" t="n"/>
      <c r="C437" s="477" t="n"/>
      <c r="D437" s="477" t="n"/>
      <c r="E437" s="477" t="n"/>
      <c r="F437" s="477" t="n"/>
      <c r="G437" s="477" t="n"/>
      <c r="H437" s="505" t="n"/>
      <c r="I437" s="477" t="n"/>
      <c r="J437" s="477" t="n"/>
      <c r="K437" s="477" t="n"/>
      <c r="L437" s="477" t="n"/>
      <c r="M437" s="477" t="n"/>
      <c r="N437" s="477" t="n"/>
      <c r="O437" s="477" t="n"/>
      <c r="P437" s="477" t="n"/>
      <c r="Q437" s="477" t="n"/>
      <c r="R437" s="477" t="n"/>
      <c r="S437" s="477" t="n"/>
      <c r="T437" s="477" t="n"/>
      <c r="U437" s="477" t="n"/>
      <c r="V437" s="477" t="n"/>
      <c r="W437" s="477" t="n"/>
      <c r="X437" s="477" t="n"/>
      <c r="Y437" s="477" t="n"/>
      <c r="Z437" s="477" t="n"/>
    </row>
    <row r="438" ht="15.75" customHeight="1">
      <c r="A438" s="477" t="n"/>
      <c r="B438" s="477" t="n"/>
      <c r="C438" s="477" t="n"/>
      <c r="D438" s="477" t="n"/>
      <c r="E438" s="477" t="n"/>
      <c r="F438" s="477" t="n"/>
      <c r="G438" s="477" t="n"/>
      <c r="H438" s="505" t="n"/>
      <c r="I438" s="477" t="n"/>
      <c r="J438" s="477" t="n"/>
      <c r="K438" s="477" t="n"/>
      <c r="L438" s="477" t="n"/>
      <c r="M438" s="477" t="n"/>
      <c r="N438" s="477" t="n"/>
      <c r="O438" s="477" t="n"/>
      <c r="P438" s="477" t="n"/>
      <c r="Q438" s="477" t="n"/>
      <c r="R438" s="477" t="n"/>
      <c r="S438" s="477" t="n"/>
      <c r="T438" s="477" t="n"/>
      <c r="U438" s="477" t="n"/>
      <c r="V438" s="477" t="n"/>
      <c r="W438" s="477" t="n"/>
      <c r="X438" s="477" t="n"/>
      <c r="Y438" s="477" t="n"/>
      <c r="Z438" s="477" t="n"/>
    </row>
    <row r="439" ht="15.75" customHeight="1">
      <c r="A439" s="477" t="n"/>
      <c r="B439" s="477" t="n"/>
      <c r="C439" s="477" t="n"/>
      <c r="D439" s="477" t="n"/>
      <c r="E439" s="477" t="n"/>
      <c r="F439" s="477" t="n"/>
      <c r="G439" s="477" t="n"/>
      <c r="H439" s="505" t="n"/>
      <c r="I439" s="477" t="n"/>
      <c r="J439" s="477" t="n"/>
      <c r="K439" s="477" t="n"/>
      <c r="L439" s="477" t="n"/>
      <c r="M439" s="477" t="n"/>
      <c r="N439" s="477" t="n"/>
      <c r="O439" s="477" t="n"/>
      <c r="P439" s="477" t="n"/>
      <c r="Q439" s="477" t="n"/>
      <c r="R439" s="477" t="n"/>
      <c r="S439" s="477" t="n"/>
      <c r="T439" s="477" t="n"/>
      <c r="U439" s="477" t="n"/>
      <c r="V439" s="477" t="n"/>
      <c r="W439" s="477" t="n"/>
      <c r="X439" s="477" t="n"/>
      <c r="Y439" s="477" t="n"/>
      <c r="Z439" s="477" t="n"/>
    </row>
    <row r="440" ht="15.75" customHeight="1">
      <c r="A440" s="477" t="n"/>
      <c r="B440" s="477" t="n"/>
      <c r="C440" s="477" t="n"/>
      <c r="D440" s="477" t="n"/>
      <c r="E440" s="477" t="n"/>
      <c r="F440" s="477" t="n"/>
      <c r="G440" s="477" t="n"/>
      <c r="H440" s="505" t="n"/>
      <c r="I440" s="477" t="n"/>
      <c r="J440" s="477" t="n"/>
      <c r="K440" s="477" t="n"/>
      <c r="L440" s="477" t="n"/>
      <c r="M440" s="477" t="n"/>
      <c r="N440" s="477" t="n"/>
      <c r="O440" s="477" t="n"/>
      <c r="P440" s="477" t="n"/>
      <c r="Q440" s="477" t="n"/>
      <c r="R440" s="477" t="n"/>
      <c r="S440" s="477" t="n"/>
      <c r="T440" s="477" t="n"/>
      <c r="U440" s="477" t="n"/>
      <c r="V440" s="477" t="n"/>
      <c r="W440" s="477" t="n"/>
      <c r="X440" s="477" t="n"/>
      <c r="Y440" s="477" t="n"/>
      <c r="Z440" s="477" t="n"/>
    </row>
    <row r="441" ht="15.75" customHeight="1">
      <c r="A441" s="477" t="n"/>
      <c r="B441" s="477" t="n"/>
      <c r="C441" s="477" t="n"/>
      <c r="D441" s="477" t="n"/>
      <c r="E441" s="477" t="n"/>
      <c r="F441" s="477" t="n"/>
      <c r="G441" s="477" t="n"/>
      <c r="H441" s="505" t="n"/>
      <c r="I441" s="477" t="n"/>
      <c r="J441" s="477" t="n"/>
      <c r="K441" s="477" t="n"/>
      <c r="L441" s="477" t="n"/>
      <c r="M441" s="477" t="n"/>
      <c r="N441" s="477" t="n"/>
      <c r="O441" s="477" t="n"/>
      <c r="P441" s="477" t="n"/>
      <c r="Q441" s="477" t="n"/>
      <c r="R441" s="477" t="n"/>
      <c r="S441" s="477" t="n"/>
      <c r="T441" s="477" t="n"/>
      <c r="U441" s="477" t="n"/>
      <c r="V441" s="477" t="n"/>
      <c r="W441" s="477" t="n"/>
      <c r="X441" s="477" t="n"/>
      <c r="Y441" s="477" t="n"/>
      <c r="Z441" s="477" t="n"/>
    </row>
    <row r="442" ht="15.75" customHeight="1">
      <c r="A442" s="477" t="n"/>
      <c r="B442" s="477" t="n"/>
      <c r="C442" s="477" t="n"/>
      <c r="D442" s="477" t="n"/>
      <c r="E442" s="477" t="n"/>
      <c r="F442" s="477" t="n"/>
      <c r="G442" s="477" t="n"/>
      <c r="H442" s="505" t="n"/>
      <c r="I442" s="477" t="n"/>
      <c r="J442" s="477" t="n"/>
      <c r="K442" s="477" t="n"/>
      <c r="L442" s="477" t="n"/>
      <c r="M442" s="477" t="n"/>
      <c r="N442" s="477" t="n"/>
      <c r="O442" s="477" t="n"/>
      <c r="P442" s="477" t="n"/>
      <c r="Q442" s="477" t="n"/>
      <c r="R442" s="477" t="n"/>
      <c r="S442" s="477" t="n"/>
      <c r="T442" s="477" t="n"/>
      <c r="U442" s="477" t="n"/>
      <c r="V442" s="477" t="n"/>
      <c r="W442" s="477" t="n"/>
      <c r="X442" s="477" t="n"/>
      <c r="Y442" s="477" t="n"/>
      <c r="Z442" s="477" t="n"/>
    </row>
    <row r="443" ht="15.75" customHeight="1">
      <c r="A443" s="477" t="n"/>
      <c r="B443" s="477" t="n"/>
      <c r="C443" s="477" t="n"/>
      <c r="D443" s="477" t="n"/>
      <c r="E443" s="477" t="n"/>
      <c r="F443" s="477" t="n"/>
      <c r="G443" s="477" t="n"/>
      <c r="H443" s="505" t="n"/>
      <c r="I443" s="477" t="n"/>
      <c r="J443" s="477" t="n"/>
      <c r="K443" s="477" t="n"/>
      <c r="L443" s="477" t="n"/>
      <c r="M443" s="477" t="n"/>
      <c r="N443" s="477" t="n"/>
      <c r="O443" s="477" t="n"/>
      <c r="P443" s="477" t="n"/>
      <c r="Q443" s="477" t="n"/>
      <c r="R443" s="477" t="n"/>
      <c r="S443" s="477" t="n"/>
      <c r="T443" s="477" t="n"/>
      <c r="U443" s="477" t="n"/>
      <c r="V443" s="477" t="n"/>
      <c r="W443" s="477" t="n"/>
      <c r="X443" s="477" t="n"/>
      <c r="Y443" s="477" t="n"/>
      <c r="Z443" s="477" t="n"/>
    </row>
    <row r="444" ht="15.75" customHeight="1">
      <c r="A444" s="477" t="n"/>
      <c r="B444" s="477" t="n"/>
      <c r="C444" s="477" t="n"/>
      <c r="D444" s="477" t="n"/>
      <c r="E444" s="477" t="n"/>
      <c r="F444" s="477" t="n"/>
      <c r="G444" s="477" t="n"/>
      <c r="H444" s="505" t="n"/>
      <c r="I444" s="477" t="n"/>
      <c r="J444" s="477" t="n"/>
      <c r="K444" s="477" t="n"/>
      <c r="L444" s="477" t="n"/>
      <c r="M444" s="477" t="n"/>
      <c r="N444" s="477" t="n"/>
      <c r="O444" s="477" t="n"/>
      <c r="P444" s="477" t="n"/>
      <c r="Q444" s="477" t="n"/>
      <c r="R444" s="477" t="n"/>
      <c r="S444" s="477" t="n"/>
      <c r="T444" s="477" t="n"/>
      <c r="U444" s="477" t="n"/>
      <c r="V444" s="477" t="n"/>
      <c r="W444" s="477" t="n"/>
      <c r="X444" s="477" t="n"/>
      <c r="Y444" s="477" t="n"/>
      <c r="Z444" s="477" t="n"/>
    </row>
    <row r="445" ht="15.75" customHeight="1">
      <c r="A445" s="477" t="n"/>
      <c r="B445" s="477" t="n"/>
      <c r="C445" s="477" t="n"/>
      <c r="D445" s="477" t="n"/>
      <c r="E445" s="477" t="n"/>
      <c r="F445" s="477" t="n"/>
      <c r="G445" s="477" t="n"/>
      <c r="H445" s="505" t="n"/>
      <c r="I445" s="477" t="n"/>
      <c r="J445" s="477" t="n"/>
      <c r="K445" s="477" t="n"/>
      <c r="L445" s="477" t="n"/>
      <c r="M445" s="477" t="n"/>
      <c r="N445" s="477" t="n"/>
      <c r="O445" s="477" t="n"/>
      <c r="P445" s="477" t="n"/>
      <c r="Q445" s="477" t="n"/>
      <c r="R445" s="477" t="n"/>
      <c r="S445" s="477" t="n"/>
      <c r="T445" s="477" t="n"/>
      <c r="U445" s="477" t="n"/>
      <c r="V445" s="477" t="n"/>
      <c r="W445" s="477" t="n"/>
      <c r="X445" s="477" t="n"/>
      <c r="Y445" s="477" t="n"/>
      <c r="Z445" s="477" t="n"/>
    </row>
    <row r="446" ht="15.75" customHeight="1">
      <c r="A446" s="477" t="n"/>
      <c r="B446" s="477" t="n"/>
      <c r="C446" s="477" t="n"/>
      <c r="D446" s="477" t="n"/>
      <c r="E446" s="477" t="n"/>
      <c r="F446" s="477" t="n"/>
      <c r="G446" s="477" t="n"/>
      <c r="H446" s="505" t="n"/>
      <c r="I446" s="477" t="n"/>
      <c r="J446" s="477" t="n"/>
      <c r="K446" s="477" t="n"/>
      <c r="L446" s="477" t="n"/>
      <c r="M446" s="477" t="n"/>
      <c r="N446" s="477" t="n"/>
      <c r="O446" s="477" t="n"/>
      <c r="P446" s="477" t="n"/>
      <c r="Q446" s="477" t="n"/>
      <c r="R446" s="477" t="n"/>
      <c r="S446" s="477" t="n"/>
      <c r="T446" s="477" t="n"/>
      <c r="U446" s="477" t="n"/>
      <c r="V446" s="477" t="n"/>
      <c r="W446" s="477" t="n"/>
      <c r="X446" s="477" t="n"/>
      <c r="Y446" s="477" t="n"/>
      <c r="Z446" s="477" t="n"/>
    </row>
    <row r="447" ht="15.75" customHeight="1">
      <c r="A447" s="477" t="n"/>
      <c r="B447" s="477" t="n"/>
      <c r="C447" s="477" t="n"/>
      <c r="D447" s="477" t="n"/>
      <c r="E447" s="477" t="n"/>
      <c r="F447" s="477" t="n"/>
      <c r="G447" s="477" t="n"/>
      <c r="H447" s="505" t="n"/>
      <c r="I447" s="477" t="n"/>
      <c r="J447" s="477" t="n"/>
      <c r="K447" s="477" t="n"/>
      <c r="L447" s="477" t="n"/>
      <c r="M447" s="477" t="n"/>
      <c r="N447" s="477" t="n"/>
      <c r="O447" s="477" t="n"/>
      <c r="P447" s="477" t="n"/>
      <c r="Q447" s="477" t="n"/>
      <c r="R447" s="477" t="n"/>
      <c r="S447" s="477" t="n"/>
      <c r="T447" s="477" t="n"/>
      <c r="U447" s="477" t="n"/>
      <c r="V447" s="477" t="n"/>
      <c r="W447" s="477" t="n"/>
      <c r="X447" s="477" t="n"/>
      <c r="Y447" s="477" t="n"/>
      <c r="Z447" s="477" t="n"/>
    </row>
    <row r="448" ht="15.75" customHeight="1">
      <c r="A448" s="477" t="n"/>
      <c r="B448" s="477" t="n"/>
      <c r="C448" s="477" t="n"/>
      <c r="D448" s="477" t="n"/>
      <c r="E448" s="477" t="n"/>
      <c r="F448" s="477" t="n"/>
      <c r="G448" s="477" t="n"/>
      <c r="H448" s="505" t="n"/>
      <c r="I448" s="477" t="n"/>
      <c r="J448" s="477" t="n"/>
      <c r="K448" s="477" t="n"/>
      <c r="L448" s="477" t="n"/>
      <c r="M448" s="477" t="n"/>
      <c r="N448" s="477" t="n"/>
      <c r="O448" s="477" t="n"/>
      <c r="P448" s="477" t="n"/>
      <c r="Q448" s="477" t="n"/>
      <c r="R448" s="477" t="n"/>
      <c r="S448" s="477" t="n"/>
      <c r="T448" s="477" t="n"/>
      <c r="U448" s="477" t="n"/>
      <c r="V448" s="477" t="n"/>
      <c r="W448" s="477" t="n"/>
      <c r="X448" s="477" t="n"/>
      <c r="Y448" s="477" t="n"/>
      <c r="Z448" s="477" t="n"/>
    </row>
    <row r="449" ht="15.75" customHeight="1">
      <c r="A449" s="477" t="n"/>
      <c r="B449" s="477" t="n"/>
      <c r="C449" s="477" t="n"/>
      <c r="D449" s="477" t="n"/>
      <c r="E449" s="477" t="n"/>
      <c r="F449" s="477" t="n"/>
      <c r="G449" s="477" t="n"/>
      <c r="H449" s="505" t="n"/>
      <c r="I449" s="477" t="n"/>
      <c r="J449" s="477" t="n"/>
      <c r="K449" s="477" t="n"/>
      <c r="L449" s="477" t="n"/>
      <c r="M449" s="477" t="n"/>
      <c r="N449" s="477" t="n"/>
      <c r="O449" s="477" t="n"/>
      <c r="P449" s="477" t="n"/>
      <c r="Q449" s="477" t="n"/>
      <c r="R449" s="477" t="n"/>
      <c r="S449" s="477" t="n"/>
      <c r="T449" s="477" t="n"/>
      <c r="U449" s="477" t="n"/>
      <c r="V449" s="477" t="n"/>
      <c r="W449" s="477" t="n"/>
      <c r="X449" s="477" t="n"/>
      <c r="Y449" s="477" t="n"/>
      <c r="Z449" s="477" t="n"/>
    </row>
    <row r="450" ht="15.75" customHeight="1">
      <c r="A450" s="477" t="n"/>
      <c r="B450" s="477" t="n"/>
      <c r="C450" s="477" t="n"/>
      <c r="D450" s="477" t="n"/>
      <c r="E450" s="477" t="n"/>
      <c r="F450" s="477" t="n"/>
      <c r="G450" s="477" t="n"/>
      <c r="H450" s="505" t="n"/>
      <c r="I450" s="477" t="n"/>
      <c r="J450" s="477" t="n"/>
      <c r="K450" s="477" t="n"/>
      <c r="L450" s="477" t="n"/>
      <c r="M450" s="477" t="n"/>
      <c r="N450" s="477" t="n"/>
      <c r="O450" s="477" t="n"/>
      <c r="P450" s="477" t="n"/>
      <c r="Q450" s="477" t="n"/>
      <c r="R450" s="477" t="n"/>
      <c r="S450" s="477" t="n"/>
      <c r="T450" s="477" t="n"/>
      <c r="U450" s="477" t="n"/>
      <c r="V450" s="477" t="n"/>
      <c r="W450" s="477" t="n"/>
      <c r="X450" s="477" t="n"/>
      <c r="Y450" s="477" t="n"/>
      <c r="Z450" s="477" t="n"/>
    </row>
    <row r="451" ht="15.75" customHeight="1">
      <c r="A451" s="477" t="n"/>
      <c r="B451" s="477" t="n"/>
      <c r="C451" s="477" t="n"/>
      <c r="D451" s="477" t="n"/>
      <c r="E451" s="477" t="n"/>
      <c r="F451" s="477" t="n"/>
      <c r="G451" s="477" t="n"/>
      <c r="H451" s="505" t="n"/>
      <c r="I451" s="477" t="n"/>
      <c r="J451" s="477" t="n"/>
      <c r="K451" s="477" t="n"/>
      <c r="L451" s="477" t="n"/>
      <c r="M451" s="477" t="n"/>
      <c r="N451" s="477" t="n"/>
      <c r="O451" s="477" t="n"/>
      <c r="P451" s="477" t="n"/>
      <c r="Q451" s="477" t="n"/>
      <c r="R451" s="477" t="n"/>
      <c r="S451" s="477" t="n"/>
      <c r="T451" s="477" t="n"/>
      <c r="U451" s="477" t="n"/>
      <c r="V451" s="477" t="n"/>
      <c r="W451" s="477" t="n"/>
      <c r="X451" s="477" t="n"/>
      <c r="Y451" s="477" t="n"/>
      <c r="Z451" s="477" t="n"/>
    </row>
    <row r="452" ht="15.75" customHeight="1">
      <c r="A452" s="477" t="n"/>
      <c r="B452" s="477" t="n"/>
      <c r="C452" s="477" t="n"/>
      <c r="D452" s="477" t="n"/>
      <c r="E452" s="477" t="n"/>
      <c r="F452" s="477" t="n"/>
      <c r="G452" s="477" t="n"/>
      <c r="H452" s="505" t="n"/>
      <c r="I452" s="477" t="n"/>
      <c r="J452" s="477" t="n"/>
      <c r="K452" s="477" t="n"/>
      <c r="L452" s="477" t="n"/>
      <c r="M452" s="477" t="n"/>
      <c r="N452" s="477" t="n"/>
      <c r="O452" s="477" t="n"/>
      <c r="P452" s="477" t="n"/>
      <c r="Q452" s="477" t="n"/>
      <c r="R452" s="477" t="n"/>
      <c r="S452" s="477" t="n"/>
      <c r="T452" s="477" t="n"/>
      <c r="U452" s="477" t="n"/>
      <c r="V452" s="477" t="n"/>
      <c r="W452" s="477" t="n"/>
      <c r="X452" s="477" t="n"/>
      <c r="Y452" s="477" t="n"/>
      <c r="Z452" s="477" t="n"/>
    </row>
    <row r="453" ht="15.75" customHeight="1">
      <c r="A453" s="477" t="n"/>
      <c r="B453" s="477" t="n"/>
      <c r="C453" s="477" t="n"/>
      <c r="D453" s="477" t="n"/>
      <c r="E453" s="477" t="n"/>
      <c r="F453" s="477" t="n"/>
      <c r="G453" s="477" t="n"/>
      <c r="H453" s="505" t="n"/>
      <c r="I453" s="477" t="n"/>
      <c r="J453" s="477" t="n"/>
      <c r="K453" s="477" t="n"/>
      <c r="L453" s="477" t="n"/>
      <c r="M453" s="477" t="n"/>
      <c r="N453" s="477" t="n"/>
      <c r="O453" s="477" t="n"/>
      <c r="P453" s="477" t="n"/>
      <c r="Q453" s="477" t="n"/>
      <c r="R453" s="477" t="n"/>
      <c r="S453" s="477" t="n"/>
      <c r="T453" s="477" t="n"/>
      <c r="U453" s="477" t="n"/>
      <c r="V453" s="477" t="n"/>
      <c r="W453" s="477" t="n"/>
      <c r="X453" s="477" t="n"/>
      <c r="Y453" s="477" t="n"/>
      <c r="Z453" s="477" t="n"/>
    </row>
    <row r="454" ht="15.75" customHeight="1">
      <c r="A454" s="477" t="n"/>
      <c r="B454" s="477" t="n"/>
      <c r="C454" s="477" t="n"/>
      <c r="D454" s="477" t="n"/>
      <c r="E454" s="477" t="n"/>
      <c r="F454" s="477" t="n"/>
      <c r="G454" s="477" t="n"/>
      <c r="H454" s="505" t="n"/>
      <c r="I454" s="477" t="n"/>
      <c r="J454" s="477" t="n"/>
      <c r="K454" s="477" t="n"/>
      <c r="L454" s="477" t="n"/>
      <c r="M454" s="477" t="n"/>
      <c r="N454" s="477" t="n"/>
      <c r="O454" s="477" t="n"/>
      <c r="P454" s="477" t="n"/>
      <c r="Q454" s="477" t="n"/>
      <c r="R454" s="477" t="n"/>
      <c r="S454" s="477" t="n"/>
      <c r="T454" s="477" t="n"/>
      <c r="U454" s="477" t="n"/>
      <c r="V454" s="477" t="n"/>
      <c r="W454" s="477" t="n"/>
      <c r="X454" s="477" t="n"/>
      <c r="Y454" s="477" t="n"/>
      <c r="Z454" s="477" t="n"/>
    </row>
    <row r="455" ht="15.75" customHeight="1">
      <c r="A455" s="477" t="n"/>
      <c r="B455" s="477" t="n"/>
      <c r="C455" s="477" t="n"/>
      <c r="D455" s="477" t="n"/>
      <c r="E455" s="477" t="n"/>
      <c r="F455" s="477" t="n"/>
      <c r="G455" s="477" t="n"/>
      <c r="H455" s="505" t="n"/>
      <c r="I455" s="477" t="n"/>
      <c r="J455" s="477" t="n"/>
      <c r="K455" s="477" t="n"/>
      <c r="L455" s="477" t="n"/>
      <c r="M455" s="477" t="n"/>
      <c r="N455" s="477" t="n"/>
      <c r="O455" s="477" t="n"/>
      <c r="P455" s="477" t="n"/>
      <c r="Q455" s="477" t="n"/>
      <c r="R455" s="477" t="n"/>
      <c r="S455" s="477" t="n"/>
      <c r="T455" s="477" t="n"/>
      <c r="U455" s="477" t="n"/>
      <c r="V455" s="477" t="n"/>
      <c r="W455" s="477" t="n"/>
      <c r="X455" s="477" t="n"/>
      <c r="Y455" s="477" t="n"/>
      <c r="Z455" s="477" t="n"/>
    </row>
    <row r="456" ht="15.75" customHeight="1">
      <c r="A456" s="477" t="n"/>
      <c r="B456" s="477" t="n"/>
      <c r="C456" s="477" t="n"/>
      <c r="D456" s="477" t="n"/>
      <c r="E456" s="477" t="n"/>
      <c r="F456" s="477" t="n"/>
      <c r="G456" s="477" t="n"/>
      <c r="H456" s="505" t="n"/>
      <c r="I456" s="477" t="n"/>
      <c r="J456" s="477" t="n"/>
      <c r="K456" s="477" t="n"/>
      <c r="L456" s="477" t="n"/>
      <c r="M456" s="477" t="n"/>
      <c r="N456" s="477" t="n"/>
      <c r="O456" s="477" t="n"/>
      <c r="P456" s="477" t="n"/>
      <c r="Q456" s="477" t="n"/>
      <c r="R456" s="477" t="n"/>
      <c r="S456" s="477" t="n"/>
      <c r="T456" s="477" t="n"/>
      <c r="U456" s="477" t="n"/>
      <c r="V456" s="477" t="n"/>
      <c r="W456" s="477" t="n"/>
      <c r="X456" s="477" t="n"/>
      <c r="Y456" s="477" t="n"/>
      <c r="Z456" s="477" t="n"/>
    </row>
    <row r="457" ht="15.75" customHeight="1">
      <c r="A457" s="477" t="n"/>
      <c r="B457" s="477" t="n"/>
      <c r="C457" s="477" t="n"/>
      <c r="D457" s="477" t="n"/>
      <c r="E457" s="477" t="n"/>
      <c r="F457" s="477" t="n"/>
      <c r="G457" s="477" t="n"/>
      <c r="H457" s="505" t="n"/>
      <c r="I457" s="477" t="n"/>
      <c r="J457" s="477" t="n"/>
      <c r="K457" s="477" t="n"/>
      <c r="L457" s="477" t="n"/>
      <c r="M457" s="477" t="n"/>
      <c r="N457" s="477" t="n"/>
      <c r="O457" s="477" t="n"/>
      <c r="P457" s="477" t="n"/>
      <c r="Q457" s="477" t="n"/>
      <c r="R457" s="477" t="n"/>
      <c r="S457" s="477" t="n"/>
      <c r="T457" s="477" t="n"/>
      <c r="U457" s="477" t="n"/>
      <c r="V457" s="477" t="n"/>
      <c r="W457" s="477" t="n"/>
      <c r="X457" s="477" t="n"/>
      <c r="Y457" s="477" t="n"/>
      <c r="Z457" s="477" t="n"/>
    </row>
    <row r="458" ht="15.75" customHeight="1">
      <c r="A458" s="477" t="n"/>
      <c r="B458" s="477" t="n"/>
      <c r="C458" s="477" t="n"/>
      <c r="D458" s="477" t="n"/>
      <c r="E458" s="477" t="n"/>
      <c r="F458" s="477" t="n"/>
      <c r="G458" s="477" t="n"/>
      <c r="H458" s="505" t="n"/>
      <c r="I458" s="477" t="n"/>
      <c r="J458" s="477" t="n"/>
      <c r="K458" s="477" t="n"/>
      <c r="L458" s="477" t="n"/>
      <c r="M458" s="477" t="n"/>
      <c r="N458" s="477" t="n"/>
      <c r="O458" s="477" t="n"/>
      <c r="P458" s="477" t="n"/>
      <c r="Q458" s="477" t="n"/>
      <c r="R458" s="477" t="n"/>
      <c r="S458" s="477" t="n"/>
      <c r="T458" s="477" t="n"/>
      <c r="U458" s="477" t="n"/>
      <c r="V458" s="477" t="n"/>
      <c r="W458" s="477" t="n"/>
      <c r="X458" s="477" t="n"/>
      <c r="Y458" s="477" t="n"/>
      <c r="Z458" s="477" t="n"/>
    </row>
    <row r="459" ht="15.75" customHeight="1">
      <c r="A459" s="477" t="n"/>
      <c r="B459" s="477" t="n"/>
      <c r="C459" s="477" t="n"/>
      <c r="D459" s="477" t="n"/>
      <c r="E459" s="477" t="n"/>
      <c r="F459" s="477" t="n"/>
      <c r="G459" s="477" t="n"/>
      <c r="H459" s="505" t="n"/>
      <c r="I459" s="477" t="n"/>
      <c r="J459" s="477" t="n"/>
      <c r="K459" s="477" t="n"/>
      <c r="L459" s="477" t="n"/>
      <c r="M459" s="477" t="n"/>
      <c r="N459" s="477" t="n"/>
      <c r="O459" s="477" t="n"/>
      <c r="P459" s="477" t="n"/>
      <c r="Q459" s="477" t="n"/>
      <c r="R459" s="477" t="n"/>
      <c r="S459" s="477" t="n"/>
      <c r="T459" s="477" t="n"/>
      <c r="U459" s="477" t="n"/>
      <c r="V459" s="477" t="n"/>
      <c r="W459" s="477" t="n"/>
      <c r="X459" s="477" t="n"/>
      <c r="Y459" s="477" t="n"/>
      <c r="Z459" s="477" t="n"/>
    </row>
    <row r="460" ht="15.75" customHeight="1">
      <c r="A460" s="477" t="n"/>
      <c r="B460" s="477" t="n"/>
      <c r="C460" s="477" t="n"/>
      <c r="D460" s="477" t="n"/>
      <c r="E460" s="477" t="n"/>
      <c r="F460" s="477" t="n"/>
      <c r="G460" s="477" t="n"/>
      <c r="H460" s="505" t="n"/>
      <c r="I460" s="477" t="n"/>
      <c r="J460" s="477" t="n"/>
      <c r="K460" s="477" t="n"/>
      <c r="L460" s="477" t="n"/>
      <c r="M460" s="477" t="n"/>
      <c r="N460" s="477" t="n"/>
      <c r="O460" s="477" t="n"/>
      <c r="P460" s="477" t="n"/>
      <c r="Q460" s="477" t="n"/>
      <c r="R460" s="477" t="n"/>
      <c r="S460" s="477" t="n"/>
      <c r="T460" s="477" t="n"/>
      <c r="U460" s="477" t="n"/>
      <c r="V460" s="477" t="n"/>
      <c r="W460" s="477" t="n"/>
      <c r="X460" s="477" t="n"/>
      <c r="Y460" s="477" t="n"/>
      <c r="Z460" s="477" t="n"/>
    </row>
    <row r="461" ht="15.75" customHeight="1">
      <c r="A461" s="477" t="n"/>
      <c r="B461" s="477" t="n"/>
      <c r="C461" s="477" t="n"/>
      <c r="D461" s="477" t="n"/>
      <c r="E461" s="477" t="n"/>
      <c r="F461" s="477" t="n"/>
      <c r="G461" s="477" t="n"/>
      <c r="H461" s="505" t="n"/>
      <c r="I461" s="477" t="n"/>
      <c r="J461" s="477" t="n"/>
      <c r="K461" s="477" t="n"/>
      <c r="L461" s="477" t="n"/>
      <c r="M461" s="477" t="n"/>
      <c r="N461" s="477" t="n"/>
      <c r="O461" s="477" t="n"/>
      <c r="P461" s="477" t="n"/>
      <c r="Q461" s="477" t="n"/>
      <c r="R461" s="477" t="n"/>
      <c r="S461" s="477" t="n"/>
      <c r="T461" s="477" t="n"/>
      <c r="U461" s="477" t="n"/>
      <c r="V461" s="477" t="n"/>
      <c r="W461" s="477" t="n"/>
      <c r="X461" s="477" t="n"/>
      <c r="Y461" s="477" t="n"/>
      <c r="Z461" s="477" t="n"/>
    </row>
    <row r="462" ht="15.75" customHeight="1">
      <c r="A462" s="477" t="n"/>
      <c r="B462" s="477" t="n"/>
      <c r="C462" s="477" t="n"/>
      <c r="D462" s="477" t="n"/>
      <c r="E462" s="477" t="n"/>
      <c r="F462" s="477" t="n"/>
      <c r="G462" s="477" t="n"/>
      <c r="H462" s="505" t="n"/>
      <c r="I462" s="477" t="n"/>
      <c r="J462" s="477" t="n"/>
      <c r="K462" s="477" t="n"/>
      <c r="L462" s="477" t="n"/>
      <c r="M462" s="477" t="n"/>
      <c r="N462" s="477" t="n"/>
      <c r="O462" s="477" t="n"/>
      <c r="P462" s="477" t="n"/>
      <c r="Q462" s="477" t="n"/>
      <c r="R462" s="477" t="n"/>
      <c r="S462" s="477" t="n"/>
      <c r="T462" s="477" t="n"/>
      <c r="U462" s="477" t="n"/>
      <c r="V462" s="477" t="n"/>
      <c r="W462" s="477" t="n"/>
      <c r="X462" s="477" t="n"/>
      <c r="Y462" s="477" t="n"/>
      <c r="Z462" s="477" t="n"/>
    </row>
    <row r="463" ht="15.75" customHeight="1">
      <c r="A463" s="477" t="n"/>
      <c r="B463" s="477" t="n"/>
      <c r="C463" s="477" t="n"/>
      <c r="D463" s="477" t="n"/>
      <c r="E463" s="477" t="n"/>
      <c r="F463" s="477" t="n"/>
      <c r="G463" s="477" t="n"/>
      <c r="H463" s="505" t="n"/>
      <c r="I463" s="477" t="n"/>
      <c r="J463" s="477" t="n"/>
      <c r="K463" s="477" t="n"/>
      <c r="L463" s="477" t="n"/>
      <c r="M463" s="477" t="n"/>
      <c r="N463" s="477" t="n"/>
      <c r="O463" s="477" t="n"/>
      <c r="P463" s="477" t="n"/>
      <c r="Q463" s="477" t="n"/>
      <c r="R463" s="477" t="n"/>
      <c r="S463" s="477" t="n"/>
      <c r="T463" s="477" t="n"/>
      <c r="U463" s="477" t="n"/>
      <c r="V463" s="477" t="n"/>
      <c r="W463" s="477" t="n"/>
      <c r="X463" s="477" t="n"/>
      <c r="Y463" s="477" t="n"/>
      <c r="Z463" s="477" t="n"/>
    </row>
    <row r="464" ht="15.75" customHeight="1">
      <c r="A464" s="477" t="n"/>
      <c r="B464" s="477" t="n"/>
      <c r="C464" s="477" t="n"/>
      <c r="D464" s="477" t="n"/>
      <c r="E464" s="477" t="n"/>
      <c r="F464" s="477" t="n"/>
      <c r="G464" s="477" t="n"/>
      <c r="H464" s="505" t="n"/>
      <c r="I464" s="477" t="n"/>
      <c r="J464" s="477" t="n"/>
      <c r="K464" s="477" t="n"/>
      <c r="L464" s="477" t="n"/>
      <c r="M464" s="477" t="n"/>
      <c r="N464" s="477" t="n"/>
      <c r="O464" s="477" t="n"/>
      <c r="P464" s="477" t="n"/>
      <c r="Q464" s="477" t="n"/>
      <c r="R464" s="477" t="n"/>
      <c r="S464" s="477" t="n"/>
      <c r="T464" s="477" t="n"/>
      <c r="U464" s="477" t="n"/>
      <c r="V464" s="477" t="n"/>
      <c r="W464" s="477" t="n"/>
      <c r="X464" s="477" t="n"/>
      <c r="Y464" s="477" t="n"/>
      <c r="Z464" s="477" t="n"/>
    </row>
    <row r="465" ht="15.75" customHeight="1">
      <c r="A465" s="477" t="n"/>
      <c r="B465" s="477" t="n"/>
      <c r="C465" s="477" t="n"/>
      <c r="D465" s="477" t="n"/>
      <c r="E465" s="477" t="n"/>
      <c r="F465" s="477" t="n"/>
      <c r="G465" s="477" t="n"/>
      <c r="H465" s="505" t="n"/>
      <c r="I465" s="477" t="n"/>
      <c r="J465" s="477" t="n"/>
      <c r="K465" s="477" t="n"/>
      <c r="L465" s="477" t="n"/>
      <c r="M465" s="477" t="n"/>
      <c r="N465" s="477" t="n"/>
      <c r="O465" s="477" t="n"/>
      <c r="P465" s="477" t="n"/>
      <c r="Q465" s="477" t="n"/>
      <c r="R465" s="477" t="n"/>
      <c r="S465" s="477" t="n"/>
      <c r="T465" s="477" t="n"/>
      <c r="U465" s="477" t="n"/>
      <c r="V465" s="477" t="n"/>
      <c r="W465" s="477" t="n"/>
      <c r="X465" s="477" t="n"/>
      <c r="Y465" s="477" t="n"/>
      <c r="Z465" s="477" t="n"/>
    </row>
    <row r="466" ht="15.75" customHeight="1">
      <c r="A466" s="477" t="n"/>
      <c r="B466" s="477" t="n"/>
      <c r="C466" s="477" t="n"/>
      <c r="D466" s="477" t="n"/>
      <c r="E466" s="477" t="n"/>
      <c r="F466" s="477" t="n"/>
      <c r="G466" s="477" t="n"/>
      <c r="H466" s="505" t="n"/>
      <c r="I466" s="477" t="n"/>
      <c r="J466" s="477" t="n"/>
      <c r="K466" s="477" t="n"/>
      <c r="L466" s="477" t="n"/>
      <c r="M466" s="477" t="n"/>
      <c r="N466" s="477" t="n"/>
      <c r="O466" s="477" t="n"/>
      <c r="P466" s="477" t="n"/>
      <c r="Q466" s="477" t="n"/>
      <c r="R466" s="477" t="n"/>
      <c r="S466" s="477" t="n"/>
      <c r="T466" s="477" t="n"/>
      <c r="U466" s="477" t="n"/>
      <c r="V466" s="477" t="n"/>
      <c r="W466" s="477" t="n"/>
      <c r="X466" s="477" t="n"/>
      <c r="Y466" s="477" t="n"/>
      <c r="Z466" s="477" t="n"/>
    </row>
    <row r="467" ht="15.75" customHeight="1">
      <c r="A467" s="477" t="n"/>
      <c r="B467" s="477" t="n"/>
      <c r="C467" s="477" t="n"/>
      <c r="D467" s="477" t="n"/>
      <c r="E467" s="477" t="n"/>
      <c r="F467" s="477" t="n"/>
      <c r="G467" s="477" t="n"/>
      <c r="H467" s="505" t="n"/>
      <c r="I467" s="477" t="n"/>
      <c r="J467" s="477" t="n"/>
      <c r="K467" s="477" t="n"/>
      <c r="L467" s="477" t="n"/>
      <c r="M467" s="477" t="n"/>
      <c r="N467" s="477" t="n"/>
      <c r="O467" s="477" t="n"/>
      <c r="P467" s="477" t="n"/>
      <c r="Q467" s="477" t="n"/>
      <c r="R467" s="477" t="n"/>
      <c r="S467" s="477" t="n"/>
      <c r="T467" s="477" t="n"/>
      <c r="U467" s="477" t="n"/>
      <c r="V467" s="477" t="n"/>
      <c r="W467" s="477" t="n"/>
      <c r="X467" s="477" t="n"/>
      <c r="Y467" s="477" t="n"/>
      <c r="Z467" s="477" t="n"/>
    </row>
    <row r="468" ht="15.75" customHeight="1">
      <c r="A468" s="477" t="n"/>
      <c r="B468" s="477" t="n"/>
      <c r="C468" s="477" t="n"/>
      <c r="D468" s="477" t="n"/>
      <c r="E468" s="477" t="n"/>
      <c r="F468" s="477" t="n"/>
      <c r="G468" s="477" t="n"/>
      <c r="H468" s="505" t="n"/>
      <c r="I468" s="477" t="n"/>
      <c r="J468" s="477" t="n"/>
      <c r="K468" s="477" t="n"/>
      <c r="L468" s="477" t="n"/>
      <c r="M468" s="477" t="n"/>
      <c r="N468" s="477" t="n"/>
      <c r="O468" s="477" t="n"/>
      <c r="P468" s="477" t="n"/>
      <c r="Q468" s="477" t="n"/>
      <c r="R468" s="477" t="n"/>
      <c r="S468" s="477" t="n"/>
      <c r="T468" s="477" t="n"/>
      <c r="U468" s="477" t="n"/>
      <c r="V468" s="477" t="n"/>
      <c r="W468" s="477" t="n"/>
      <c r="X468" s="477" t="n"/>
      <c r="Y468" s="477" t="n"/>
      <c r="Z468" s="477" t="n"/>
    </row>
    <row r="469" ht="15.75" customHeight="1">
      <c r="A469" s="477" t="n"/>
      <c r="B469" s="477" t="n"/>
      <c r="C469" s="477" t="n"/>
      <c r="D469" s="477" t="n"/>
      <c r="E469" s="477" t="n"/>
      <c r="F469" s="477" t="n"/>
      <c r="G469" s="477" t="n"/>
      <c r="H469" s="505" t="n"/>
      <c r="I469" s="477" t="n"/>
      <c r="J469" s="477" t="n"/>
      <c r="K469" s="477" t="n"/>
      <c r="L469" s="477" t="n"/>
      <c r="M469" s="477" t="n"/>
      <c r="N469" s="477" t="n"/>
      <c r="O469" s="477" t="n"/>
      <c r="P469" s="477" t="n"/>
      <c r="Q469" s="477" t="n"/>
      <c r="R469" s="477" t="n"/>
      <c r="S469" s="477" t="n"/>
      <c r="T469" s="477" t="n"/>
      <c r="U469" s="477" t="n"/>
      <c r="V469" s="477" t="n"/>
      <c r="W469" s="477" t="n"/>
      <c r="X469" s="477" t="n"/>
      <c r="Y469" s="477" t="n"/>
      <c r="Z469" s="477" t="n"/>
    </row>
    <row r="470" ht="15.75" customHeight="1">
      <c r="A470" s="477" t="n"/>
      <c r="B470" s="477" t="n"/>
      <c r="C470" s="477" t="n"/>
      <c r="D470" s="477" t="n"/>
      <c r="E470" s="477" t="n"/>
      <c r="F470" s="477" t="n"/>
      <c r="G470" s="477" t="n"/>
      <c r="H470" s="505" t="n"/>
      <c r="I470" s="477" t="n"/>
      <c r="J470" s="477" t="n"/>
      <c r="K470" s="477" t="n"/>
      <c r="L470" s="477" t="n"/>
      <c r="M470" s="477" t="n"/>
      <c r="N470" s="477" t="n"/>
      <c r="O470" s="477" t="n"/>
      <c r="P470" s="477" t="n"/>
      <c r="Q470" s="477" t="n"/>
      <c r="R470" s="477" t="n"/>
      <c r="S470" s="477" t="n"/>
      <c r="T470" s="477" t="n"/>
      <c r="U470" s="477" t="n"/>
      <c r="V470" s="477" t="n"/>
      <c r="W470" s="477" t="n"/>
      <c r="X470" s="477" t="n"/>
      <c r="Y470" s="477" t="n"/>
      <c r="Z470" s="477" t="n"/>
    </row>
    <row r="471" ht="15.75" customHeight="1">
      <c r="A471" s="477" t="n"/>
      <c r="B471" s="477" t="n"/>
      <c r="C471" s="477" t="n"/>
      <c r="D471" s="477" t="n"/>
      <c r="E471" s="477" t="n"/>
      <c r="F471" s="477" t="n"/>
      <c r="G471" s="477" t="n"/>
      <c r="H471" s="505" t="n"/>
      <c r="I471" s="477" t="n"/>
      <c r="J471" s="477" t="n"/>
      <c r="K471" s="477" t="n"/>
      <c r="L471" s="477" t="n"/>
      <c r="M471" s="477" t="n"/>
      <c r="N471" s="477" t="n"/>
      <c r="O471" s="477" t="n"/>
      <c r="P471" s="477" t="n"/>
      <c r="Q471" s="477" t="n"/>
      <c r="R471" s="477" t="n"/>
      <c r="S471" s="477" t="n"/>
      <c r="T471" s="477" t="n"/>
      <c r="U471" s="477" t="n"/>
      <c r="V471" s="477" t="n"/>
      <c r="W471" s="477" t="n"/>
      <c r="X471" s="477" t="n"/>
      <c r="Y471" s="477" t="n"/>
      <c r="Z471" s="477" t="n"/>
    </row>
    <row r="472" ht="15.75" customHeight="1">
      <c r="A472" s="477" t="n"/>
      <c r="B472" s="477" t="n"/>
      <c r="C472" s="477" t="n"/>
      <c r="D472" s="477" t="n"/>
      <c r="E472" s="477" t="n"/>
      <c r="F472" s="477" t="n"/>
      <c r="G472" s="477" t="n"/>
      <c r="H472" s="505" t="n"/>
      <c r="I472" s="477" t="n"/>
      <c r="J472" s="477" t="n"/>
      <c r="K472" s="477" t="n"/>
      <c r="L472" s="477" t="n"/>
      <c r="M472" s="477" t="n"/>
      <c r="N472" s="477" t="n"/>
      <c r="O472" s="477" t="n"/>
      <c r="P472" s="477" t="n"/>
      <c r="Q472" s="477" t="n"/>
      <c r="R472" s="477" t="n"/>
      <c r="S472" s="477" t="n"/>
      <c r="T472" s="477" t="n"/>
      <c r="U472" s="477" t="n"/>
      <c r="V472" s="477" t="n"/>
      <c r="W472" s="477" t="n"/>
      <c r="X472" s="477" t="n"/>
      <c r="Y472" s="477" t="n"/>
      <c r="Z472" s="477" t="n"/>
    </row>
    <row r="473" ht="15.75" customHeight="1">
      <c r="A473" s="477" t="n"/>
      <c r="B473" s="477" t="n"/>
      <c r="C473" s="477" t="n"/>
      <c r="D473" s="477" t="n"/>
      <c r="E473" s="477" t="n"/>
      <c r="F473" s="477" t="n"/>
      <c r="G473" s="477" t="n"/>
      <c r="H473" s="505" t="n"/>
      <c r="I473" s="477" t="n"/>
      <c r="J473" s="477" t="n"/>
      <c r="K473" s="477" t="n"/>
      <c r="L473" s="477" t="n"/>
      <c r="M473" s="477" t="n"/>
      <c r="N473" s="477" t="n"/>
      <c r="O473" s="477" t="n"/>
      <c r="P473" s="477" t="n"/>
      <c r="Q473" s="477" t="n"/>
      <c r="R473" s="477" t="n"/>
      <c r="S473" s="477" t="n"/>
      <c r="T473" s="477" t="n"/>
      <c r="U473" s="477" t="n"/>
      <c r="V473" s="477" t="n"/>
      <c r="W473" s="477" t="n"/>
      <c r="X473" s="477" t="n"/>
      <c r="Y473" s="477" t="n"/>
      <c r="Z473" s="477" t="n"/>
    </row>
    <row r="474" ht="15.75" customHeight="1">
      <c r="A474" s="477" t="n"/>
      <c r="B474" s="477" t="n"/>
      <c r="C474" s="477" t="n"/>
      <c r="D474" s="477" t="n"/>
      <c r="E474" s="477" t="n"/>
      <c r="F474" s="477" t="n"/>
      <c r="G474" s="477" t="n"/>
      <c r="H474" s="505" t="n"/>
      <c r="I474" s="477" t="n"/>
      <c r="J474" s="477" t="n"/>
      <c r="K474" s="477" t="n"/>
      <c r="L474" s="477" t="n"/>
      <c r="M474" s="477" t="n"/>
      <c r="N474" s="477" t="n"/>
      <c r="O474" s="477" t="n"/>
      <c r="P474" s="477" t="n"/>
      <c r="Q474" s="477" t="n"/>
      <c r="R474" s="477" t="n"/>
      <c r="S474" s="477" t="n"/>
      <c r="T474" s="477" t="n"/>
      <c r="U474" s="477" t="n"/>
      <c r="V474" s="477" t="n"/>
      <c r="W474" s="477" t="n"/>
      <c r="X474" s="477" t="n"/>
      <c r="Y474" s="477" t="n"/>
      <c r="Z474" s="477" t="n"/>
    </row>
    <row r="475" ht="15.75" customHeight="1">
      <c r="A475" s="477" t="n"/>
      <c r="B475" s="477" t="n"/>
      <c r="C475" s="477" t="n"/>
      <c r="D475" s="477" t="n"/>
      <c r="E475" s="477" t="n"/>
      <c r="F475" s="477" t="n"/>
      <c r="G475" s="477" t="n"/>
      <c r="H475" s="505" t="n"/>
      <c r="I475" s="477" t="n"/>
      <c r="J475" s="477" t="n"/>
      <c r="K475" s="477" t="n"/>
      <c r="L475" s="477" t="n"/>
      <c r="M475" s="477" t="n"/>
      <c r="N475" s="477" t="n"/>
      <c r="O475" s="477" t="n"/>
      <c r="P475" s="477" t="n"/>
      <c r="Q475" s="477" t="n"/>
      <c r="R475" s="477" t="n"/>
      <c r="S475" s="477" t="n"/>
      <c r="T475" s="477" t="n"/>
      <c r="U475" s="477" t="n"/>
      <c r="V475" s="477" t="n"/>
      <c r="W475" s="477" t="n"/>
      <c r="X475" s="477" t="n"/>
      <c r="Y475" s="477" t="n"/>
      <c r="Z475" s="477" t="n"/>
    </row>
    <row r="476" ht="15.75" customHeight="1">
      <c r="A476" s="477" t="n"/>
      <c r="B476" s="477" t="n"/>
      <c r="C476" s="477" t="n"/>
      <c r="D476" s="477" t="n"/>
      <c r="E476" s="477" t="n"/>
      <c r="F476" s="477" t="n"/>
      <c r="G476" s="477" t="n"/>
      <c r="H476" s="505" t="n"/>
      <c r="I476" s="477" t="n"/>
      <c r="J476" s="477" t="n"/>
      <c r="K476" s="477" t="n"/>
      <c r="L476" s="477" t="n"/>
      <c r="M476" s="477" t="n"/>
      <c r="N476" s="477" t="n"/>
      <c r="O476" s="477" t="n"/>
      <c r="P476" s="477" t="n"/>
      <c r="Q476" s="477" t="n"/>
      <c r="R476" s="477" t="n"/>
      <c r="S476" s="477" t="n"/>
      <c r="T476" s="477" t="n"/>
      <c r="U476" s="477" t="n"/>
      <c r="V476" s="477" t="n"/>
      <c r="W476" s="477" t="n"/>
      <c r="X476" s="477" t="n"/>
      <c r="Y476" s="477" t="n"/>
      <c r="Z476" s="477" t="n"/>
    </row>
    <row r="477" ht="15.75" customHeight="1">
      <c r="A477" s="477" t="n"/>
      <c r="B477" s="477" t="n"/>
      <c r="C477" s="477" t="n"/>
      <c r="D477" s="477" t="n"/>
      <c r="E477" s="477" t="n"/>
      <c r="F477" s="477" t="n"/>
      <c r="G477" s="477" t="n"/>
      <c r="H477" s="505" t="n"/>
      <c r="I477" s="477" t="n"/>
      <c r="J477" s="477" t="n"/>
      <c r="K477" s="477" t="n"/>
      <c r="L477" s="477" t="n"/>
      <c r="M477" s="477" t="n"/>
      <c r="N477" s="477" t="n"/>
      <c r="O477" s="477" t="n"/>
      <c r="P477" s="477" t="n"/>
      <c r="Q477" s="477" t="n"/>
      <c r="R477" s="477" t="n"/>
      <c r="S477" s="477" t="n"/>
      <c r="T477" s="477" t="n"/>
      <c r="U477" s="477" t="n"/>
      <c r="V477" s="477" t="n"/>
      <c r="W477" s="477" t="n"/>
      <c r="X477" s="477" t="n"/>
      <c r="Y477" s="477" t="n"/>
      <c r="Z477" s="477" t="n"/>
    </row>
    <row r="478" ht="15.75" customHeight="1">
      <c r="A478" s="477" t="n"/>
      <c r="B478" s="477" t="n"/>
      <c r="C478" s="477" t="n"/>
      <c r="D478" s="477" t="n"/>
      <c r="E478" s="477" t="n"/>
      <c r="F478" s="477" t="n"/>
      <c r="G478" s="477" t="n"/>
      <c r="H478" s="505" t="n"/>
      <c r="I478" s="477" t="n"/>
      <c r="J478" s="477" t="n"/>
      <c r="K478" s="477" t="n"/>
      <c r="L478" s="477" t="n"/>
      <c r="M478" s="477" t="n"/>
      <c r="N478" s="477" t="n"/>
      <c r="O478" s="477" t="n"/>
      <c r="P478" s="477" t="n"/>
      <c r="Q478" s="477" t="n"/>
      <c r="R478" s="477" t="n"/>
      <c r="S478" s="477" t="n"/>
      <c r="T478" s="477" t="n"/>
      <c r="U478" s="477" t="n"/>
      <c r="V478" s="477" t="n"/>
      <c r="W478" s="477" t="n"/>
      <c r="X478" s="477" t="n"/>
      <c r="Y478" s="477" t="n"/>
      <c r="Z478" s="477" t="n"/>
    </row>
    <row r="479" ht="15.75" customHeight="1">
      <c r="A479" s="477" t="n"/>
      <c r="B479" s="477" t="n"/>
      <c r="C479" s="477" t="n"/>
      <c r="D479" s="477" t="n"/>
      <c r="E479" s="477" t="n"/>
      <c r="F479" s="477" t="n"/>
      <c r="G479" s="477" t="n"/>
      <c r="H479" s="505" t="n"/>
      <c r="I479" s="477" t="n"/>
      <c r="J479" s="477" t="n"/>
      <c r="K479" s="477" t="n"/>
      <c r="L479" s="477" t="n"/>
      <c r="M479" s="477" t="n"/>
      <c r="N479" s="477" t="n"/>
      <c r="O479" s="477" t="n"/>
      <c r="P479" s="477" t="n"/>
      <c r="Q479" s="477" t="n"/>
      <c r="R479" s="477" t="n"/>
      <c r="S479" s="477" t="n"/>
      <c r="T479" s="477" t="n"/>
      <c r="U479" s="477" t="n"/>
      <c r="V479" s="477" t="n"/>
      <c r="W479" s="477" t="n"/>
      <c r="X479" s="477" t="n"/>
      <c r="Y479" s="477" t="n"/>
      <c r="Z479" s="477" t="n"/>
    </row>
    <row r="480" ht="15.75" customHeight="1">
      <c r="A480" s="477" t="n"/>
      <c r="B480" s="477" t="n"/>
      <c r="C480" s="477" t="n"/>
      <c r="D480" s="477" t="n"/>
      <c r="E480" s="477" t="n"/>
      <c r="F480" s="477" t="n"/>
      <c r="G480" s="477" t="n"/>
      <c r="H480" s="505" t="n"/>
      <c r="I480" s="477" t="n"/>
      <c r="J480" s="477" t="n"/>
      <c r="K480" s="477" t="n"/>
      <c r="L480" s="477" t="n"/>
      <c r="M480" s="477" t="n"/>
      <c r="N480" s="477" t="n"/>
      <c r="O480" s="477" t="n"/>
      <c r="P480" s="477" t="n"/>
      <c r="Q480" s="477" t="n"/>
      <c r="R480" s="477" t="n"/>
      <c r="S480" s="477" t="n"/>
      <c r="T480" s="477" t="n"/>
      <c r="U480" s="477" t="n"/>
      <c r="V480" s="477" t="n"/>
      <c r="W480" s="477" t="n"/>
      <c r="X480" s="477" t="n"/>
      <c r="Y480" s="477" t="n"/>
      <c r="Z480" s="477" t="n"/>
    </row>
    <row r="481" ht="15.75" customHeight="1">
      <c r="A481" s="477" t="n"/>
      <c r="B481" s="477" t="n"/>
      <c r="C481" s="477" t="n"/>
      <c r="D481" s="477" t="n"/>
      <c r="E481" s="477" t="n"/>
      <c r="F481" s="477" t="n"/>
      <c r="G481" s="477" t="n"/>
      <c r="H481" s="505" t="n"/>
      <c r="I481" s="477" t="n"/>
      <c r="J481" s="477" t="n"/>
      <c r="K481" s="477" t="n"/>
      <c r="L481" s="477" t="n"/>
      <c r="M481" s="477" t="n"/>
      <c r="N481" s="477" t="n"/>
      <c r="O481" s="477" t="n"/>
      <c r="P481" s="477" t="n"/>
      <c r="Q481" s="477" t="n"/>
      <c r="R481" s="477" t="n"/>
      <c r="S481" s="477" t="n"/>
      <c r="T481" s="477" t="n"/>
      <c r="U481" s="477" t="n"/>
      <c r="V481" s="477" t="n"/>
      <c r="W481" s="477" t="n"/>
      <c r="X481" s="477" t="n"/>
      <c r="Y481" s="477" t="n"/>
      <c r="Z481" s="477" t="n"/>
    </row>
    <row r="482" ht="15.75" customHeight="1">
      <c r="A482" s="477" t="n"/>
      <c r="B482" s="477" t="n"/>
      <c r="C482" s="477" t="n"/>
      <c r="D482" s="477" t="n"/>
      <c r="E482" s="477" t="n"/>
      <c r="F482" s="477" t="n"/>
      <c r="G482" s="477" t="n"/>
      <c r="H482" s="505" t="n"/>
      <c r="I482" s="477" t="n"/>
      <c r="J482" s="477" t="n"/>
      <c r="K482" s="477" t="n"/>
      <c r="L482" s="477" t="n"/>
      <c r="M482" s="477" t="n"/>
      <c r="N482" s="477" t="n"/>
      <c r="O482" s="477" t="n"/>
      <c r="P482" s="477" t="n"/>
      <c r="Q482" s="477" t="n"/>
      <c r="R482" s="477" t="n"/>
      <c r="S482" s="477" t="n"/>
      <c r="T482" s="477" t="n"/>
      <c r="U482" s="477" t="n"/>
      <c r="V482" s="477" t="n"/>
      <c r="W482" s="477" t="n"/>
      <c r="X482" s="477" t="n"/>
      <c r="Y482" s="477" t="n"/>
      <c r="Z482" s="477" t="n"/>
    </row>
    <row r="483" ht="15.75" customHeight="1">
      <c r="A483" s="477" t="n"/>
      <c r="B483" s="477" t="n"/>
      <c r="C483" s="477" t="n"/>
      <c r="D483" s="477" t="n"/>
      <c r="E483" s="477" t="n"/>
      <c r="F483" s="477" t="n"/>
      <c r="G483" s="477" t="n"/>
      <c r="H483" s="505" t="n"/>
      <c r="I483" s="477" t="n"/>
      <c r="J483" s="477" t="n"/>
      <c r="K483" s="477" t="n"/>
      <c r="L483" s="477" t="n"/>
      <c r="M483" s="477" t="n"/>
      <c r="N483" s="477" t="n"/>
      <c r="O483" s="477" t="n"/>
      <c r="P483" s="477" t="n"/>
      <c r="Q483" s="477" t="n"/>
      <c r="R483" s="477" t="n"/>
      <c r="S483" s="477" t="n"/>
      <c r="T483" s="477" t="n"/>
      <c r="U483" s="477" t="n"/>
      <c r="V483" s="477" t="n"/>
      <c r="W483" s="477" t="n"/>
      <c r="X483" s="477" t="n"/>
      <c r="Y483" s="477" t="n"/>
      <c r="Z483" s="477" t="n"/>
    </row>
    <row r="484" ht="15.75" customHeight="1">
      <c r="A484" s="477" t="n"/>
      <c r="B484" s="477" t="n"/>
      <c r="C484" s="477" t="n"/>
      <c r="D484" s="477" t="n"/>
      <c r="E484" s="477" t="n"/>
      <c r="F484" s="477" t="n"/>
      <c r="G484" s="477" t="n"/>
      <c r="H484" s="505" t="n"/>
      <c r="I484" s="477" t="n"/>
      <c r="J484" s="477" t="n"/>
      <c r="K484" s="477" t="n"/>
      <c r="L484" s="477" t="n"/>
      <c r="M484" s="477" t="n"/>
      <c r="N484" s="477" t="n"/>
      <c r="O484" s="477" t="n"/>
      <c r="P484" s="477" t="n"/>
      <c r="Q484" s="477" t="n"/>
      <c r="R484" s="477" t="n"/>
      <c r="S484" s="477" t="n"/>
      <c r="T484" s="477" t="n"/>
      <c r="U484" s="477" t="n"/>
      <c r="V484" s="477" t="n"/>
      <c r="W484" s="477" t="n"/>
      <c r="X484" s="477" t="n"/>
      <c r="Y484" s="477" t="n"/>
      <c r="Z484" s="477" t="n"/>
    </row>
    <row r="485" ht="15.75" customHeight="1">
      <c r="A485" s="477" t="n"/>
      <c r="B485" s="477" t="n"/>
      <c r="C485" s="477" t="n"/>
      <c r="D485" s="477" t="n"/>
      <c r="E485" s="477" t="n"/>
      <c r="F485" s="477" t="n"/>
      <c r="G485" s="477" t="n"/>
      <c r="H485" s="505" t="n"/>
      <c r="I485" s="477" t="n"/>
      <c r="J485" s="477" t="n"/>
      <c r="K485" s="477" t="n"/>
      <c r="L485" s="477" t="n"/>
      <c r="M485" s="477" t="n"/>
      <c r="N485" s="477" t="n"/>
      <c r="O485" s="477" t="n"/>
      <c r="P485" s="477" t="n"/>
      <c r="Q485" s="477" t="n"/>
      <c r="R485" s="477" t="n"/>
      <c r="S485" s="477" t="n"/>
      <c r="T485" s="477" t="n"/>
      <c r="U485" s="477" t="n"/>
      <c r="V485" s="477" t="n"/>
      <c r="W485" s="477" t="n"/>
      <c r="X485" s="477" t="n"/>
      <c r="Y485" s="477" t="n"/>
      <c r="Z485" s="477" t="n"/>
    </row>
    <row r="486" ht="15.75" customHeight="1">
      <c r="A486" s="477" t="n"/>
      <c r="B486" s="477" t="n"/>
      <c r="C486" s="477" t="n"/>
      <c r="D486" s="477" t="n"/>
      <c r="E486" s="477" t="n"/>
      <c r="F486" s="477" t="n"/>
      <c r="G486" s="477" t="n"/>
      <c r="H486" s="505" t="n"/>
      <c r="I486" s="477" t="n"/>
      <c r="J486" s="477" t="n"/>
      <c r="K486" s="477" t="n"/>
      <c r="L486" s="477" t="n"/>
      <c r="M486" s="477" t="n"/>
      <c r="N486" s="477" t="n"/>
      <c r="O486" s="477" t="n"/>
      <c r="P486" s="477" t="n"/>
      <c r="Q486" s="477" t="n"/>
      <c r="R486" s="477" t="n"/>
      <c r="S486" s="477" t="n"/>
      <c r="T486" s="477" t="n"/>
      <c r="U486" s="477" t="n"/>
      <c r="V486" s="477" t="n"/>
      <c r="W486" s="477" t="n"/>
      <c r="X486" s="477" t="n"/>
      <c r="Y486" s="477" t="n"/>
      <c r="Z486" s="477" t="n"/>
    </row>
    <row r="487" ht="15.75" customHeight="1">
      <c r="A487" s="477" t="n"/>
      <c r="B487" s="477" t="n"/>
      <c r="C487" s="477" t="n"/>
      <c r="D487" s="477" t="n"/>
      <c r="E487" s="477" t="n"/>
      <c r="F487" s="477" t="n"/>
      <c r="G487" s="477" t="n"/>
      <c r="H487" s="505" t="n"/>
      <c r="I487" s="477" t="n"/>
      <c r="J487" s="477" t="n"/>
      <c r="K487" s="477" t="n"/>
      <c r="L487" s="477" t="n"/>
      <c r="M487" s="477" t="n"/>
      <c r="N487" s="477" t="n"/>
      <c r="O487" s="477" t="n"/>
      <c r="P487" s="477" t="n"/>
      <c r="Q487" s="477" t="n"/>
      <c r="R487" s="477" t="n"/>
      <c r="S487" s="477" t="n"/>
      <c r="T487" s="477" t="n"/>
      <c r="U487" s="477" t="n"/>
      <c r="V487" s="477" t="n"/>
      <c r="W487" s="477" t="n"/>
      <c r="X487" s="477" t="n"/>
      <c r="Y487" s="477" t="n"/>
      <c r="Z487" s="477" t="n"/>
    </row>
    <row r="488" ht="15.75" customHeight="1">
      <c r="A488" s="477" t="n"/>
      <c r="B488" s="477" t="n"/>
      <c r="C488" s="477" t="n"/>
      <c r="D488" s="477" t="n"/>
      <c r="E488" s="477" t="n"/>
      <c r="F488" s="477" t="n"/>
      <c r="G488" s="477" t="n"/>
      <c r="H488" s="505" t="n"/>
      <c r="I488" s="477" t="n"/>
      <c r="J488" s="477" t="n"/>
      <c r="K488" s="477" t="n"/>
      <c r="L488" s="477" t="n"/>
      <c r="M488" s="477" t="n"/>
      <c r="N488" s="477" t="n"/>
      <c r="O488" s="477" t="n"/>
      <c r="P488" s="477" t="n"/>
      <c r="Q488" s="477" t="n"/>
      <c r="R488" s="477" t="n"/>
      <c r="S488" s="477" t="n"/>
      <c r="T488" s="477" t="n"/>
      <c r="U488" s="477" t="n"/>
      <c r="V488" s="477" t="n"/>
      <c r="W488" s="477" t="n"/>
      <c r="X488" s="477" t="n"/>
      <c r="Y488" s="477" t="n"/>
      <c r="Z488" s="477" t="n"/>
    </row>
    <row r="489" ht="15.75" customHeight="1">
      <c r="A489" s="477" t="n"/>
      <c r="B489" s="477" t="n"/>
      <c r="C489" s="477" t="n"/>
      <c r="D489" s="477" t="n"/>
      <c r="E489" s="477" t="n"/>
      <c r="F489" s="477" t="n"/>
      <c r="G489" s="477" t="n"/>
      <c r="H489" s="505" t="n"/>
      <c r="I489" s="477" t="n"/>
      <c r="J489" s="477" t="n"/>
      <c r="K489" s="477" t="n"/>
      <c r="L489" s="477" t="n"/>
      <c r="M489" s="477" t="n"/>
      <c r="N489" s="477" t="n"/>
      <c r="O489" s="477" t="n"/>
      <c r="P489" s="477" t="n"/>
      <c r="Q489" s="477" t="n"/>
      <c r="R489" s="477" t="n"/>
      <c r="S489" s="477" t="n"/>
      <c r="T489" s="477" t="n"/>
      <c r="U489" s="477" t="n"/>
      <c r="V489" s="477" t="n"/>
      <c r="W489" s="477" t="n"/>
      <c r="X489" s="477" t="n"/>
      <c r="Y489" s="477" t="n"/>
      <c r="Z489" s="477" t="n"/>
    </row>
    <row r="490" ht="15.75" customHeight="1">
      <c r="A490" s="477" t="n"/>
      <c r="B490" s="477" t="n"/>
      <c r="C490" s="477" t="n"/>
      <c r="D490" s="477" t="n"/>
      <c r="E490" s="477" t="n"/>
      <c r="F490" s="477" t="n"/>
      <c r="G490" s="477" t="n"/>
      <c r="H490" s="505" t="n"/>
      <c r="I490" s="477" t="n"/>
      <c r="J490" s="477" t="n"/>
      <c r="K490" s="477" t="n"/>
      <c r="L490" s="477" t="n"/>
      <c r="M490" s="477" t="n"/>
      <c r="N490" s="477" t="n"/>
      <c r="O490" s="477" t="n"/>
      <c r="P490" s="477" t="n"/>
      <c r="Q490" s="477" t="n"/>
      <c r="R490" s="477" t="n"/>
      <c r="S490" s="477" t="n"/>
      <c r="T490" s="477" t="n"/>
      <c r="U490" s="477" t="n"/>
      <c r="V490" s="477" t="n"/>
      <c r="W490" s="477" t="n"/>
      <c r="X490" s="477" t="n"/>
      <c r="Y490" s="477" t="n"/>
      <c r="Z490" s="477" t="n"/>
    </row>
    <row r="491" ht="15.75" customHeight="1">
      <c r="A491" s="477" t="n"/>
      <c r="B491" s="477" t="n"/>
      <c r="C491" s="477" t="n"/>
      <c r="D491" s="477" t="n"/>
      <c r="E491" s="477" t="n"/>
      <c r="F491" s="477" t="n"/>
      <c r="G491" s="477" t="n"/>
      <c r="H491" s="505" t="n"/>
      <c r="I491" s="477" t="n"/>
      <c r="J491" s="477" t="n"/>
      <c r="K491" s="477" t="n"/>
      <c r="L491" s="477" t="n"/>
      <c r="M491" s="477" t="n"/>
      <c r="N491" s="477" t="n"/>
      <c r="O491" s="477" t="n"/>
      <c r="P491" s="477" t="n"/>
      <c r="Q491" s="477" t="n"/>
      <c r="R491" s="477" t="n"/>
      <c r="S491" s="477" t="n"/>
      <c r="T491" s="477" t="n"/>
      <c r="U491" s="477" t="n"/>
      <c r="V491" s="477" t="n"/>
      <c r="W491" s="477" t="n"/>
      <c r="X491" s="477" t="n"/>
      <c r="Y491" s="477" t="n"/>
      <c r="Z491" s="477" t="n"/>
    </row>
    <row r="492" ht="15.75" customHeight="1">
      <c r="A492" s="477" t="n"/>
      <c r="B492" s="477" t="n"/>
      <c r="C492" s="477" t="n"/>
      <c r="D492" s="477" t="n"/>
      <c r="E492" s="477" t="n"/>
      <c r="F492" s="477" t="n"/>
      <c r="G492" s="477" t="n"/>
      <c r="H492" s="505" t="n"/>
      <c r="I492" s="477" t="n"/>
      <c r="J492" s="477" t="n"/>
      <c r="K492" s="477" t="n"/>
      <c r="L492" s="477" t="n"/>
      <c r="M492" s="477" t="n"/>
      <c r="N492" s="477" t="n"/>
      <c r="O492" s="477" t="n"/>
      <c r="P492" s="477" t="n"/>
      <c r="Q492" s="477" t="n"/>
      <c r="R492" s="477" t="n"/>
      <c r="S492" s="477" t="n"/>
      <c r="T492" s="477" t="n"/>
      <c r="U492" s="477" t="n"/>
      <c r="V492" s="477" t="n"/>
      <c r="W492" s="477" t="n"/>
      <c r="X492" s="477" t="n"/>
      <c r="Y492" s="477" t="n"/>
      <c r="Z492" s="477" t="n"/>
    </row>
    <row r="493" ht="15.75" customHeight="1">
      <c r="A493" s="477" t="n"/>
      <c r="B493" s="477" t="n"/>
      <c r="C493" s="477" t="n"/>
      <c r="D493" s="477" t="n"/>
      <c r="E493" s="477" t="n"/>
      <c r="F493" s="477" t="n"/>
      <c r="G493" s="477" t="n"/>
      <c r="H493" s="505" t="n"/>
      <c r="I493" s="477" t="n"/>
      <c r="J493" s="477" t="n"/>
      <c r="K493" s="477" t="n"/>
      <c r="L493" s="477" t="n"/>
      <c r="M493" s="477" t="n"/>
      <c r="N493" s="477" t="n"/>
      <c r="O493" s="477" t="n"/>
      <c r="P493" s="477" t="n"/>
      <c r="Q493" s="477" t="n"/>
      <c r="R493" s="477" t="n"/>
      <c r="S493" s="477" t="n"/>
      <c r="T493" s="477" t="n"/>
      <c r="U493" s="477" t="n"/>
      <c r="V493" s="477" t="n"/>
      <c r="W493" s="477" t="n"/>
      <c r="X493" s="477" t="n"/>
      <c r="Y493" s="477" t="n"/>
      <c r="Z493" s="477" t="n"/>
    </row>
    <row r="494" ht="15.75" customHeight="1">
      <c r="A494" s="477" t="n"/>
      <c r="B494" s="477" t="n"/>
      <c r="C494" s="477" t="n"/>
      <c r="D494" s="477" t="n"/>
      <c r="E494" s="477" t="n"/>
      <c r="F494" s="477" t="n"/>
      <c r="G494" s="477" t="n"/>
      <c r="H494" s="505" t="n"/>
      <c r="I494" s="477" t="n"/>
      <c r="J494" s="477" t="n"/>
      <c r="K494" s="477" t="n"/>
      <c r="L494" s="477" t="n"/>
      <c r="M494" s="477" t="n"/>
      <c r="N494" s="477" t="n"/>
      <c r="O494" s="477" t="n"/>
      <c r="P494" s="477" t="n"/>
      <c r="Q494" s="477" t="n"/>
      <c r="R494" s="477" t="n"/>
      <c r="S494" s="477" t="n"/>
      <c r="T494" s="477" t="n"/>
      <c r="U494" s="477" t="n"/>
      <c r="V494" s="477" t="n"/>
      <c r="W494" s="477" t="n"/>
      <c r="X494" s="477" t="n"/>
      <c r="Y494" s="477" t="n"/>
      <c r="Z494" s="477" t="n"/>
    </row>
    <row r="495" ht="15.75" customHeight="1">
      <c r="A495" s="477" t="n"/>
      <c r="B495" s="477" t="n"/>
      <c r="C495" s="477" t="n"/>
      <c r="D495" s="477" t="n"/>
      <c r="E495" s="477" t="n"/>
      <c r="F495" s="477" t="n"/>
      <c r="G495" s="477" t="n"/>
      <c r="H495" s="505" t="n"/>
      <c r="I495" s="477" t="n"/>
      <c r="J495" s="477" t="n"/>
      <c r="K495" s="477" t="n"/>
      <c r="L495" s="477" t="n"/>
      <c r="M495" s="477" t="n"/>
      <c r="N495" s="477" t="n"/>
      <c r="O495" s="477" t="n"/>
      <c r="P495" s="477" t="n"/>
      <c r="Q495" s="477" t="n"/>
      <c r="R495" s="477" t="n"/>
      <c r="S495" s="477" t="n"/>
      <c r="T495" s="477" t="n"/>
      <c r="U495" s="477" t="n"/>
      <c r="V495" s="477" t="n"/>
      <c r="W495" s="477" t="n"/>
      <c r="X495" s="477" t="n"/>
      <c r="Y495" s="477" t="n"/>
      <c r="Z495" s="477" t="n"/>
    </row>
    <row r="496" ht="15.75" customHeight="1">
      <c r="A496" s="477" t="n"/>
      <c r="B496" s="477" t="n"/>
      <c r="C496" s="477" t="n"/>
      <c r="D496" s="477" t="n"/>
      <c r="E496" s="477" t="n"/>
      <c r="F496" s="477" t="n"/>
      <c r="G496" s="477" t="n"/>
      <c r="H496" s="505" t="n"/>
      <c r="I496" s="477" t="n"/>
      <c r="J496" s="477" t="n"/>
      <c r="K496" s="477" t="n"/>
      <c r="L496" s="477" t="n"/>
      <c r="M496" s="477" t="n"/>
      <c r="N496" s="477" t="n"/>
      <c r="O496" s="477" t="n"/>
      <c r="P496" s="477" t="n"/>
      <c r="Q496" s="477" t="n"/>
      <c r="R496" s="477" t="n"/>
      <c r="S496" s="477" t="n"/>
      <c r="T496" s="477" t="n"/>
      <c r="U496" s="477" t="n"/>
      <c r="V496" s="477" t="n"/>
      <c r="W496" s="477" t="n"/>
      <c r="X496" s="477" t="n"/>
      <c r="Y496" s="477" t="n"/>
      <c r="Z496" s="477" t="n"/>
    </row>
    <row r="497" ht="15.75" customHeight="1">
      <c r="A497" s="477" t="n"/>
      <c r="B497" s="477" t="n"/>
      <c r="C497" s="477" t="n"/>
      <c r="D497" s="477" t="n"/>
      <c r="E497" s="477" t="n"/>
      <c r="F497" s="477" t="n"/>
      <c r="G497" s="477" t="n"/>
      <c r="H497" s="505" t="n"/>
      <c r="I497" s="477" t="n"/>
      <c r="J497" s="477" t="n"/>
      <c r="K497" s="477" t="n"/>
      <c r="L497" s="477" t="n"/>
      <c r="M497" s="477" t="n"/>
      <c r="N497" s="477" t="n"/>
      <c r="O497" s="477" t="n"/>
      <c r="P497" s="477" t="n"/>
      <c r="Q497" s="477" t="n"/>
      <c r="R497" s="477" t="n"/>
      <c r="S497" s="477" t="n"/>
      <c r="T497" s="477" t="n"/>
      <c r="U497" s="477" t="n"/>
      <c r="V497" s="477" t="n"/>
      <c r="W497" s="477" t="n"/>
      <c r="X497" s="477" t="n"/>
      <c r="Y497" s="477" t="n"/>
      <c r="Z497" s="477" t="n"/>
    </row>
    <row r="498" ht="15.75" customHeight="1">
      <c r="A498" s="477" t="n"/>
      <c r="B498" s="477" t="n"/>
      <c r="C498" s="477" t="n"/>
      <c r="D498" s="477" t="n"/>
      <c r="E498" s="477" t="n"/>
      <c r="F498" s="477" t="n"/>
      <c r="G498" s="477" t="n"/>
      <c r="H498" s="505" t="n"/>
      <c r="I498" s="477" t="n"/>
      <c r="J498" s="477" t="n"/>
      <c r="K498" s="477" t="n"/>
      <c r="L498" s="477" t="n"/>
      <c r="M498" s="477" t="n"/>
      <c r="N498" s="477" t="n"/>
      <c r="O498" s="477" t="n"/>
      <c r="P498" s="477" t="n"/>
      <c r="Q498" s="477" t="n"/>
      <c r="R498" s="477" t="n"/>
      <c r="S498" s="477" t="n"/>
      <c r="T498" s="477" t="n"/>
      <c r="U498" s="477" t="n"/>
      <c r="V498" s="477" t="n"/>
      <c r="W498" s="477" t="n"/>
      <c r="X498" s="477" t="n"/>
      <c r="Y498" s="477" t="n"/>
      <c r="Z498" s="477" t="n"/>
    </row>
    <row r="499" ht="15.75" customHeight="1">
      <c r="A499" s="477" t="n"/>
      <c r="B499" s="477" t="n"/>
      <c r="C499" s="477" t="n"/>
      <c r="D499" s="477" t="n"/>
      <c r="E499" s="477" t="n"/>
      <c r="F499" s="477" t="n"/>
      <c r="G499" s="477" t="n"/>
      <c r="H499" s="505" t="n"/>
      <c r="I499" s="477" t="n"/>
      <c r="J499" s="477" t="n"/>
      <c r="K499" s="477" t="n"/>
      <c r="L499" s="477" t="n"/>
      <c r="M499" s="477" t="n"/>
      <c r="N499" s="477" t="n"/>
      <c r="O499" s="477" t="n"/>
      <c r="P499" s="477" t="n"/>
      <c r="Q499" s="477" t="n"/>
      <c r="R499" s="477" t="n"/>
      <c r="S499" s="477" t="n"/>
      <c r="T499" s="477" t="n"/>
      <c r="U499" s="477" t="n"/>
      <c r="V499" s="477" t="n"/>
      <c r="W499" s="477" t="n"/>
      <c r="X499" s="477" t="n"/>
      <c r="Y499" s="477" t="n"/>
      <c r="Z499" s="477" t="n"/>
    </row>
    <row r="500" ht="15.75" customHeight="1">
      <c r="A500" s="477" t="n"/>
      <c r="B500" s="477" t="n"/>
      <c r="C500" s="477" t="n"/>
      <c r="D500" s="477" t="n"/>
      <c r="E500" s="477" t="n"/>
      <c r="F500" s="477" t="n"/>
      <c r="G500" s="477" t="n"/>
      <c r="H500" s="505" t="n"/>
      <c r="I500" s="477" t="n"/>
      <c r="J500" s="477" t="n"/>
      <c r="K500" s="477" t="n"/>
      <c r="L500" s="477" t="n"/>
      <c r="M500" s="477" t="n"/>
      <c r="N500" s="477" t="n"/>
      <c r="O500" s="477" t="n"/>
      <c r="P500" s="477" t="n"/>
      <c r="Q500" s="477" t="n"/>
      <c r="R500" s="477" t="n"/>
      <c r="S500" s="477" t="n"/>
      <c r="T500" s="477" t="n"/>
      <c r="U500" s="477" t="n"/>
      <c r="V500" s="477" t="n"/>
      <c r="W500" s="477" t="n"/>
      <c r="X500" s="477" t="n"/>
      <c r="Y500" s="477" t="n"/>
      <c r="Z500" s="477" t="n"/>
    </row>
    <row r="501" ht="15.75" customHeight="1">
      <c r="A501" s="477" t="n"/>
      <c r="B501" s="477" t="n"/>
      <c r="C501" s="477" t="n"/>
      <c r="D501" s="477" t="n"/>
      <c r="E501" s="477" t="n"/>
      <c r="F501" s="477" t="n"/>
      <c r="G501" s="477" t="n"/>
      <c r="H501" s="505" t="n"/>
      <c r="I501" s="477" t="n"/>
      <c r="J501" s="477" t="n"/>
      <c r="K501" s="477" t="n"/>
      <c r="L501" s="477" t="n"/>
      <c r="M501" s="477" t="n"/>
      <c r="N501" s="477" t="n"/>
      <c r="O501" s="477" t="n"/>
      <c r="P501" s="477" t="n"/>
      <c r="Q501" s="477" t="n"/>
      <c r="R501" s="477" t="n"/>
      <c r="S501" s="477" t="n"/>
      <c r="T501" s="477" t="n"/>
      <c r="U501" s="477" t="n"/>
      <c r="V501" s="477" t="n"/>
      <c r="W501" s="477" t="n"/>
      <c r="X501" s="477" t="n"/>
      <c r="Y501" s="477" t="n"/>
      <c r="Z501" s="477" t="n"/>
    </row>
    <row r="502" ht="15.75" customHeight="1">
      <c r="A502" s="477" t="n"/>
      <c r="B502" s="477" t="n"/>
      <c r="C502" s="477" t="n"/>
      <c r="D502" s="477" t="n"/>
      <c r="E502" s="477" t="n"/>
      <c r="F502" s="477" t="n"/>
      <c r="G502" s="477" t="n"/>
      <c r="H502" s="505" t="n"/>
      <c r="I502" s="477" t="n"/>
      <c r="J502" s="477" t="n"/>
      <c r="K502" s="477" t="n"/>
      <c r="L502" s="477" t="n"/>
      <c r="M502" s="477" t="n"/>
      <c r="N502" s="477" t="n"/>
      <c r="O502" s="477" t="n"/>
      <c r="P502" s="477" t="n"/>
      <c r="Q502" s="477" t="n"/>
      <c r="R502" s="477" t="n"/>
      <c r="S502" s="477" t="n"/>
      <c r="T502" s="477" t="n"/>
      <c r="U502" s="477" t="n"/>
      <c r="V502" s="477" t="n"/>
      <c r="W502" s="477" t="n"/>
      <c r="X502" s="477" t="n"/>
      <c r="Y502" s="477" t="n"/>
      <c r="Z502" s="477" t="n"/>
    </row>
    <row r="503" ht="15.75" customHeight="1">
      <c r="A503" s="477" t="n"/>
      <c r="B503" s="477" t="n"/>
      <c r="C503" s="477" t="n"/>
      <c r="D503" s="477" t="n"/>
      <c r="E503" s="477" t="n"/>
      <c r="F503" s="477" t="n"/>
      <c r="G503" s="477" t="n"/>
      <c r="H503" s="505" t="n"/>
      <c r="I503" s="477" t="n"/>
      <c r="J503" s="477" t="n"/>
      <c r="K503" s="477" t="n"/>
      <c r="L503" s="477" t="n"/>
      <c r="M503" s="477" t="n"/>
      <c r="N503" s="477" t="n"/>
      <c r="O503" s="477" t="n"/>
      <c r="P503" s="477" t="n"/>
      <c r="Q503" s="477" t="n"/>
      <c r="R503" s="477" t="n"/>
      <c r="S503" s="477" t="n"/>
      <c r="T503" s="477" t="n"/>
      <c r="U503" s="477" t="n"/>
      <c r="V503" s="477" t="n"/>
      <c r="W503" s="477" t="n"/>
      <c r="X503" s="477" t="n"/>
      <c r="Y503" s="477" t="n"/>
      <c r="Z503" s="477" t="n"/>
    </row>
    <row r="504" ht="15.75" customHeight="1">
      <c r="A504" s="477" t="n"/>
      <c r="B504" s="477" t="n"/>
      <c r="C504" s="477" t="n"/>
      <c r="D504" s="477" t="n"/>
      <c r="E504" s="477" t="n"/>
      <c r="F504" s="477" t="n"/>
      <c r="G504" s="477" t="n"/>
      <c r="H504" s="505" t="n"/>
      <c r="I504" s="477" t="n"/>
      <c r="J504" s="477" t="n"/>
      <c r="K504" s="477" t="n"/>
      <c r="L504" s="477" t="n"/>
      <c r="M504" s="477" t="n"/>
      <c r="N504" s="477" t="n"/>
      <c r="O504" s="477" t="n"/>
      <c r="P504" s="477" t="n"/>
      <c r="Q504" s="477" t="n"/>
      <c r="R504" s="477" t="n"/>
      <c r="S504" s="477" t="n"/>
      <c r="T504" s="477" t="n"/>
      <c r="U504" s="477" t="n"/>
      <c r="V504" s="477" t="n"/>
      <c r="W504" s="477" t="n"/>
      <c r="X504" s="477" t="n"/>
      <c r="Y504" s="477" t="n"/>
      <c r="Z504" s="477" t="n"/>
    </row>
    <row r="505" ht="15.75" customHeight="1">
      <c r="A505" s="477" t="n"/>
      <c r="B505" s="477" t="n"/>
      <c r="C505" s="477" t="n"/>
      <c r="D505" s="477" t="n"/>
      <c r="E505" s="477" t="n"/>
      <c r="F505" s="477" t="n"/>
      <c r="G505" s="477" t="n"/>
      <c r="H505" s="505" t="n"/>
      <c r="I505" s="477" t="n"/>
      <c r="J505" s="477" t="n"/>
      <c r="K505" s="477" t="n"/>
      <c r="L505" s="477" t="n"/>
      <c r="M505" s="477" t="n"/>
      <c r="N505" s="477" t="n"/>
      <c r="O505" s="477" t="n"/>
      <c r="P505" s="477" t="n"/>
      <c r="Q505" s="477" t="n"/>
      <c r="R505" s="477" t="n"/>
      <c r="S505" s="477" t="n"/>
      <c r="T505" s="477" t="n"/>
      <c r="U505" s="477" t="n"/>
      <c r="V505" s="477" t="n"/>
      <c r="W505" s="477" t="n"/>
      <c r="X505" s="477" t="n"/>
      <c r="Y505" s="477" t="n"/>
      <c r="Z505" s="477" t="n"/>
    </row>
    <row r="506" ht="15.75" customHeight="1">
      <c r="A506" s="477" t="n"/>
      <c r="B506" s="477" t="n"/>
      <c r="C506" s="477" t="n"/>
      <c r="D506" s="477" t="n"/>
      <c r="E506" s="477" t="n"/>
      <c r="F506" s="477" t="n"/>
      <c r="G506" s="477" t="n"/>
      <c r="H506" s="505" t="n"/>
      <c r="I506" s="477" t="n"/>
      <c r="J506" s="477" t="n"/>
      <c r="K506" s="477" t="n"/>
      <c r="L506" s="477" t="n"/>
      <c r="M506" s="477" t="n"/>
      <c r="N506" s="477" t="n"/>
      <c r="O506" s="477" t="n"/>
      <c r="P506" s="477" t="n"/>
      <c r="Q506" s="477" t="n"/>
      <c r="R506" s="477" t="n"/>
      <c r="S506" s="477" t="n"/>
      <c r="T506" s="477" t="n"/>
      <c r="U506" s="477" t="n"/>
      <c r="V506" s="477" t="n"/>
      <c r="W506" s="477" t="n"/>
      <c r="X506" s="477" t="n"/>
      <c r="Y506" s="477" t="n"/>
      <c r="Z506" s="477" t="n"/>
    </row>
    <row r="507" ht="15.75" customHeight="1">
      <c r="A507" s="477" t="n"/>
      <c r="B507" s="477" t="n"/>
      <c r="C507" s="477" t="n"/>
      <c r="D507" s="477" t="n"/>
      <c r="E507" s="477" t="n"/>
      <c r="F507" s="477" t="n"/>
      <c r="G507" s="477" t="n"/>
      <c r="H507" s="505" t="n"/>
      <c r="I507" s="477" t="n"/>
      <c r="J507" s="477" t="n"/>
      <c r="K507" s="477" t="n"/>
      <c r="L507" s="477" t="n"/>
      <c r="M507" s="477" t="n"/>
      <c r="N507" s="477" t="n"/>
      <c r="O507" s="477" t="n"/>
      <c r="P507" s="477" t="n"/>
      <c r="Q507" s="477" t="n"/>
      <c r="R507" s="477" t="n"/>
      <c r="S507" s="477" t="n"/>
      <c r="T507" s="477" t="n"/>
      <c r="U507" s="477" t="n"/>
      <c r="V507" s="477" t="n"/>
      <c r="W507" s="477" t="n"/>
      <c r="X507" s="477" t="n"/>
      <c r="Y507" s="477" t="n"/>
      <c r="Z507" s="477" t="n"/>
    </row>
    <row r="508" ht="15.75" customHeight="1">
      <c r="A508" s="477" t="n"/>
      <c r="B508" s="477" t="n"/>
      <c r="C508" s="477" t="n"/>
      <c r="D508" s="477" t="n"/>
      <c r="E508" s="477" t="n"/>
      <c r="F508" s="477" t="n"/>
      <c r="G508" s="477" t="n"/>
      <c r="H508" s="505" t="n"/>
      <c r="I508" s="477" t="n"/>
      <c r="J508" s="477" t="n"/>
      <c r="K508" s="477" t="n"/>
      <c r="L508" s="477" t="n"/>
      <c r="M508" s="477" t="n"/>
      <c r="N508" s="477" t="n"/>
      <c r="O508" s="477" t="n"/>
      <c r="P508" s="477" t="n"/>
      <c r="Q508" s="477" t="n"/>
      <c r="R508" s="477" t="n"/>
      <c r="S508" s="477" t="n"/>
      <c r="T508" s="477" t="n"/>
      <c r="U508" s="477" t="n"/>
      <c r="V508" s="477" t="n"/>
      <c r="W508" s="477" t="n"/>
      <c r="X508" s="477" t="n"/>
      <c r="Y508" s="477" t="n"/>
      <c r="Z508" s="477" t="n"/>
    </row>
    <row r="509" ht="15.75" customHeight="1">
      <c r="A509" s="477" t="n"/>
      <c r="B509" s="477" t="n"/>
      <c r="C509" s="477" t="n"/>
      <c r="D509" s="477" t="n"/>
      <c r="E509" s="477" t="n"/>
      <c r="F509" s="477" t="n"/>
      <c r="G509" s="477" t="n"/>
      <c r="H509" s="505" t="n"/>
      <c r="I509" s="477" t="n"/>
      <c r="J509" s="477" t="n"/>
      <c r="K509" s="477" t="n"/>
      <c r="L509" s="477" t="n"/>
      <c r="M509" s="477" t="n"/>
      <c r="N509" s="477" t="n"/>
      <c r="O509" s="477" t="n"/>
      <c r="P509" s="477" t="n"/>
      <c r="Q509" s="477" t="n"/>
      <c r="R509" s="477" t="n"/>
      <c r="S509" s="477" t="n"/>
      <c r="T509" s="477" t="n"/>
      <c r="U509" s="477" t="n"/>
      <c r="V509" s="477" t="n"/>
      <c r="W509" s="477" t="n"/>
      <c r="X509" s="477" t="n"/>
      <c r="Y509" s="477" t="n"/>
      <c r="Z509" s="477" t="n"/>
    </row>
    <row r="510" ht="15.75" customHeight="1">
      <c r="A510" s="477" t="n"/>
      <c r="B510" s="477" t="n"/>
      <c r="C510" s="477" t="n"/>
      <c r="D510" s="477" t="n"/>
      <c r="E510" s="477" t="n"/>
      <c r="F510" s="477" t="n"/>
      <c r="G510" s="477" t="n"/>
      <c r="H510" s="505" t="n"/>
      <c r="I510" s="477" t="n"/>
      <c r="J510" s="477" t="n"/>
      <c r="K510" s="477" t="n"/>
      <c r="L510" s="477" t="n"/>
      <c r="M510" s="477" t="n"/>
      <c r="N510" s="477" t="n"/>
      <c r="O510" s="477" t="n"/>
      <c r="P510" s="477" t="n"/>
      <c r="Q510" s="477" t="n"/>
      <c r="R510" s="477" t="n"/>
      <c r="S510" s="477" t="n"/>
      <c r="T510" s="477" t="n"/>
      <c r="U510" s="477" t="n"/>
      <c r="V510" s="477" t="n"/>
      <c r="W510" s="477" t="n"/>
      <c r="X510" s="477" t="n"/>
      <c r="Y510" s="477" t="n"/>
      <c r="Z510" s="477" t="n"/>
    </row>
    <row r="511" ht="15.75" customHeight="1">
      <c r="A511" s="477" t="n"/>
      <c r="B511" s="477" t="n"/>
      <c r="C511" s="477" t="n"/>
      <c r="D511" s="477" t="n"/>
      <c r="E511" s="477" t="n"/>
      <c r="F511" s="477" t="n"/>
      <c r="G511" s="477" t="n"/>
      <c r="H511" s="505" t="n"/>
      <c r="I511" s="477" t="n"/>
      <c r="J511" s="477" t="n"/>
      <c r="K511" s="477" t="n"/>
      <c r="L511" s="477" t="n"/>
      <c r="M511" s="477" t="n"/>
      <c r="N511" s="477" t="n"/>
      <c r="O511" s="477" t="n"/>
      <c r="P511" s="477" t="n"/>
      <c r="Q511" s="477" t="n"/>
      <c r="R511" s="477" t="n"/>
      <c r="S511" s="477" t="n"/>
      <c r="T511" s="477" t="n"/>
      <c r="U511" s="477" t="n"/>
      <c r="V511" s="477" t="n"/>
      <c r="W511" s="477" t="n"/>
      <c r="X511" s="477" t="n"/>
      <c r="Y511" s="477" t="n"/>
      <c r="Z511" s="477" t="n"/>
    </row>
    <row r="512" ht="15.75" customHeight="1">
      <c r="A512" s="477" t="n"/>
      <c r="B512" s="477" t="n"/>
      <c r="C512" s="477" t="n"/>
      <c r="D512" s="477" t="n"/>
      <c r="E512" s="477" t="n"/>
      <c r="F512" s="477" t="n"/>
      <c r="G512" s="477" t="n"/>
      <c r="H512" s="505" t="n"/>
      <c r="I512" s="477" t="n"/>
      <c r="J512" s="477" t="n"/>
      <c r="K512" s="477" t="n"/>
      <c r="L512" s="477" t="n"/>
      <c r="M512" s="477" t="n"/>
      <c r="N512" s="477" t="n"/>
      <c r="O512" s="477" t="n"/>
      <c r="P512" s="477" t="n"/>
      <c r="Q512" s="477" t="n"/>
      <c r="R512" s="477" t="n"/>
      <c r="S512" s="477" t="n"/>
      <c r="T512" s="477" t="n"/>
      <c r="U512" s="477" t="n"/>
      <c r="V512" s="477" t="n"/>
      <c r="W512" s="477" t="n"/>
      <c r="X512" s="477" t="n"/>
      <c r="Y512" s="477" t="n"/>
      <c r="Z512" s="477" t="n"/>
    </row>
    <row r="513" ht="15.75" customHeight="1">
      <c r="A513" s="477" t="n"/>
      <c r="B513" s="477" t="n"/>
      <c r="C513" s="477" t="n"/>
      <c r="D513" s="477" t="n"/>
      <c r="E513" s="477" t="n"/>
      <c r="F513" s="477" t="n"/>
      <c r="G513" s="477" t="n"/>
      <c r="H513" s="505" t="n"/>
      <c r="I513" s="477" t="n"/>
      <c r="J513" s="477" t="n"/>
      <c r="K513" s="477" t="n"/>
      <c r="L513" s="477" t="n"/>
      <c r="M513" s="477" t="n"/>
      <c r="N513" s="477" t="n"/>
      <c r="O513" s="477" t="n"/>
      <c r="P513" s="477" t="n"/>
      <c r="Q513" s="477" t="n"/>
      <c r="R513" s="477" t="n"/>
      <c r="S513" s="477" t="n"/>
      <c r="T513" s="477" t="n"/>
      <c r="U513" s="477" t="n"/>
      <c r="V513" s="477" t="n"/>
      <c r="W513" s="477" t="n"/>
      <c r="X513" s="477" t="n"/>
      <c r="Y513" s="477" t="n"/>
      <c r="Z513" s="477" t="n"/>
    </row>
    <row r="514" ht="15.75" customHeight="1">
      <c r="A514" s="477" t="n"/>
      <c r="B514" s="477" t="n"/>
      <c r="C514" s="477" t="n"/>
      <c r="D514" s="477" t="n"/>
      <c r="E514" s="477" t="n"/>
      <c r="F514" s="477" t="n"/>
      <c r="G514" s="477" t="n"/>
      <c r="H514" s="505" t="n"/>
      <c r="I514" s="477" t="n"/>
      <c r="J514" s="477" t="n"/>
      <c r="K514" s="477" t="n"/>
      <c r="L514" s="477" t="n"/>
      <c r="M514" s="477" t="n"/>
      <c r="N514" s="477" t="n"/>
      <c r="O514" s="477" t="n"/>
      <c r="P514" s="477" t="n"/>
      <c r="Q514" s="477" t="n"/>
      <c r="R514" s="477" t="n"/>
      <c r="S514" s="477" t="n"/>
      <c r="T514" s="477" t="n"/>
      <c r="U514" s="477" t="n"/>
      <c r="V514" s="477" t="n"/>
      <c r="W514" s="477" t="n"/>
      <c r="X514" s="477" t="n"/>
      <c r="Y514" s="477" t="n"/>
      <c r="Z514" s="477" t="n"/>
    </row>
    <row r="515" ht="15.75" customHeight="1">
      <c r="A515" s="477" t="n"/>
      <c r="B515" s="477" t="n"/>
      <c r="C515" s="477" t="n"/>
      <c r="D515" s="477" t="n"/>
      <c r="E515" s="477" t="n"/>
      <c r="F515" s="477" t="n"/>
      <c r="G515" s="477" t="n"/>
      <c r="H515" s="505" t="n"/>
      <c r="I515" s="477" t="n"/>
      <c r="J515" s="477" t="n"/>
      <c r="K515" s="477" t="n"/>
      <c r="L515" s="477" t="n"/>
      <c r="M515" s="477" t="n"/>
      <c r="N515" s="477" t="n"/>
      <c r="O515" s="477" t="n"/>
      <c r="P515" s="477" t="n"/>
      <c r="Q515" s="477" t="n"/>
      <c r="R515" s="477" t="n"/>
      <c r="S515" s="477" t="n"/>
      <c r="T515" s="477" t="n"/>
      <c r="U515" s="477" t="n"/>
      <c r="V515" s="477" t="n"/>
      <c r="W515" s="477" t="n"/>
      <c r="X515" s="477" t="n"/>
      <c r="Y515" s="477" t="n"/>
      <c r="Z515" s="477" t="n"/>
    </row>
    <row r="516" ht="15.75" customHeight="1">
      <c r="A516" s="477" t="n"/>
      <c r="B516" s="477" t="n"/>
      <c r="C516" s="477" t="n"/>
      <c r="D516" s="477" t="n"/>
      <c r="E516" s="477" t="n"/>
      <c r="F516" s="477" t="n"/>
      <c r="G516" s="477" t="n"/>
      <c r="H516" s="505" t="n"/>
      <c r="I516" s="477" t="n"/>
      <c r="J516" s="477" t="n"/>
      <c r="K516" s="477" t="n"/>
      <c r="L516" s="477" t="n"/>
      <c r="M516" s="477" t="n"/>
      <c r="N516" s="477" t="n"/>
      <c r="O516" s="477" t="n"/>
      <c r="P516" s="477" t="n"/>
      <c r="Q516" s="477" t="n"/>
      <c r="R516" s="477" t="n"/>
      <c r="S516" s="477" t="n"/>
      <c r="T516" s="477" t="n"/>
      <c r="U516" s="477" t="n"/>
      <c r="V516" s="477" t="n"/>
      <c r="W516" s="477" t="n"/>
      <c r="X516" s="477" t="n"/>
      <c r="Y516" s="477" t="n"/>
      <c r="Z516" s="477" t="n"/>
    </row>
    <row r="517" ht="15.75" customHeight="1">
      <c r="A517" s="477" t="n"/>
      <c r="B517" s="477" t="n"/>
      <c r="C517" s="477" t="n"/>
      <c r="D517" s="477" t="n"/>
      <c r="E517" s="477" t="n"/>
      <c r="F517" s="477" t="n"/>
      <c r="G517" s="477" t="n"/>
      <c r="H517" s="505" t="n"/>
      <c r="I517" s="477" t="n"/>
      <c r="J517" s="477" t="n"/>
      <c r="K517" s="477" t="n"/>
      <c r="L517" s="477" t="n"/>
      <c r="M517" s="477" t="n"/>
      <c r="N517" s="477" t="n"/>
      <c r="O517" s="477" t="n"/>
      <c r="P517" s="477" t="n"/>
      <c r="Q517" s="477" t="n"/>
      <c r="R517" s="477" t="n"/>
      <c r="S517" s="477" t="n"/>
      <c r="T517" s="477" t="n"/>
      <c r="U517" s="477" t="n"/>
      <c r="V517" s="477" t="n"/>
      <c r="W517" s="477" t="n"/>
      <c r="X517" s="477" t="n"/>
      <c r="Y517" s="477" t="n"/>
      <c r="Z517" s="477" t="n"/>
    </row>
    <row r="518" ht="15.75" customHeight="1">
      <c r="A518" s="477" t="n"/>
      <c r="B518" s="477" t="n"/>
      <c r="C518" s="477" t="n"/>
      <c r="D518" s="477" t="n"/>
      <c r="E518" s="477" t="n"/>
      <c r="F518" s="477" t="n"/>
      <c r="G518" s="477" t="n"/>
      <c r="H518" s="505" t="n"/>
      <c r="I518" s="477" t="n"/>
      <c r="J518" s="477" t="n"/>
      <c r="K518" s="477" t="n"/>
      <c r="L518" s="477" t="n"/>
      <c r="M518" s="477" t="n"/>
      <c r="N518" s="477" t="n"/>
      <c r="O518" s="477" t="n"/>
      <c r="P518" s="477" t="n"/>
      <c r="Q518" s="477" t="n"/>
      <c r="R518" s="477" t="n"/>
      <c r="S518" s="477" t="n"/>
      <c r="T518" s="477" t="n"/>
      <c r="U518" s="477" t="n"/>
      <c r="V518" s="477" t="n"/>
      <c r="W518" s="477" t="n"/>
      <c r="X518" s="477" t="n"/>
      <c r="Y518" s="477" t="n"/>
      <c r="Z518" s="477" t="n"/>
    </row>
    <row r="519" ht="15.75" customHeight="1">
      <c r="A519" s="477" t="n"/>
      <c r="B519" s="477" t="n"/>
      <c r="C519" s="477" t="n"/>
      <c r="D519" s="477" t="n"/>
      <c r="E519" s="477" t="n"/>
      <c r="F519" s="477" t="n"/>
      <c r="G519" s="477" t="n"/>
      <c r="H519" s="505" t="n"/>
      <c r="I519" s="477" t="n"/>
      <c r="J519" s="477" t="n"/>
      <c r="K519" s="477" t="n"/>
      <c r="L519" s="477" t="n"/>
      <c r="M519" s="477" t="n"/>
      <c r="N519" s="477" t="n"/>
      <c r="O519" s="477" t="n"/>
      <c r="P519" s="477" t="n"/>
      <c r="Q519" s="477" t="n"/>
      <c r="R519" s="477" t="n"/>
      <c r="S519" s="477" t="n"/>
      <c r="T519" s="477" t="n"/>
      <c r="U519" s="477" t="n"/>
      <c r="V519" s="477" t="n"/>
      <c r="W519" s="477" t="n"/>
      <c r="X519" s="477" t="n"/>
      <c r="Y519" s="477" t="n"/>
      <c r="Z519" s="477" t="n"/>
    </row>
    <row r="520" ht="15.75" customHeight="1">
      <c r="A520" s="477" t="n"/>
      <c r="B520" s="477" t="n"/>
      <c r="C520" s="477" t="n"/>
      <c r="D520" s="477" t="n"/>
      <c r="E520" s="477" t="n"/>
      <c r="F520" s="477" t="n"/>
      <c r="G520" s="477" t="n"/>
      <c r="H520" s="505" t="n"/>
      <c r="I520" s="477" t="n"/>
      <c r="J520" s="477" t="n"/>
      <c r="K520" s="477" t="n"/>
      <c r="L520" s="477" t="n"/>
      <c r="M520" s="477" t="n"/>
      <c r="N520" s="477" t="n"/>
      <c r="O520" s="477" t="n"/>
      <c r="P520" s="477" t="n"/>
      <c r="Q520" s="477" t="n"/>
      <c r="R520" s="477" t="n"/>
      <c r="S520" s="477" t="n"/>
      <c r="T520" s="477" t="n"/>
      <c r="U520" s="477" t="n"/>
      <c r="V520" s="477" t="n"/>
      <c r="W520" s="477" t="n"/>
      <c r="X520" s="477" t="n"/>
      <c r="Y520" s="477" t="n"/>
      <c r="Z520" s="477" t="n"/>
    </row>
    <row r="521" ht="15.75" customHeight="1">
      <c r="A521" s="477" t="n"/>
      <c r="B521" s="477" t="n"/>
      <c r="C521" s="477" t="n"/>
      <c r="D521" s="477" t="n"/>
      <c r="E521" s="477" t="n"/>
      <c r="F521" s="477" t="n"/>
      <c r="G521" s="477" t="n"/>
      <c r="H521" s="505" t="n"/>
      <c r="I521" s="477" t="n"/>
      <c r="J521" s="477" t="n"/>
      <c r="K521" s="477" t="n"/>
      <c r="L521" s="477" t="n"/>
      <c r="M521" s="477" t="n"/>
      <c r="N521" s="477" t="n"/>
      <c r="O521" s="477" t="n"/>
      <c r="P521" s="477" t="n"/>
      <c r="Q521" s="477" t="n"/>
      <c r="R521" s="477" t="n"/>
      <c r="S521" s="477" t="n"/>
      <c r="T521" s="477" t="n"/>
      <c r="U521" s="477" t="n"/>
      <c r="V521" s="477" t="n"/>
      <c r="W521" s="477" t="n"/>
      <c r="X521" s="477" t="n"/>
      <c r="Y521" s="477" t="n"/>
      <c r="Z521" s="477" t="n"/>
    </row>
    <row r="522" ht="15.75" customHeight="1">
      <c r="A522" s="477" t="n"/>
      <c r="B522" s="477" t="n"/>
      <c r="C522" s="477" t="n"/>
      <c r="D522" s="477" t="n"/>
      <c r="E522" s="477" t="n"/>
      <c r="F522" s="477" t="n"/>
      <c r="G522" s="477" t="n"/>
      <c r="H522" s="505" t="n"/>
      <c r="I522" s="477" t="n"/>
      <c r="J522" s="477" t="n"/>
      <c r="K522" s="477" t="n"/>
      <c r="L522" s="477" t="n"/>
      <c r="M522" s="477" t="n"/>
      <c r="N522" s="477" t="n"/>
      <c r="O522" s="477" t="n"/>
      <c r="P522" s="477" t="n"/>
      <c r="Q522" s="477" t="n"/>
      <c r="R522" s="477" t="n"/>
      <c r="S522" s="477" t="n"/>
      <c r="T522" s="477" t="n"/>
      <c r="U522" s="477" t="n"/>
      <c r="V522" s="477" t="n"/>
      <c r="W522" s="477" t="n"/>
      <c r="X522" s="477" t="n"/>
      <c r="Y522" s="477" t="n"/>
      <c r="Z522" s="477" t="n"/>
    </row>
    <row r="523" ht="15.75" customHeight="1">
      <c r="A523" s="477" t="n"/>
      <c r="B523" s="477" t="n"/>
      <c r="C523" s="477" t="n"/>
      <c r="D523" s="477" t="n"/>
      <c r="E523" s="477" t="n"/>
      <c r="F523" s="477" t="n"/>
      <c r="G523" s="477" t="n"/>
      <c r="H523" s="505" t="n"/>
      <c r="I523" s="477" t="n"/>
      <c r="J523" s="477" t="n"/>
      <c r="K523" s="477" t="n"/>
      <c r="L523" s="477" t="n"/>
      <c r="M523" s="477" t="n"/>
      <c r="N523" s="477" t="n"/>
      <c r="O523" s="477" t="n"/>
      <c r="P523" s="477" t="n"/>
      <c r="Q523" s="477" t="n"/>
      <c r="R523" s="477" t="n"/>
      <c r="S523" s="477" t="n"/>
      <c r="T523" s="477" t="n"/>
      <c r="U523" s="477" t="n"/>
      <c r="V523" s="477" t="n"/>
      <c r="W523" s="477" t="n"/>
      <c r="X523" s="477" t="n"/>
      <c r="Y523" s="477" t="n"/>
      <c r="Z523" s="477" t="n"/>
    </row>
    <row r="524" ht="15.75" customHeight="1">
      <c r="A524" s="477" t="n"/>
      <c r="B524" s="477" t="n"/>
      <c r="C524" s="477" t="n"/>
      <c r="D524" s="477" t="n"/>
      <c r="E524" s="477" t="n"/>
      <c r="F524" s="477" t="n"/>
      <c r="G524" s="477" t="n"/>
      <c r="H524" s="505" t="n"/>
      <c r="I524" s="477" t="n"/>
      <c r="J524" s="477" t="n"/>
      <c r="K524" s="477" t="n"/>
      <c r="L524" s="477" t="n"/>
      <c r="M524" s="477" t="n"/>
      <c r="N524" s="477" t="n"/>
      <c r="O524" s="477" t="n"/>
      <c r="P524" s="477" t="n"/>
      <c r="Q524" s="477" t="n"/>
      <c r="R524" s="477" t="n"/>
      <c r="S524" s="477" t="n"/>
      <c r="T524" s="477" t="n"/>
      <c r="U524" s="477" t="n"/>
      <c r="V524" s="477" t="n"/>
      <c r="W524" s="477" t="n"/>
      <c r="X524" s="477" t="n"/>
      <c r="Y524" s="477" t="n"/>
      <c r="Z524" s="477" t="n"/>
    </row>
    <row r="525" ht="15.75" customHeight="1">
      <c r="A525" s="477" t="n"/>
      <c r="B525" s="477" t="n"/>
      <c r="C525" s="477" t="n"/>
      <c r="D525" s="477" t="n"/>
      <c r="E525" s="477" t="n"/>
      <c r="F525" s="477" t="n"/>
      <c r="G525" s="477" t="n"/>
      <c r="H525" s="505" t="n"/>
      <c r="I525" s="477" t="n"/>
      <c r="J525" s="477" t="n"/>
      <c r="K525" s="477" t="n"/>
      <c r="L525" s="477" t="n"/>
      <c r="M525" s="477" t="n"/>
      <c r="N525" s="477" t="n"/>
      <c r="O525" s="477" t="n"/>
      <c r="P525" s="477" t="n"/>
      <c r="Q525" s="477" t="n"/>
      <c r="R525" s="477" t="n"/>
      <c r="S525" s="477" t="n"/>
      <c r="T525" s="477" t="n"/>
      <c r="U525" s="477" t="n"/>
      <c r="V525" s="477" t="n"/>
      <c r="W525" s="477" t="n"/>
      <c r="X525" s="477" t="n"/>
      <c r="Y525" s="477" t="n"/>
      <c r="Z525" s="477" t="n"/>
    </row>
    <row r="526" ht="15.75" customHeight="1">
      <c r="A526" s="477" t="n"/>
      <c r="B526" s="477" t="n"/>
      <c r="C526" s="477" t="n"/>
      <c r="D526" s="477" t="n"/>
      <c r="E526" s="477" t="n"/>
      <c r="F526" s="477" t="n"/>
      <c r="G526" s="477" t="n"/>
      <c r="H526" s="505" t="n"/>
      <c r="I526" s="477" t="n"/>
      <c r="J526" s="477" t="n"/>
      <c r="K526" s="477" t="n"/>
      <c r="L526" s="477" t="n"/>
      <c r="M526" s="477" t="n"/>
      <c r="N526" s="477" t="n"/>
      <c r="O526" s="477" t="n"/>
      <c r="P526" s="477" t="n"/>
      <c r="Q526" s="477" t="n"/>
      <c r="R526" s="477" t="n"/>
      <c r="S526" s="477" t="n"/>
      <c r="T526" s="477" t="n"/>
      <c r="U526" s="477" t="n"/>
      <c r="V526" s="477" t="n"/>
      <c r="W526" s="477" t="n"/>
      <c r="X526" s="477" t="n"/>
      <c r="Y526" s="477" t="n"/>
      <c r="Z526" s="477" t="n"/>
    </row>
    <row r="527" ht="15.75" customHeight="1">
      <c r="A527" s="477" t="n"/>
      <c r="B527" s="477" t="n"/>
      <c r="C527" s="477" t="n"/>
      <c r="D527" s="477" t="n"/>
      <c r="E527" s="477" t="n"/>
      <c r="F527" s="477" t="n"/>
      <c r="G527" s="477" t="n"/>
      <c r="H527" s="505" t="n"/>
      <c r="I527" s="477" t="n"/>
      <c r="J527" s="477" t="n"/>
      <c r="K527" s="477" t="n"/>
      <c r="L527" s="477" t="n"/>
      <c r="M527" s="477" t="n"/>
      <c r="N527" s="477" t="n"/>
      <c r="O527" s="477" t="n"/>
      <c r="P527" s="477" t="n"/>
      <c r="Q527" s="477" t="n"/>
      <c r="R527" s="477" t="n"/>
      <c r="S527" s="477" t="n"/>
      <c r="T527" s="477" t="n"/>
      <c r="U527" s="477" t="n"/>
      <c r="V527" s="477" t="n"/>
      <c r="W527" s="477" t="n"/>
      <c r="X527" s="477" t="n"/>
      <c r="Y527" s="477" t="n"/>
      <c r="Z527" s="477" t="n"/>
    </row>
    <row r="528" ht="15.75" customHeight="1">
      <c r="A528" s="477" t="n"/>
      <c r="B528" s="477" t="n"/>
      <c r="C528" s="477" t="n"/>
      <c r="D528" s="477" t="n"/>
      <c r="E528" s="477" t="n"/>
      <c r="F528" s="477" t="n"/>
      <c r="G528" s="477" t="n"/>
      <c r="H528" s="505" t="n"/>
      <c r="I528" s="477" t="n"/>
      <c r="J528" s="477" t="n"/>
      <c r="K528" s="477" t="n"/>
      <c r="L528" s="477" t="n"/>
      <c r="M528" s="477" t="n"/>
      <c r="N528" s="477" t="n"/>
      <c r="O528" s="477" t="n"/>
      <c r="P528" s="477" t="n"/>
      <c r="Q528" s="477" t="n"/>
      <c r="R528" s="477" t="n"/>
      <c r="S528" s="477" t="n"/>
      <c r="T528" s="477" t="n"/>
      <c r="U528" s="477" t="n"/>
      <c r="V528" s="477" t="n"/>
      <c r="W528" s="477" t="n"/>
      <c r="X528" s="477" t="n"/>
      <c r="Y528" s="477" t="n"/>
      <c r="Z528" s="477" t="n"/>
    </row>
    <row r="529" ht="15.75" customHeight="1">
      <c r="A529" s="477" t="n"/>
      <c r="B529" s="477" t="n"/>
      <c r="C529" s="477" t="n"/>
      <c r="D529" s="477" t="n"/>
      <c r="E529" s="477" t="n"/>
      <c r="F529" s="477" t="n"/>
      <c r="G529" s="477" t="n"/>
      <c r="H529" s="505" t="n"/>
      <c r="I529" s="477" t="n"/>
      <c r="J529" s="477" t="n"/>
      <c r="K529" s="477" t="n"/>
      <c r="L529" s="477" t="n"/>
      <c r="M529" s="477" t="n"/>
      <c r="N529" s="477" t="n"/>
      <c r="O529" s="477" t="n"/>
      <c r="P529" s="477" t="n"/>
      <c r="Q529" s="477" t="n"/>
      <c r="R529" s="477" t="n"/>
      <c r="S529" s="477" t="n"/>
      <c r="T529" s="477" t="n"/>
      <c r="U529" s="477" t="n"/>
      <c r="V529" s="477" t="n"/>
      <c r="W529" s="477" t="n"/>
      <c r="X529" s="477" t="n"/>
      <c r="Y529" s="477" t="n"/>
      <c r="Z529" s="477" t="n"/>
    </row>
    <row r="530" ht="15.75" customHeight="1">
      <c r="A530" s="477" t="n"/>
      <c r="B530" s="477" t="n"/>
      <c r="C530" s="477" t="n"/>
      <c r="D530" s="477" t="n"/>
      <c r="E530" s="477" t="n"/>
      <c r="F530" s="477" t="n"/>
      <c r="G530" s="477" t="n"/>
      <c r="H530" s="505" t="n"/>
      <c r="I530" s="477" t="n"/>
      <c r="J530" s="477" t="n"/>
      <c r="K530" s="477" t="n"/>
      <c r="L530" s="477" t="n"/>
      <c r="M530" s="477" t="n"/>
      <c r="N530" s="477" t="n"/>
      <c r="O530" s="477" t="n"/>
      <c r="P530" s="477" t="n"/>
      <c r="Q530" s="477" t="n"/>
      <c r="R530" s="477" t="n"/>
      <c r="S530" s="477" t="n"/>
      <c r="T530" s="477" t="n"/>
      <c r="U530" s="477" t="n"/>
      <c r="V530" s="477" t="n"/>
      <c r="W530" s="477" t="n"/>
      <c r="X530" s="477" t="n"/>
      <c r="Y530" s="477" t="n"/>
      <c r="Z530" s="477" t="n"/>
    </row>
    <row r="531" ht="15.75" customHeight="1">
      <c r="A531" s="477" t="n"/>
      <c r="B531" s="477" t="n"/>
      <c r="C531" s="477" t="n"/>
      <c r="D531" s="477" t="n"/>
      <c r="E531" s="477" t="n"/>
      <c r="F531" s="477" t="n"/>
      <c r="G531" s="477" t="n"/>
      <c r="H531" s="505" t="n"/>
      <c r="I531" s="477" t="n"/>
      <c r="J531" s="477" t="n"/>
      <c r="K531" s="477" t="n"/>
      <c r="L531" s="477" t="n"/>
      <c r="M531" s="477" t="n"/>
      <c r="N531" s="477" t="n"/>
      <c r="O531" s="477" t="n"/>
      <c r="P531" s="477" t="n"/>
      <c r="Q531" s="477" t="n"/>
      <c r="R531" s="477" t="n"/>
      <c r="S531" s="477" t="n"/>
      <c r="T531" s="477" t="n"/>
      <c r="U531" s="477" t="n"/>
      <c r="V531" s="477" t="n"/>
      <c r="W531" s="477" t="n"/>
      <c r="X531" s="477" t="n"/>
      <c r="Y531" s="477" t="n"/>
      <c r="Z531" s="477" t="n"/>
    </row>
    <row r="532" ht="15.75" customHeight="1">
      <c r="A532" s="477" t="n"/>
      <c r="B532" s="477" t="n"/>
      <c r="C532" s="477" t="n"/>
      <c r="D532" s="477" t="n"/>
      <c r="E532" s="477" t="n"/>
      <c r="F532" s="477" t="n"/>
      <c r="G532" s="477" t="n"/>
      <c r="H532" s="505" t="n"/>
      <c r="I532" s="477" t="n"/>
      <c r="J532" s="477" t="n"/>
      <c r="K532" s="477" t="n"/>
      <c r="L532" s="477" t="n"/>
      <c r="M532" s="477" t="n"/>
      <c r="N532" s="477" t="n"/>
      <c r="O532" s="477" t="n"/>
      <c r="P532" s="477" t="n"/>
      <c r="Q532" s="477" t="n"/>
      <c r="R532" s="477" t="n"/>
      <c r="S532" s="477" t="n"/>
      <c r="T532" s="477" t="n"/>
      <c r="U532" s="477" t="n"/>
      <c r="V532" s="477" t="n"/>
      <c r="W532" s="477" t="n"/>
      <c r="X532" s="477" t="n"/>
      <c r="Y532" s="477" t="n"/>
      <c r="Z532" s="477" t="n"/>
    </row>
    <row r="533" ht="15.75" customHeight="1">
      <c r="A533" s="477" t="n"/>
      <c r="B533" s="477" t="n"/>
      <c r="C533" s="477" t="n"/>
      <c r="D533" s="477" t="n"/>
      <c r="E533" s="477" t="n"/>
      <c r="F533" s="477" t="n"/>
      <c r="G533" s="477" t="n"/>
      <c r="H533" s="505" t="n"/>
      <c r="I533" s="477" t="n"/>
      <c r="J533" s="477" t="n"/>
      <c r="K533" s="477" t="n"/>
      <c r="L533" s="477" t="n"/>
      <c r="M533" s="477" t="n"/>
      <c r="N533" s="477" t="n"/>
      <c r="O533" s="477" t="n"/>
      <c r="P533" s="477" t="n"/>
      <c r="Q533" s="477" t="n"/>
      <c r="R533" s="477" t="n"/>
      <c r="S533" s="477" t="n"/>
      <c r="T533" s="477" t="n"/>
      <c r="U533" s="477" t="n"/>
      <c r="V533" s="477" t="n"/>
      <c r="W533" s="477" t="n"/>
      <c r="X533" s="477" t="n"/>
      <c r="Y533" s="477" t="n"/>
      <c r="Z533" s="477" t="n"/>
    </row>
    <row r="534" ht="15.75" customHeight="1">
      <c r="A534" s="477" t="n"/>
      <c r="B534" s="477" t="n"/>
      <c r="C534" s="477" t="n"/>
      <c r="D534" s="477" t="n"/>
      <c r="E534" s="477" t="n"/>
      <c r="F534" s="477" t="n"/>
      <c r="G534" s="477" t="n"/>
      <c r="H534" s="505" t="n"/>
      <c r="I534" s="477" t="n"/>
      <c r="J534" s="477" t="n"/>
      <c r="K534" s="477" t="n"/>
      <c r="L534" s="477" t="n"/>
      <c r="M534" s="477" t="n"/>
      <c r="N534" s="477" t="n"/>
      <c r="O534" s="477" t="n"/>
      <c r="P534" s="477" t="n"/>
      <c r="Q534" s="477" t="n"/>
      <c r="R534" s="477" t="n"/>
      <c r="S534" s="477" t="n"/>
      <c r="T534" s="477" t="n"/>
      <c r="U534" s="477" t="n"/>
      <c r="V534" s="477" t="n"/>
      <c r="W534" s="477" t="n"/>
      <c r="X534" s="477" t="n"/>
      <c r="Y534" s="477" t="n"/>
      <c r="Z534" s="477" t="n"/>
    </row>
    <row r="535" ht="15.75" customHeight="1">
      <c r="A535" s="477" t="n"/>
      <c r="B535" s="477" t="n"/>
      <c r="C535" s="477" t="n"/>
      <c r="D535" s="477" t="n"/>
      <c r="E535" s="477" t="n"/>
      <c r="F535" s="477" t="n"/>
      <c r="G535" s="477" t="n"/>
      <c r="H535" s="505" t="n"/>
      <c r="I535" s="477" t="n"/>
      <c r="J535" s="477" t="n"/>
      <c r="K535" s="477" t="n"/>
      <c r="L535" s="477" t="n"/>
      <c r="M535" s="477" t="n"/>
      <c r="N535" s="477" t="n"/>
      <c r="O535" s="477" t="n"/>
      <c r="P535" s="477" t="n"/>
      <c r="Q535" s="477" t="n"/>
      <c r="R535" s="477" t="n"/>
      <c r="S535" s="477" t="n"/>
      <c r="T535" s="477" t="n"/>
      <c r="U535" s="477" t="n"/>
      <c r="V535" s="477" t="n"/>
      <c r="W535" s="477" t="n"/>
      <c r="X535" s="477" t="n"/>
      <c r="Y535" s="477" t="n"/>
      <c r="Z535" s="477" t="n"/>
    </row>
    <row r="536" ht="15.75" customHeight="1">
      <c r="A536" s="477" t="n"/>
      <c r="B536" s="477" t="n"/>
      <c r="C536" s="477" t="n"/>
      <c r="D536" s="477" t="n"/>
      <c r="E536" s="477" t="n"/>
      <c r="F536" s="477" t="n"/>
      <c r="G536" s="477" t="n"/>
      <c r="H536" s="505" t="n"/>
      <c r="I536" s="477" t="n"/>
      <c r="J536" s="477" t="n"/>
      <c r="K536" s="477" t="n"/>
      <c r="L536" s="477" t="n"/>
      <c r="M536" s="477" t="n"/>
      <c r="N536" s="477" t="n"/>
      <c r="O536" s="477" t="n"/>
      <c r="P536" s="477" t="n"/>
      <c r="Q536" s="477" t="n"/>
      <c r="R536" s="477" t="n"/>
      <c r="S536" s="477" t="n"/>
      <c r="T536" s="477" t="n"/>
      <c r="U536" s="477" t="n"/>
      <c r="V536" s="477" t="n"/>
      <c r="W536" s="477" t="n"/>
      <c r="X536" s="477" t="n"/>
      <c r="Y536" s="477" t="n"/>
      <c r="Z536" s="477" t="n"/>
    </row>
    <row r="537" ht="15.75" customHeight="1">
      <c r="A537" s="477" t="n"/>
      <c r="B537" s="477" t="n"/>
      <c r="C537" s="477" t="n"/>
      <c r="D537" s="477" t="n"/>
      <c r="E537" s="477" t="n"/>
      <c r="F537" s="477" t="n"/>
      <c r="G537" s="477" t="n"/>
      <c r="H537" s="505" t="n"/>
      <c r="I537" s="477" t="n"/>
      <c r="J537" s="477" t="n"/>
      <c r="K537" s="477" t="n"/>
      <c r="L537" s="477" t="n"/>
      <c r="M537" s="477" t="n"/>
      <c r="N537" s="477" t="n"/>
      <c r="O537" s="477" t="n"/>
      <c r="P537" s="477" t="n"/>
      <c r="Q537" s="477" t="n"/>
      <c r="R537" s="477" t="n"/>
      <c r="S537" s="477" t="n"/>
      <c r="T537" s="477" t="n"/>
      <c r="U537" s="477" t="n"/>
      <c r="V537" s="477" t="n"/>
      <c r="W537" s="477" t="n"/>
      <c r="X537" s="477" t="n"/>
      <c r="Y537" s="477" t="n"/>
      <c r="Z537" s="477" t="n"/>
    </row>
    <row r="538" ht="15.75" customHeight="1">
      <c r="A538" s="477" t="n"/>
      <c r="B538" s="477" t="n"/>
      <c r="C538" s="477" t="n"/>
      <c r="D538" s="477" t="n"/>
      <c r="E538" s="477" t="n"/>
      <c r="F538" s="477" t="n"/>
      <c r="G538" s="477" t="n"/>
      <c r="H538" s="505" t="n"/>
      <c r="I538" s="477" t="n"/>
      <c r="J538" s="477" t="n"/>
      <c r="K538" s="477" t="n"/>
      <c r="L538" s="477" t="n"/>
      <c r="M538" s="477" t="n"/>
      <c r="N538" s="477" t="n"/>
      <c r="O538" s="477" t="n"/>
      <c r="P538" s="477" t="n"/>
      <c r="Q538" s="477" t="n"/>
      <c r="R538" s="477" t="n"/>
      <c r="S538" s="477" t="n"/>
      <c r="T538" s="477" t="n"/>
      <c r="U538" s="477" t="n"/>
      <c r="V538" s="477" t="n"/>
      <c r="W538" s="477" t="n"/>
      <c r="X538" s="477" t="n"/>
      <c r="Y538" s="477" t="n"/>
      <c r="Z538" s="477" t="n"/>
    </row>
    <row r="539" ht="15.75" customHeight="1">
      <c r="A539" s="477" t="n"/>
      <c r="B539" s="477" t="n"/>
      <c r="C539" s="477" t="n"/>
      <c r="D539" s="477" t="n"/>
      <c r="E539" s="477" t="n"/>
      <c r="F539" s="477" t="n"/>
      <c r="G539" s="477" t="n"/>
      <c r="H539" s="505" t="n"/>
      <c r="I539" s="477" t="n"/>
      <c r="J539" s="477" t="n"/>
      <c r="K539" s="477" t="n"/>
      <c r="L539" s="477" t="n"/>
      <c r="M539" s="477" t="n"/>
      <c r="N539" s="477" t="n"/>
      <c r="O539" s="477" t="n"/>
      <c r="P539" s="477" t="n"/>
      <c r="Q539" s="477" t="n"/>
      <c r="R539" s="477" t="n"/>
      <c r="S539" s="477" t="n"/>
      <c r="T539" s="477" t="n"/>
      <c r="U539" s="477" t="n"/>
      <c r="V539" s="477" t="n"/>
      <c r="W539" s="477" t="n"/>
      <c r="X539" s="477" t="n"/>
      <c r="Y539" s="477" t="n"/>
      <c r="Z539" s="477" t="n"/>
    </row>
    <row r="540" ht="15.75" customHeight="1">
      <c r="A540" s="477" t="n"/>
      <c r="B540" s="477" t="n"/>
      <c r="C540" s="477" t="n"/>
      <c r="D540" s="477" t="n"/>
      <c r="E540" s="477" t="n"/>
      <c r="F540" s="477" t="n"/>
      <c r="G540" s="477" t="n"/>
      <c r="H540" s="505" t="n"/>
      <c r="I540" s="477" t="n"/>
      <c r="J540" s="477" t="n"/>
      <c r="K540" s="477" t="n"/>
      <c r="L540" s="477" t="n"/>
      <c r="M540" s="477" t="n"/>
      <c r="N540" s="477" t="n"/>
      <c r="O540" s="477" t="n"/>
      <c r="P540" s="477" t="n"/>
      <c r="Q540" s="477" t="n"/>
      <c r="R540" s="477" t="n"/>
      <c r="S540" s="477" t="n"/>
      <c r="T540" s="477" t="n"/>
      <c r="U540" s="477" t="n"/>
      <c r="V540" s="477" t="n"/>
      <c r="W540" s="477" t="n"/>
      <c r="X540" s="477" t="n"/>
      <c r="Y540" s="477" t="n"/>
      <c r="Z540" s="477" t="n"/>
    </row>
    <row r="541" ht="15.75" customHeight="1">
      <c r="A541" s="477" t="n"/>
      <c r="B541" s="477" t="n"/>
      <c r="C541" s="477" t="n"/>
      <c r="D541" s="477" t="n"/>
      <c r="E541" s="477" t="n"/>
      <c r="F541" s="477" t="n"/>
      <c r="G541" s="477" t="n"/>
      <c r="H541" s="505" t="n"/>
      <c r="I541" s="477" t="n"/>
      <c r="J541" s="477" t="n"/>
      <c r="K541" s="477" t="n"/>
      <c r="L541" s="477" t="n"/>
      <c r="M541" s="477" t="n"/>
      <c r="N541" s="477" t="n"/>
      <c r="O541" s="477" t="n"/>
      <c r="P541" s="477" t="n"/>
      <c r="Q541" s="477" t="n"/>
      <c r="R541" s="477" t="n"/>
      <c r="S541" s="477" t="n"/>
      <c r="T541" s="477" t="n"/>
      <c r="U541" s="477" t="n"/>
      <c r="V541" s="477" t="n"/>
      <c r="W541" s="477" t="n"/>
      <c r="X541" s="477" t="n"/>
      <c r="Y541" s="477" t="n"/>
      <c r="Z541" s="477" t="n"/>
    </row>
    <row r="542" ht="15.75" customHeight="1">
      <c r="A542" s="477" t="n"/>
      <c r="B542" s="477" t="n"/>
      <c r="C542" s="477" t="n"/>
      <c r="D542" s="477" t="n"/>
      <c r="E542" s="477" t="n"/>
      <c r="F542" s="477" t="n"/>
      <c r="G542" s="477" t="n"/>
      <c r="H542" s="505" t="n"/>
      <c r="I542" s="477" t="n"/>
      <c r="J542" s="477" t="n"/>
      <c r="K542" s="477" t="n"/>
      <c r="L542" s="477" t="n"/>
      <c r="M542" s="477" t="n"/>
      <c r="N542" s="477" t="n"/>
      <c r="O542" s="477" t="n"/>
      <c r="P542" s="477" t="n"/>
      <c r="Q542" s="477" t="n"/>
      <c r="R542" s="477" t="n"/>
      <c r="S542" s="477" t="n"/>
      <c r="T542" s="477" t="n"/>
      <c r="U542" s="477" t="n"/>
      <c r="V542" s="477" t="n"/>
      <c r="W542" s="477" t="n"/>
      <c r="X542" s="477" t="n"/>
      <c r="Y542" s="477" t="n"/>
      <c r="Z542" s="477" t="n"/>
    </row>
    <row r="543" ht="15.75" customHeight="1">
      <c r="A543" s="477" t="n"/>
      <c r="B543" s="477" t="n"/>
      <c r="C543" s="477" t="n"/>
      <c r="D543" s="477" t="n"/>
      <c r="E543" s="477" t="n"/>
      <c r="F543" s="477" t="n"/>
      <c r="G543" s="477" t="n"/>
      <c r="H543" s="505" t="n"/>
      <c r="I543" s="477" t="n"/>
      <c r="J543" s="477" t="n"/>
      <c r="K543" s="477" t="n"/>
      <c r="L543" s="477" t="n"/>
      <c r="M543" s="477" t="n"/>
      <c r="N543" s="477" t="n"/>
      <c r="O543" s="477" t="n"/>
      <c r="P543" s="477" t="n"/>
      <c r="Q543" s="477" t="n"/>
      <c r="R543" s="477" t="n"/>
      <c r="S543" s="477" t="n"/>
      <c r="T543" s="477" t="n"/>
      <c r="U543" s="477" t="n"/>
      <c r="V543" s="477" t="n"/>
      <c r="W543" s="477" t="n"/>
      <c r="X543" s="477" t="n"/>
      <c r="Y543" s="477" t="n"/>
      <c r="Z543" s="477" t="n"/>
    </row>
    <row r="544" ht="15.75" customHeight="1">
      <c r="A544" s="477" t="n"/>
      <c r="B544" s="477" t="n"/>
      <c r="C544" s="477" t="n"/>
      <c r="D544" s="477" t="n"/>
      <c r="E544" s="477" t="n"/>
      <c r="F544" s="477" t="n"/>
      <c r="G544" s="477" t="n"/>
      <c r="H544" s="505" t="n"/>
      <c r="I544" s="477" t="n"/>
      <c r="J544" s="477" t="n"/>
      <c r="K544" s="477" t="n"/>
      <c r="L544" s="477" t="n"/>
      <c r="M544" s="477" t="n"/>
      <c r="N544" s="477" t="n"/>
      <c r="O544" s="477" t="n"/>
      <c r="P544" s="477" t="n"/>
      <c r="Q544" s="477" t="n"/>
      <c r="R544" s="477" t="n"/>
      <c r="S544" s="477" t="n"/>
      <c r="T544" s="477" t="n"/>
      <c r="U544" s="477" t="n"/>
      <c r="V544" s="477" t="n"/>
      <c r="W544" s="477" t="n"/>
      <c r="X544" s="477" t="n"/>
      <c r="Y544" s="477" t="n"/>
      <c r="Z544" s="477" t="n"/>
    </row>
    <row r="545" ht="15.75" customHeight="1">
      <c r="A545" s="477" t="n"/>
      <c r="B545" s="477" t="n"/>
      <c r="C545" s="477" t="n"/>
      <c r="D545" s="477" t="n"/>
      <c r="E545" s="477" t="n"/>
      <c r="F545" s="477" t="n"/>
      <c r="G545" s="477" t="n"/>
      <c r="H545" s="505" t="n"/>
      <c r="I545" s="477" t="n"/>
      <c r="J545" s="477" t="n"/>
      <c r="K545" s="477" t="n"/>
      <c r="L545" s="477" t="n"/>
      <c r="M545" s="477" t="n"/>
      <c r="N545" s="477" t="n"/>
      <c r="O545" s="477" t="n"/>
      <c r="P545" s="477" t="n"/>
      <c r="Q545" s="477" t="n"/>
      <c r="R545" s="477" t="n"/>
      <c r="S545" s="477" t="n"/>
      <c r="T545" s="477" t="n"/>
      <c r="U545" s="477" t="n"/>
      <c r="V545" s="477" t="n"/>
      <c r="W545" s="477" t="n"/>
      <c r="X545" s="477" t="n"/>
      <c r="Y545" s="477" t="n"/>
      <c r="Z545" s="477" t="n"/>
    </row>
    <row r="546" ht="15.75" customHeight="1">
      <c r="A546" s="477" t="n"/>
      <c r="B546" s="477" t="n"/>
      <c r="C546" s="477" t="n"/>
      <c r="D546" s="477" t="n"/>
      <c r="E546" s="477" t="n"/>
      <c r="F546" s="477" t="n"/>
      <c r="G546" s="477" t="n"/>
      <c r="H546" s="505" t="n"/>
      <c r="I546" s="477" t="n"/>
      <c r="J546" s="477" t="n"/>
      <c r="K546" s="477" t="n"/>
      <c r="L546" s="477" t="n"/>
      <c r="M546" s="477" t="n"/>
      <c r="N546" s="477" t="n"/>
      <c r="O546" s="477" t="n"/>
      <c r="P546" s="477" t="n"/>
      <c r="Q546" s="477" t="n"/>
      <c r="R546" s="477" t="n"/>
      <c r="S546" s="477" t="n"/>
      <c r="T546" s="477" t="n"/>
      <c r="U546" s="477" t="n"/>
      <c r="V546" s="477" t="n"/>
      <c r="W546" s="477" t="n"/>
      <c r="X546" s="477" t="n"/>
      <c r="Y546" s="477" t="n"/>
      <c r="Z546" s="477" t="n"/>
    </row>
    <row r="547" ht="15.75" customHeight="1">
      <c r="A547" s="477" t="n"/>
      <c r="B547" s="477" t="n"/>
      <c r="C547" s="477" t="n"/>
      <c r="D547" s="477" t="n"/>
      <c r="E547" s="477" t="n"/>
      <c r="F547" s="477" t="n"/>
      <c r="G547" s="477" t="n"/>
      <c r="H547" s="505" t="n"/>
      <c r="I547" s="477" t="n"/>
      <c r="J547" s="477" t="n"/>
      <c r="K547" s="477" t="n"/>
      <c r="L547" s="477" t="n"/>
      <c r="M547" s="477" t="n"/>
      <c r="N547" s="477" t="n"/>
      <c r="O547" s="477" t="n"/>
      <c r="P547" s="477" t="n"/>
      <c r="Q547" s="477" t="n"/>
      <c r="R547" s="477" t="n"/>
      <c r="S547" s="477" t="n"/>
      <c r="T547" s="477" t="n"/>
      <c r="U547" s="477" t="n"/>
      <c r="V547" s="477" t="n"/>
      <c r="W547" s="477" t="n"/>
      <c r="X547" s="477" t="n"/>
      <c r="Y547" s="477" t="n"/>
      <c r="Z547" s="477" t="n"/>
    </row>
    <row r="548" ht="15.75" customHeight="1">
      <c r="A548" s="477" t="n"/>
      <c r="B548" s="477" t="n"/>
      <c r="C548" s="477" t="n"/>
      <c r="D548" s="477" t="n"/>
      <c r="E548" s="477" t="n"/>
      <c r="F548" s="477" t="n"/>
      <c r="G548" s="477" t="n"/>
      <c r="H548" s="505" t="n"/>
      <c r="I548" s="477" t="n"/>
      <c r="J548" s="477" t="n"/>
      <c r="K548" s="477" t="n"/>
      <c r="L548" s="477" t="n"/>
      <c r="M548" s="477" t="n"/>
      <c r="N548" s="477" t="n"/>
      <c r="O548" s="477" t="n"/>
      <c r="P548" s="477" t="n"/>
      <c r="Q548" s="477" t="n"/>
      <c r="R548" s="477" t="n"/>
      <c r="S548" s="477" t="n"/>
      <c r="T548" s="477" t="n"/>
      <c r="U548" s="477" t="n"/>
      <c r="V548" s="477" t="n"/>
      <c r="W548" s="477" t="n"/>
      <c r="X548" s="477" t="n"/>
      <c r="Y548" s="477" t="n"/>
      <c r="Z548" s="477" t="n"/>
    </row>
    <row r="549" ht="15.75" customHeight="1">
      <c r="A549" s="477" t="n"/>
      <c r="B549" s="477" t="n"/>
      <c r="C549" s="477" t="n"/>
      <c r="D549" s="477" t="n"/>
      <c r="E549" s="477" t="n"/>
      <c r="F549" s="477" t="n"/>
      <c r="G549" s="477" t="n"/>
      <c r="H549" s="505" t="n"/>
      <c r="I549" s="477" t="n"/>
      <c r="J549" s="477" t="n"/>
      <c r="K549" s="477" t="n"/>
      <c r="L549" s="477" t="n"/>
      <c r="M549" s="477" t="n"/>
      <c r="N549" s="477" t="n"/>
      <c r="O549" s="477" t="n"/>
      <c r="P549" s="477" t="n"/>
      <c r="Q549" s="477" t="n"/>
      <c r="R549" s="477" t="n"/>
      <c r="S549" s="477" t="n"/>
      <c r="T549" s="477" t="n"/>
      <c r="U549" s="477" t="n"/>
      <c r="V549" s="477" t="n"/>
      <c r="W549" s="477" t="n"/>
      <c r="X549" s="477" t="n"/>
      <c r="Y549" s="477" t="n"/>
      <c r="Z549" s="477" t="n"/>
    </row>
    <row r="550" ht="15.75" customHeight="1">
      <c r="A550" s="477" t="n"/>
      <c r="B550" s="477" t="n"/>
      <c r="C550" s="477" t="n"/>
      <c r="D550" s="477" t="n"/>
      <c r="E550" s="477" t="n"/>
      <c r="F550" s="477" t="n"/>
      <c r="G550" s="477" t="n"/>
      <c r="H550" s="505" t="n"/>
      <c r="I550" s="477" t="n"/>
      <c r="J550" s="477" t="n"/>
      <c r="K550" s="477" t="n"/>
      <c r="L550" s="477" t="n"/>
      <c r="M550" s="477" t="n"/>
      <c r="N550" s="477" t="n"/>
      <c r="O550" s="477" t="n"/>
      <c r="P550" s="477" t="n"/>
      <c r="Q550" s="477" t="n"/>
      <c r="R550" s="477" t="n"/>
      <c r="S550" s="477" t="n"/>
      <c r="T550" s="477" t="n"/>
      <c r="U550" s="477" t="n"/>
      <c r="V550" s="477" t="n"/>
      <c r="W550" s="477" t="n"/>
      <c r="X550" s="477" t="n"/>
      <c r="Y550" s="477" t="n"/>
      <c r="Z550" s="477" t="n"/>
    </row>
    <row r="551" ht="15.75" customHeight="1">
      <c r="A551" s="477" t="n"/>
      <c r="B551" s="477" t="n"/>
      <c r="C551" s="477" t="n"/>
      <c r="D551" s="477" t="n"/>
      <c r="E551" s="477" t="n"/>
      <c r="F551" s="477" t="n"/>
      <c r="G551" s="477" t="n"/>
      <c r="H551" s="505" t="n"/>
      <c r="I551" s="477" t="n"/>
      <c r="J551" s="477" t="n"/>
      <c r="K551" s="477" t="n"/>
      <c r="L551" s="477" t="n"/>
      <c r="M551" s="477" t="n"/>
      <c r="N551" s="477" t="n"/>
      <c r="O551" s="477" t="n"/>
      <c r="P551" s="477" t="n"/>
      <c r="Q551" s="477" t="n"/>
      <c r="R551" s="477" t="n"/>
      <c r="S551" s="477" t="n"/>
      <c r="T551" s="477" t="n"/>
      <c r="U551" s="477" t="n"/>
      <c r="V551" s="477" t="n"/>
      <c r="W551" s="477" t="n"/>
      <c r="X551" s="477" t="n"/>
      <c r="Y551" s="477" t="n"/>
      <c r="Z551" s="477" t="n"/>
    </row>
    <row r="552" ht="15.75" customHeight="1">
      <c r="A552" s="477" t="n"/>
      <c r="B552" s="477" t="n"/>
      <c r="C552" s="477" t="n"/>
      <c r="D552" s="477" t="n"/>
      <c r="E552" s="477" t="n"/>
      <c r="F552" s="477" t="n"/>
      <c r="G552" s="477" t="n"/>
      <c r="H552" s="505" t="n"/>
      <c r="I552" s="477" t="n"/>
      <c r="J552" s="477" t="n"/>
      <c r="K552" s="477" t="n"/>
      <c r="L552" s="477" t="n"/>
      <c r="M552" s="477" t="n"/>
      <c r="N552" s="477" t="n"/>
      <c r="O552" s="477" t="n"/>
      <c r="P552" s="477" t="n"/>
      <c r="Q552" s="477" t="n"/>
      <c r="R552" s="477" t="n"/>
      <c r="S552" s="477" t="n"/>
      <c r="T552" s="477" t="n"/>
      <c r="U552" s="477" t="n"/>
      <c r="V552" s="477" t="n"/>
      <c r="W552" s="477" t="n"/>
      <c r="X552" s="477" t="n"/>
      <c r="Y552" s="477" t="n"/>
      <c r="Z552" s="477" t="n"/>
    </row>
    <row r="553" ht="15.75" customHeight="1">
      <c r="A553" s="477" t="n"/>
      <c r="B553" s="477" t="n"/>
      <c r="C553" s="477" t="n"/>
      <c r="D553" s="477" t="n"/>
      <c r="E553" s="477" t="n"/>
      <c r="F553" s="477" t="n"/>
      <c r="G553" s="477" t="n"/>
      <c r="H553" s="505" t="n"/>
      <c r="I553" s="477" t="n"/>
      <c r="J553" s="477" t="n"/>
      <c r="K553" s="477" t="n"/>
      <c r="L553" s="477" t="n"/>
      <c r="M553" s="477" t="n"/>
      <c r="N553" s="477" t="n"/>
      <c r="O553" s="477" t="n"/>
      <c r="P553" s="477" t="n"/>
      <c r="Q553" s="477" t="n"/>
      <c r="R553" s="477" t="n"/>
      <c r="S553" s="477" t="n"/>
      <c r="T553" s="477" t="n"/>
      <c r="U553" s="477" t="n"/>
      <c r="V553" s="477" t="n"/>
      <c r="W553" s="477" t="n"/>
      <c r="X553" s="477" t="n"/>
      <c r="Y553" s="477" t="n"/>
      <c r="Z553" s="477" t="n"/>
    </row>
    <row r="554" ht="15.75" customHeight="1">
      <c r="A554" s="477" t="n"/>
      <c r="B554" s="477" t="n"/>
      <c r="C554" s="477" t="n"/>
      <c r="D554" s="477" t="n"/>
      <c r="E554" s="477" t="n"/>
      <c r="F554" s="477" t="n"/>
      <c r="G554" s="477" t="n"/>
      <c r="H554" s="505" t="n"/>
      <c r="I554" s="477" t="n"/>
      <c r="J554" s="477" t="n"/>
      <c r="K554" s="477" t="n"/>
      <c r="L554" s="477" t="n"/>
      <c r="M554" s="477" t="n"/>
      <c r="N554" s="477" t="n"/>
      <c r="O554" s="477" t="n"/>
      <c r="P554" s="477" t="n"/>
      <c r="Q554" s="477" t="n"/>
      <c r="R554" s="477" t="n"/>
      <c r="S554" s="477" t="n"/>
      <c r="T554" s="477" t="n"/>
      <c r="U554" s="477" t="n"/>
      <c r="V554" s="477" t="n"/>
      <c r="W554" s="477" t="n"/>
      <c r="X554" s="477" t="n"/>
      <c r="Y554" s="477" t="n"/>
      <c r="Z554" s="477" t="n"/>
    </row>
    <row r="555" ht="15.75" customHeight="1">
      <c r="A555" s="477" t="n"/>
      <c r="B555" s="477" t="n"/>
      <c r="C555" s="477" t="n"/>
      <c r="D555" s="477" t="n"/>
      <c r="E555" s="477" t="n"/>
      <c r="F555" s="477" t="n"/>
      <c r="G555" s="477" t="n"/>
      <c r="H555" s="505" t="n"/>
      <c r="I555" s="477" t="n"/>
      <c r="J555" s="477" t="n"/>
      <c r="K555" s="477" t="n"/>
      <c r="L555" s="477" t="n"/>
      <c r="M555" s="477" t="n"/>
      <c r="N555" s="477" t="n"/>
      <c r="O555" s="477" t="n"/>
      <c r="P555" s="477" t="n"/>
      <c r="Q555" s="477" t="n"/>
      <c r="R555" s="477" t="n"/>
      <c r="S555" s="477" t="n"/>
      <c r="T555" s="477" t="n"/>
      <c r="U555" s="477" t="n"/>
      <c r="V555" s="477" t="n"/>
      <c r="W555" s="477" t="n"/>
      <c r="X555" s="477" t="n"/>
      <c r="Y555" s="477" t="n"/>
      <c r="Z555" s="477" t="n"/>
    </row>
    <row r="556" ht="15.75" customHeight="1">
      <c r="A556" s="477" t="n"/>
      <c r="B556" s="477" t="n"/>
      <c r="C556" s="477" t="n"/>
      <c r="D556" s="477" t="n"/>
      <c r="E556" s="477" t="n"/>
      <c r="F556" s="477" t="n"/>
      <c r="G556" s="477" t="n"/>
      <c r="H556" s="505" t="n"/>
      <c r="I556" s="477" t="n"/>
      <c r="J556" s="477" t="n"/>
      <c r="K556" s="477" t="n"/>
      <c r="L556" s="477" t="n"/>
      <c r="M556" s="477" t="n"/>
      <c r="N556" s="477" t="n"/>
      <c r="O556" s="477" t="n"/>
      <c r="P556" s="477" t="n"/>
      <c r="Q556" s="477" t="n"/>
      <c r="R556" s="477" t="n"/>
      <c r="S556" s="477" t="n"/>
      <c r="T556" s="477" t="n"/>
      <c r="U556" s="477" t="n"/>
      <c r="V556" s="477" t="n"/>
      <c r="W556" s="477" t="n"/>
      <c r="X556" s="477" t="n"/>
      <c r="Y556" s="477" t="n"/>
      <c r="Z556" s="477" t="n"/>
    </row>
    <row r="557" ht="15.75" customHeight="1">
      <c r="A557" s="477" t="n"/>
      <c r="B557" s="477" t="n"/>
      <c r="C557" s="477" t="n"/>
      <c r="D557" s="477" t="n"/>
      <c r="E557" s="477" t="n"/>
      <c r="F557" s="477" t="n"/>
      <c r="G557" s="477" t="n"/>
      <c r="H557" s="505" t="n"/>
      <c r="I557" s="477" t="n"/>
      <c r="J557" s="477" t="n"/>
      <c r="K557" s="477" t="n"/>
      <c r="L557" s="477" t="n"/>
      <c r="M557" s="477" t="n"/>
      <c r="N557" s="477" t="n"/>
      <c r="O557" s="477" t="n"/>
      <c r="P557" s="477" t="n"/>
      <c r="Q557" s="477" t="n"/>
      <c r="R557" s="477" t="n"/>
      <c r="S557" s="477" t="n"/>
      <c r="T557" s="477" t="n"/>
      <c r="U557" s="477" t="n"/>
      <c r="V557" s="477" t="n"/>
      <c r="W557" s="477" t="n"/>
      <c r="X557" s="477" t="n"/>
      <c r="Y557" s="477" t="n"/>
      <c r="Z557" s="477" t="n"/>
    </row>
    <row r="558" ht="15.75" customHeight="1">
      <c r="A558" s="477" t="n"/>
      <c r="B558" s="477" t="n"/>
      <c r="C558" s="477" t="n"/>
      <c r="D558" s="477" t="n"/>
      <c r="E558" s="477" t="n"/>
      <c r="F558" s="477" t="n"/>
      <c r="G558" s="477" t="n"/>
      <c r="H558" s="505" t="n"/>
      <c r="I558" s="477" t="n"/>
      <c r="J558" s="477" t="n"/>
      <c r="K558" s="477" t="n"/>
      <c r="L558" s="477" t="n"/>
      <c r="M558" s="477" t="n"/>
      <c r="N558" s="477" t="n"/>
      <c r="O558" s="477" t="n"/>
      <c r="P558" s="477" t="n"/>
      <c r="Q558" s="477" t="n"/>
      <c r="R558" s="477" t="n"/>
      <c r="S558" s="477" t="n"/>
      <c r="T558" s="477" t="n"/>
      <c r="U558" s="477" t="n"/>
      <c r="V558" s="477" t="n"/>
      <c r="W558" s="477" t="n"/>
      <c r="X558" s="477" t="n"/>
      <c r="Y558" s="477" t="n"/>
      <c r="Z558" s="477" t="n"/>
    </row>
    <row r="559" ht="15.75" customHeight="1">
      <c r="A559" s="477" t="n"/>
      <c r="B559" s="477" t="n"/>
      <c r="C559" s="477" t="n"/>
      <c r="D559" s="477" t="n"/>
      <c r="E559" s="477" t="n"/>
      <c r="F559" s="477" t="n"/>
      <c r="G559" s="477" t="n"/>
      <c r="H559" s="505" t="n"/>
      <c r="I559" s="477" t="n"/>
      <c r="J559" s="477" t="n"/>
      <c r="K559" s="477" t="n"/>
      <c r="L559" s="477" t="n"/>
      <c r="M559" s="477" t="n"/>
      <c r="N559" s="477" t="n"/>
      <c r="O559" s="477" t="n"/>
      <c r="P559" s="477" t="n"/>
      <c r="Q559" s="477" t="n"/>
      <c r="R559" s="477" t="n"/>
      <c r="S559" s="477" t="n"/>
      <c r="T559" s="477" t="n"/>
      <c r="U559" s="477" t="n"/>
      <c r="V559" s="477" t="n"/>
      <c r="W559" s="477" t="n"/>
      <c r="X559" s="477" t="n"/>
      <c r="Y559" s="477" t="n"/>
      <c r="Z559" s="477" t="n"/>
    </row>
    <row r="560" ht="15.75" customHeight="1">
      <c r="A560" s="477" t="n"/>
      <c r="B560" s="477" t="n"/>
      <c r="C560" s="477" t="n"/>
      <c r="D560" s="477" t="n"/>
      <c r="E560" s="477" t="n"/>
      <c r="F560" s="477" t="n"/>
      <c r="G560" s="477" t="n"/>
      <c r="H560" s="505" t="n"/>
      <c r="I560" s="477" t="n"/>
      <c r="J560" s="477" t="n"/>
      <c r="K560" s="477" t="n"/>
      <c r="L560" s="477" t="n"/>
      <c r="M560" s="477" t="n"/>
      <c r="N560" s="477" t="n"/>
      <c r="O560" s="477" t="n"/>
      <c r="P560" s="477" t="n"/>
      <c r="Q560" s="477" t="n"/>
      <c r="R560" s="477" t="n"/>
      <c r="S560" s="477" t="n"/>
      <c r="T560" s="477" t="n"/>
      <c r="U560" s="477" t="n"/>
      <c r="V560" s="477" t="n"/>
      <c r="W560" s="477" t="n"/>
      <c r="X560" s="477" t="n"/>
      <c r="Y560" s="477" t="n"/>
      <c r="Z560" s="477" t="n"/>
    </row>
    <row r="561" ht="15.75" customHeight="1">
      <c r="A561" s="477" t="n"/>
      <c r="B561" s="477" t="n"/>
      <c r="C561" s="477" t="n"/>
      <c r="D561" s="477" t="n"/>
      <c r="E561" s="477" t="n"/>
      <c r="F561" s="477" t="n"/>
      <c r="G561" s="477" t="n"/>
      <c r="H561" s="505" t="n"/>
      <c r="I561" s="477" t="n"/>
      <c r="J561" s="477" t="n"/>
      <c r="K561" s="477" t="n"/>
      <c r="L561" s="477" t="n"/>
      <c r="M561" s="477" t="n"/>
      <c r="N561" s="477" t="n"/>
      <c r="O561" s="477" t="n"/>
      <c r="P561" s="477" t="n"/>
      <c r="Q561" s="477" t="n"/>
      <c r="R561" s="477" t="n"/>
      <c r="S561" s="477" t="n"/>
      <c r="T561" s="477" t="n"/>
      <c r="U561" s="477" t="n"/>
      <c r="V561" s="477" t="n"/>
      <c r="W561" s="477" t="n"/>
      <c r="X561" s="477" t="n"/>
      <c r="Y561" s="477" t="n"/>
      <c r="Z561" s="477" t="n"/>
    </row>
    <row r="562" ht="15.75" customHeight="1">
      <c r="A562" s="477" t="n"/>
      <c r="B562" s="477" t="n"/>
      <c r="C562" s="477" t="n"/>
      <c r="D562" s="477" t="n"/>
      <c r="E562" s="477" t="n"/>
      <c r="F562" s="477" t="n"/>
      <c r="G562" s="477" t="n"/>
      <c r="H562" s="505" t="n"/>
      <c r="I562" s="477" t="n"/>
      <c r="J562" s="477" t="n"/>
      <c r="K562" s="477" t="n"/>
      <c r="L562" s="477" t="n"/>
      <c r="M562" s="477" t="n"/>
      <c r="N562" s="477" t="n"/>
      <c r="O562" s="477" t="n"/>
      <c r="P562" s="477" t="n"/>
      <c r="Q562" s="477" t="n"/>
      <c r="R562" s="477" t="n"/>
      <c r="S562" s="477" t="n"/>
      <c r="T562" s="477" t="n"/>
      <c r="U562" s="477" t="n"/>
      <c r="V562" s="477" t="n"/>
      <c r="W562" s="477" t="n"/>
      <c r="X562" s="477" t="n"/>
      <c r="Y562" s="477" t="n"/>
      <c r="Z562" s="477" t="n"/>
    </row>
    <row r="563" ht="15.75" customHeight="1">
      <c r="A563" s="477" t="n"/>
      <c r="B563" s="477" t="n"/>
      <c r="C563" s="477" t="n"/>
      <c r="D563" s="477" t="n"/>
      <c r="E563" s="477" t="n"/>
      <c r="F563" s="477" t="n"/>
      <c r="G563" s="477" t="n"/>
      <c r="H563" s="505" t="n"/>
      <c r="I563" s="477" t="n"/>
      <c r="J563" s="477" t="n"/>
      <c r="K563" s="477" t="n"/>
      <c r="L563" s="477" t="n"/>
      <c r="M563" s="477" t="n"/>
      <c r="N563" s="477" t="n"/>
      <c r="O563" s="477" t="n"/>
      <c r="P563" s="477" t="n"/>
      <c r="Q563" s="477" t="n"/>
      <c r="R563" s="477" t="n"/>
      <c r="S563" s="477" t="n"/>
      <c r="T563" s="477" t="n"/>
      <c r="U563" s="477" t="n"/>
      <c r="V563" s="477" t="n"/>
      <c r="W563" s="477" t="n"/>
      <c r="X563" s="477" t="n"/>
      <c r="Y563" s="477" t="n"/>
      <c r="Z563" s="477" t="n"/>
    </row>
    <row r="564" ht="15.75" customHeight="1">
      <c r="A564" s="477" t="n"/>
      <c r="B564" s="477" t="n"/>
      <c r="C564" s="477" t="n"/>
      <c r="D564" s="477" t="n"/>
      <c r="E564" s="477" t="n"/>
      <c r="F564" s="477" t="n"/>
      <c r="G564" s="477" t="n"/>
      <c r="H564" s="505" t="n"/>
      <c r="I564" s="477" t="n"/>
      <c r="J564" s="477" t="n"/>
      <c r="K564" s="477" t="n"/>
      <c r="L564" s="477" t="n"/>
      <c r="M564" s="477" t="n"/>
      <c r="N564" s="477" t="n"/>
      <c r="O564" s="477" t="n"/>
      <c r="P564" s="477" t="n"/>
      <c r="Q564" s="477" t="n"/>
      <c r="R564" s="477" t="n"/>
      <c r="S564" s="477" t="n"/>
      <c r="T564" s="477" t="n"/>
      <c r="U564" s="477" t="n"/>
      <c r="V564" s="477" t="n"/>
      <c r="W564" s="477" t="n"/>
      <c r="X564" s="477" t="n"/>
      <c r="Y564" s="477" t="n"/>
      <c r="Z564" s="477" t="n"/>
    </row>
    <row r="565" ht="15.75" customHeight="1">
      <c r="A565" s="477" t="n"/>
      <c r="B565" s="477" t="n"/>
      <c r="C565" s="477" t="n"/>
      <c r="D565" s="477" t="n"/>
      <c r="E565" s="477" t="n"/>
      <c r="F565" s="477" t="n"/>
      <c r="G565" s="477" t="n"/>
      <c r="H565" s="505" t="n"/>
      <c r="I565" s="477" t="n"/>
      <c r="J565" s="477" t="n"/>
      <c r="K565" s="477" t="n"/>
      <c r="L565" s="477" t="n"/>
      <c r="M565" s="477" t="n"/>
      <c r="N565" s="477" t="n"/>
      <c r="O565" s="477" t="n"/>
      <c r="P565" s="477" t="n"/>
      <c r="Q565" s="477" t="n"/>
      <c r="R565" s="477" t="n"/>
      <c r="S565" s="477" t="n"/>
      <c r="T565" s="477" t="n"/>
      <c r="U565" s="477" t="n"/>
      <c r="V565" s="477" t="n"/>
      <c r="W565" s="477" t="n"/>
      <c r="X565" s="477" t="n"/>
      <c r="Y565" s="477" t="n"/>
      <c r="Z565" s="477" t="n"/>
    </row>
    <row r="566" ht="15.75" customHeight="1">
      <c r="A566" s="477" t="n"/>
      <c r="B566" s="477" t="n"/>
      <c r="C566" s="477" t="n"/>
      <c r="D566" s="477" t="n"/>
      <c r="E566" s="477" t="n"/>
      <c r="F566" s="477" t="n"/>
      <c r="G566" s="477" t="n"/>
      <c r="H566" s="505" t="n"/>
      <c r="I566" s="477" t="n"/>
      <c r="J566" s="477" t="n"/>
      <c r="K566" s="477" t="n"/>
      <c r="L566" s="477" t="n"/>
      <c r="M566" s="477" t="n"/>
      <c r="N566" s="477" t="n"/>
      <c r="O566" s="477" t="n"/>
      <c r="P566" s="477" t="n"/>
      <c r="Q566" s="477" t="n"/>
      <c r="R566" s="477" t="n"/>
      <c r="S566" s="477" t="n"/>
      <c r="T566" s="477" t="n"/>
      <c r="U566" s="477" t="n"/>
      <c r="V566" s="477" t="n"/>
      <c r="W566" s="477" t="n"/>
      <c r="X566" s="477" t="n"/>
      <c r="Y566" s="477" t="n"/>
      <c r="Z566" s="477" t="n"/>
    </row>
    <row r="567" ht="15.75" customHeight="1">
      <c r="A567" s="477" t="n"/>
      <c r="B567" s="477" t="n"/>
      <c r="C567" s="477" t="n"/>
      <c r="D567" s="477" t="n"/>
      <c r="E567" s="477" t="n"/>
      <c r="F567" s="477" t="n"/>
      <c r="G567" s="477" t="n"/>
      <c r="H567" s="505" t="n"/>
      <c r="I567" s="477" t="n"/>
      <c r="J567" s="477" t="n"/>
      <c r="K567" s="477" t="n"/>
      <c r="L567" s="477" t="n"/>
      <c r="M567" s="477" t="n"/>
      <c r="N567" s="477" t="n"/>
      <c r="O567" s="477" t="n"/>
      <c r="P567" s="477" t="n"/>
      <c r="Q567" s="477" t="n"/>
      <c r="R567" s="477" t="n"/>
      <c r="S567" s="477" t="n"/>
      <c r="T567" s="477" t="n"/>
      <c r="U567" s="477" t="n"/>
      <c r="V567" s="477" t="n"/>
      <c r="W567" s="477" t="n"/>
      <c r="X567" s="477" t="n"/>
      <c r="Y567" s="477" t="n"/>
      <c r="Z567" s="477" t="n"/>
    </row>
    <row r="568" ht="15.75" customHeight="1">
      <c r="A568" s="477" t="n"/>
      <c r="B568" s="477" t="n"/>
      <c r="C568" s="477" t="n"/>
      <c r="D568" s="477" t="n"/>
      <c r="E568" s="477" t="n"/>
      <c r="F568" s="477" t="n"/>
      <c r="G568" s="477" t="n"/>
      <c r="H568" s="505" t="n"/>
      <c r="I568" s="477" t="n"/>
      <c r="J568" s="477" t="n"/>
      <c r="K568" s="477" t="n"/>
      <c r="L568" s="477" t="n"/>
      <c r="M568" s="477" t="n"/>
      <c r="N568" s="477" t="n"/>
      <c r="O568" s="477" t="n"/>
      <c r="P568" s="477" t="n"/>
      <c r="Q568" s="477" t="n"/>
      <c r="R568" s="477" t="n"/>
      <c r="S568" s="477" t="n"/>
      <c r="T568" s="477" t="n"/>
      <c r="U568" s="477" t="n"/>
      <c r="V568" s="477" t="n"/>
      <c r="W568" s="477" t="n"/>
      <c r="X568" s="477" t="n"/>
      <c r="Y568" s="477" t="n"/>
      <c r="Z568" s="477" t="n"/>
    </row>
    <row r="569" ht="15.75" customHeight="1">
      <c r="A569" s="477" t="n"/>
      <c r="B569" s="477" t="n"/>
      <c r="C569" s="477" t="n"/>
      <c r="D569" s="477" t="n"/>
      <c r="E569" s="477" t="n"/>
      <c r="F569" s="477" t="n"/>
      <c r="G569" s="477" t="n"/>
      <c r="H569" s="505" t="n"/>
      <c r="I569" s="477" t="n"/>
      <c r="J569" s="477" t="n"/>
      <c r="K569" s="477" t="n"/>
      <c r="L569" s="477" t="n"/>
      <c r="M569" s="477" t="n"/>
      <c r="N569" s="477" t="n"/>
      <c r="O569" s="477" t="n"/>
      <c r="P569" s="477" t="n"/>
      <c r="Q569" s="477" t="n"/>
      <c r="R569" s="477" t="n"/>
      <c r="S569" s="477" t="n"/>
      <c r="T569" s="477" t="n"/>
      <c r="U569" s="477" t="n"/>
      <c r="V569" s="477" t="n"/>
      <c r="W569" s="477" t="n"/>
      <c r="X569" s="477" t="n"/>
      <c r="Y569" s="477" t="n"/>
      <c r="Z569" s="477" t="n"/>
    </row>
    <row r="570" ht="15.75" customHeight="1">
      <c r="A570" s="477" t="n"/>
      <c r="B570" s="477" t="n"/>
      <c r="C570" s="477" t="n"/>
      <c r="D570" s="477" t="n"/>
      <c r="E570" s="477" t="n"/>
      <c r="F570" s="477" t="n"/>
      <c r="G570" s="477" t="n"/>
      <c r="H570" s="505" t="n"/>
      <c r="I570" s="477" t="n"/>
      <c r="J570" s="477" t="n"/>
      <c r="K570" s="477" t="n"/>
      <c r="L570" s="477" t="n"/>
      <c r="M570" s="477" t="n"/>
      <c r="N570" s="477" t="n"/>
      <c r="O570" s="477" t="n"/>
      <c r="P570" s="477" t="n"/>
      <c r="Q570" s="477" t="n"/>
      <c r="R570" s="477" t="n"/>
      <c r="S570" s="477" t="n"/>
      <c r="T570" s="477" t="n"/>
      <c r="U570" s="477" t="n"/>
      <c r="V570" s="477" t="n"/>
      <c r="W570" s="477" t="n"/>
      <c r="X570" s="477" t="n"/>
      <c r="Y570" s="477" t="n"/>
      <c r="Z570" s="477" t="n"/>
    </row>
    <row r="571" ht="15.75" customHeight="1">
      <c r="A571" s="477" t="n"/>
      <c r="B571" s="477" t="n"/>
      <c r="C571" s="477" t="n"/>
      <c r="D571" s="477" t="n"/>
      <c r="E571" s="477" t="n"/>
      <c r="F571" s="477" t="n"/>
      <c r="G571" s="477" t="n"/>
      <c r="H571" s="505" t="n"/>
      <c r="I571" s="477" t="n"/>
      <c r="J571" s="477" t="n"/>
      <c r="K571" s="477" t="n"/>
      <c r="L571" s="477" t="n"/>
      <c r="M571" s="477" t="n"/>
      <c r="N571" s="477" t="n"/>
      <c r="O571" s="477" t="n"/>
      <c r="P571" s="477" t="n"/>
      <c r="Q571" s="477" t="n"/>
      <c r="R571" s="477" t="n"/>
      <c r="S571" s="477" t="n"/>
      <c r="T571" s="477" t="n"/>
      <c r="U571" s="477" t="n"/>
      <c r="V571" s="477" t="n"/>
      <c r="W571" s="477" t="n"/>
      <c r="X571" s="477" t="n"/>
      <c r="Y571" s="477" t="n"/>
      <c r="Z571" s="477" t="n"/>
    </row>
    <row r="572" ht="15.75" customHeight="1">
      <c r="A572" s="477" t="n"/>
      <c r="B572" s="477" t="n"/>
      <c r="C572" s="477" t="n"/>
      <c r="D572" s="477" t="n"/>
      <c r="E572" s="477" t="n"/>
      <c r="F572" s="477" t="n"/>
      <c r="G572" s="477" t="n"/>
      <c r="H572" s="505" t="n"/>
      <c r="I572" s="477" t="n"/>
      <c r="J572" s="477" t="n"/>
      <c r="K572" s="477" t="n"/>
      <c r="L572" s="477" t="n"/>
      <c r="M572" s="477" t="n"/>
      <c r="N572" s="477" t="n"/>
      <c r="O572" s="477" t="n"/>
      <c r="P572" s="477" t="n"/>
      <c r="Q572" s="477" t="n"/>
      <c r="R572" s="477" t="n"/>
      <c r="S572" s="477" t="n"/>
      <c r="T572" s="477" t="n"/>
      <c r="U572" s="477" t="n"/>
      <c r="V572" s="477" t="n"/>
      <c r="W572" s="477" t="n"/>
      <c r="X572" s="477" t="n"/>
      <c r="Y572" s="477" t="n"/>
      <c r="Z572" s="477" t="n"/>
    </row>
    <row r="573" ht="15.75" customHeight="1">
      <c r="A573" s="477" t="n"/>
      <c r="B573" s="477" t="n"/>
      <c r="C573" s="477" t="n"/>
      <c r="D573" s="477" t="n"/>
      <c r="E573" s="477" t="n"/>
      <c r="F573" s="477" t="n"/>
      <c r="G573" s="477" t="n"/>
      <c r="H573" s="505" t="n"/>
      <c r="I573" s="477" t="n"/>
      <c r="J573" s="477" t="n"/>
      <c r="K573" s="477" t="n"/>
      <c r="L573" s="477" t="n"/>
      <c r="M573" s="477" t="n"/>
      <c r="N573" s="477" t="n"/>
      <c r="O573" s="477" t="n"/>
      <c r="P573" s="477" t="n"/>
      <c r="Q573" s="477" t="n"/>
      <c r="R573" s="477" t="n"/>
      <c r="S573" s="477" t="n"/>
      <c r="T573" s="477" t="n"/>
      <c r="U573" s="477" t="n"/>
      <c r="V573" s="477" t="n"/>
      <c r="W573" s="477" t="n"/>
      <c r="X573" s="477" t="n"/>
      <c r="Y573" s="477" t="n"/>
      <c r="Z573" s="477" t="n"/>
    </row>
    <row r="574" ht="15.75" customHeight="1">
      <c r="A574" s="477" t="n"/>
      <c r="B574" s="477" t="n"/>
      <c r="C574" s="477" t="n"/>
      <c r="D574" s="477" t="n"/>
      <c r="E574" s="477" t="n"/>
      <c r="F574" s="477" t="n"/>
      <c r="G574" s="477" t="n"/>
      <c r="H574" s="505" t="n"/>
      <c r="I574" s="477" t="n"/>
      <c r="J574" s="477" t="n"/>
      <c r="K574" s="477" t="n"/>
      <c r="L574" s="477" t="n"/>
      <c r="M574" s="477" t="n"/>
      <c r="N574" s="477" t="n"/>
      <c r="O574" s="477" t="n"/>
      <c r="P574" s="477" t="n"/>
      <c r="Q574" s="477" t="n"/>
      <c r="R574" s="477" t="n"/>
      <c r="S574" s="477" t="n"/>
      <c r="T574" s="477" t="n"/>
      <c r="U574" s="477" t="n"/>
      <c r="V574" s="477" t="n"/>
      <c r="W574" s="477" t="n"/>
      <c r="X574" s="477" t="n"/>
      <c r="Y574" s="477" t="n"/>
      <c r="Z574" s="477" t="n"/>
    </row>
    <row r="575" ht="15.75" customHeight="1">
      <c r="A575" s="477" t="n"/>
      <c r="B575" s="477" t="n"/>
      <c r="C575" s="477" t="n"/>
      <c r="D575" s="477" t="n"/>
      <c r="E575" s="477" t="n"/>
      <c r="F575" s="477" t="n"/>
      <c r="G575" s="477" t="n"/>
      <c r="H575" s="505" t="n"/>
      <c r="I575" s="477" t="n"/>
      <c r="J575" s="477" t="n"/>
      <c r="K575" s="477" t="n"/>
      <c r="L575" s="477" t="n"/>
      <c r="M575" s="477" t="n"/>
      <c r="N575" s="477" t="n"/>
      <c r="O575" s="477" t="n"/>
      <c r="P575" s="477" t="n"/>
      <c r="Q575" s="477" t="n"/>
      <c r="R575" s="477" t="n"/>
      <c r="S575" s="477" t="n"/>
      <c r="T575" s="477" t="n"/>
      <c r="U575" s="477" t="n"/>
      <c r="V575" s="477" t="n"/>
      <c r="W575" s="477" t="n"/>
      <c r="X575" s="477" t="n"/>
      <c r="Y575" s="477" t="n"/>
      <c r="Z575" s="477" t="n"/>
    </row>
    <row r="576" ht="15.75" customHeight="1">
      <c r="A576" s="477" t="n"/>
      <c r="B576" s="477" t="n"/>
      <c r="C576" s="477" t="n"/>
      <c r="D576" s="477" t="n"/>
      <c r="E576" s="477" t="n"/>
      <c r="F576" s="477" t="n"/>
      <c r="G576" s="477" t="n"/>
      <c r="H576" s="505" t="n"/>
      <c r="I576" s="477" t="n"/>
      <c r="J576" s="477" t="n"/>
      <c r="K576" s="477" t="n"/>
      <c r="L576" s="477" t="n"/>
      <c r="M576" s="477" t="n"/>
      <c r="N576" s="477" t="n"/>
      <c r="O576" s="477" t="n"/>
      <c r="P576" s="477" t="n"/>
      <c r="Q576" s="477" t="n"/>
      <c r="R576" s="477" t="n"/>
      <c r="S576" s="477" t="n"/>
      <c r="T576" s="477" t="n"/>
      <c r="U576" s="477" t="n"/>
      <c r="V576" s="477" t="n"/>
      <c r="W576" s="477" t="n"/>
      <c r="X576" s="477" t="n"/>
      <c r="Y576" s="477" t="n"/>
      <c r="Z576" s="477" t="n"/>
    </row>
    <row r="577" ht="15.75" customHeight="1">
      <c r="A577" s="477" t="n"/>
      <c r="B577" s="477" t="n"/>
      <c r="C577" s="477" t="n"/>
      <c r="D577" s="477" t="n"/>
      <c r="E577" s="477" t="n"/>
      <c r="F577" s="477" t="n"/>
      <c r="G577" s="477" t="n"/>
      <c r="H577" s="505" t="n"/>
      <c r="I577" s="477" t="n"/>
      <c r="J577" s="477" t="n"/>
      <c r="K577" s="477" t="n"/>
      <c r="L577" s="477" t="n"/>
      <c r="M577" s="477" t="n"/>
      <c r="N577" s="477" t="n"/>
      <c r="O577" s="477" t="n"/>
      <c r="P577" s="477" t="n"/>
      <c r="Q577" s="477" t="n"/>
      <c r="R577" s="477" t="n"/>
      <c r="S577" s="477" t="n"/>
      <c r="T577" s="477" t="n"/>
      <c r="U577" s="477" t="n"/>
      <c r="V577" s="477" t="n"/>
      <c r="W577" s="477" t="n"/>
      <c r="X577" s="477" t="n"/>
      <c r="Y577" s="477" t="n"/>
      <c r="Z577" s="477" t="n"/>
    </row>
    <row r="578" ht="15.75" customHeight="1">
      <c r="A578" s="477" t="n"/>
      <c r="B578" s="477" t="n"/>
      <c r="C578" s="477" t="n"/>
      <c r="D578" s="477" t="n"/>
      <c r="E578" s="477" t="n"/>
      <c r="F578" s="477" t="n"/>
      <c r="G578" s="477" t="n"/>
      <c r="H578" s="505" t="n"/>
      <c r="I578" s="477" t="n"/>
      <c r="J578" s="477" t="n"/>
      <c r="K578" s="477" t="n"/>
      <c r="L578" s="477" t="n"/>
      <c r="M578" s="477" t="n"/>
      <c r="N578" s="477" t="n"/>
      <c r="O578" s="477" t="n"/>
      <c r="P578" s="477" t="n"/>
      <c r="Q578" s="477" t="n"/>
      <c r="R578" s="477" t="n"/>
      <c r="S578" s="477" t="n"/>
      <c r="T578" s="477" t="n"/>
      <c r="U578" s="477" t="n"/>
      <c r="V578" s="477" t="n"/>
      <c r="W578" s="477" t="n"/>
      <c r="X578" s="477" t="n"/>
      <c r="Y578" s="477" t="n"/>
      <c r="Z578" s="477" t="n"/>
    </row>
    <row r="579" ht="15.75" customHeight="1">
      <c r="A579" s="477" t="n"/>
      <c r="B579" s="477" t="n"/>
      <c r="C579" s="477" t="n"/>
      <c r="D579" s="477" t="n"/>
      <c r="E579" s="477" t="n"/>
      <c r="F579" s="477" t="n"/>
      <c r="G579" s="477" t="n"/>
      <c r="H579" s="505" t="n"/>
      <c r="I579" s="477" t="n"/>
      <c r="J579" s="477" t="n"/>
      <c r="K579" s="477" t="n"/>
      <c r="L579" s="477" t="n"/>
      <c r="M579" s="477" t="n"/>
      <c r="N579" s="477" t="n"/>
      <c r="O579" s="477" t="n"/>
      <c r="P579" s="477" t="n"/>
      <c r="Q579" s="477" t="n"/>
      <c r="R579" s="477" t="n"/>
      <c r="S579" s="477" t="n"/>
      <c r="T579" s="477" t="n"/>
      <c r="U579" s="477" t="n"/>
      <c r="V579" s="477" t="n"/>
      <c r="W579" s="477" t="n"/>
      <c r="X579" s="477" t="n"/>
      <c r="Y579" s="477" t="n"/>
      <c r="Z579" s="477" t="n"/>
    </row>
    <row r="580" ht="15.75" customHeight="1">
      <c r="A580" s="477" t="n"/>
      <c r="B580" s="477" t="n"/>
      <c r="C580" s="477" t="n"/>
      <c r="D580" s="477" t="n"/>
      <c r="E580" s="477" t="n"/>
      <c r="F580" s="477" t="n"/>
      <c r="G580" s="477" t="n"/>
      <c r="H580" s="505" t="n"/>
      <c r="I580" s="477" t="n"/>
      <c r="J580" s="477" t="n"/>
      <c r="K580" s="477" t="n"/>
      <c r="L580" s="477" t="n"/>
      <c r="M580" s="477" t="n"/>
      <c r="N580" s="477" t="n"/>
      <c r="O580" s="477" t="n"/>
      <c r="P580" s="477" t="n"/>
      <c r="Q580" s="477" t="n"/>
      <c r="R580" s="477" t="n"/>
      <c r="S580" s="477" t="n"/>
      <c r="T580" s="477" t="n"/>
      <c r="U580" s="477" t="n"/>
      <c r="V580" s="477" t="n"/>
      <c r="W580" s="477" t="n"/>
      <c r="X580" s="477" t="n"/>
      <c r="Y580" s="477" t="n"/>
      <c r="Z580" s="477" t="n"/>
    </row>
    <row r="581" ht="15.75" customHeight="1">
      <c r="A581" s="477" t="n"/>
      <c r="B581" s="477" t="n"/>
      <c r="C581" s="477" t="n"/>
      <c r="D581" s="477" t="n"/>
      <c r="E581" s="477" t="n"/>
      <c r="F581" s="477" t="n"/>
      <c r="G581" s="477" t="n"/>
      <c r="H581" s="505" t="n"/>
      <c r="I581" s="477" t="n"/>
      <c r="J581" s="477" t="n"/>
      <c r="K581" s="477" t="n"/>
      <c r="L581" s="477" t="n"/>
      <c r="M581" s="477" t="n"/>
      <c r="N581" s="477" t="n"/>
      <c r="O581" s="477" t="n"/>
      <c r="P581" s="477" t="n"/>
      <c r="Q581" s="477" t="n"/>
      <c r="R581" s="477" t="n"/>
      <c r="S581" s="477" t="n"/>
      <c r="T581" s="477" t="n"/>
      <c r="U581" s="477" t="n"/>
      <c r="V581" s="477" t="n"/>
      <c r="W581" s="477" t="n"/>
      <c r="X581" s="477" t="n"/>
      <c r="Y581" s="477" t="n"/>
      <c r="Z581" s="477" t="n"/>
    </row>
    <row r="582" ht="15.75" customHeight="1">
      <c r="A582" s="477" t="n"/>
      <c r="B582" s="477" t="n"/>
      <c r="C582" s="477" t="n"/>
      <c r="D582" s="477" t="n"/>
      <c r="E582" s="477" t="n"/>
      <c r="F582" s="477" t="n"/>
      <c r="G582" s="477" t="n"/>
      <c r="H582" s="505" t="n"/>
      <c r="I582" s="477" t="n"/>
      <c r="J582" s="477" t="n"/>
      <c r="K582" s="477" t="n"/>
      <c r="L582" s="477" t="n"/>
      <c r="M582" s="477" t="n"/>
      <c r="N582" s="477" t="n"/>
      <c r="O582" s="477" t="n"/>
      <c r="P582" s="477" t="n"/>
      <c r="Q582" s="477" t="n"/>
      <c r="R582" s="477" t="n"/>
      <c r="S582" s="477" t="n"/>
      <c r="T582" s="477" t="n"/>
      <c r="U582" s="477" t="n"/>
      <c r="V582" s="477" t="n"/>
      <c r="W582" s="477" t="n"/>
      <c r="X582" s="477" t="n"/>
      <c r="Y582" s="477" t="n"/>
      <c r="Z582" s="477" t="n"/>
    </row>
    <row r="583" ht="15.75" customHeight="1">
      <c r="A583" s="477" t="n"/>
      <c r="B583" s="477" t="n"/>
      <c r="C583" s="477" t="n"/>
      <c r="D583" s="477" t="n"/>
      <c r="E583" s="477" t="n"/>
      <c r="F583" s="477" t="n"/>
      <c r="G583" s="477" t="n"/>
      <c r="H583" s="505" t="n"/>
      <c r="I583" s="477" t="n"/>
      <c r="J583" s="477" t="n"/>
      <c r="K583" s="477" t="n"/>
      <c r="L583" s="477" t="n"/>
      <c r="M583" s="477" t="n"/>
      <c r="N583" s="477" t="n"/>
      <c r="O583" s="477" t="n"/>
      <c r="P583" s="477" t="n"/>
      <c r="Q583" s="477" t="n"/>
      <c r="R583" s="477" t="n"/>
      <c r="S583" s="477" t="n"/>
      <c r="T583" s="477" t="n"/>
      <c r="U583" s="477" t="n"/>
      <c r="V583" s="477" t="n"/>
      <c r="W583" s="477" t="n"/>
      <c r="X583" s="477" t="n"/>
      <c r="Y583" s="477" t="n"/>
      <c r="Z583" s="477" t="n"/>
    </row>
    <row r="584" ht="15.75" customHeight="1">
      <c r="A584" s="477" t="n"/>
      <c r="B584" s="477" t="n"/>
      <c r="C584" s="477" t="n"/>
      <c r="D584" s="477" t="n"/>
      <c r="E584" s="477" t="n"/>
      <c r="F584" s="477" t="n"/>
      <c r="G584" s="477" t="n"/>
      <c r="H584" s="505" t="n"/>
      <c r="I584" s="477" t="n"/>
      <c r="J584" s="477" t="n"/>
      <c r="K584" s="477" t="n"/>
      <c r="L584" s="477" t="n"/>
      <c r="M584" s="477" t="n"/>
      <c r="N584" s="477" t="n"/>
      <c r="O584" s="477" t="n"/>
      <c r="P584" s="477" t="n"/>
      <c r="Q584" s="477" t="n"/>
      <c r="R584" s="477" t="n"/>
      <c r="S584" s="477" t="n"/>
      <c r="T584" s="477" t="n"/>
      <c r="U584" s="477" t="n"/>
      <c r="V584" s="477" t="n"/>
      <c r="W584" s="477" t="n"/>
      <c r="X584" s="477" t="n"/>
      <c r="Y584" s="477" t="n"/>
      <c r="Z584" s="477" t="n"/>
    </row>
    <row r="585" ht="15.75" customHeight="1">
      <c r="A585" s="477" t="n"/>
      <c r="B585" s="477" t="n"/>
      <c r="C585" s="477" t="n"/>
      <c r="D585" s="477" t="n"/>
      <c r="E585" s="477" t="n"/>
      <c r="F585" s="477" t="n"/>
      <c r="G585" s="477" t="n"/>
      <c r="H585" s="505" t="n"/>
      <c r="I585" s="477" t="n"/>
      <c r="J585" s="477" t="n"/>
      <c r="K585" s="477" t="n"/>
      <c r="L585" s="477" t="n"/>
      <c r="M585" s="477" t="n"/>
      <c r="N585" s="477" t="n"/>
      <c r="O585" s="477" t="n"/>
      <c r="P585" s="477" t="n"/>
      <c r="Q585" s="477" t="n"/>
      <c r="R585" s="477" t="n"/>
      <c r="S585" s="477" t="n"/>
      <c r="T585" s="477" t="n"/>
      <c r="U585" s="477" t="n"/>
      <c r="V585" s="477" t="n"/>
      <c r="W585" s="477" t="n"/>
      <c r="X585" s="477" t="n"/>
      <c r="Y585" s="477" t="n"/>
      <c r="Z585" s="477" t="n"/>
    </row>
    <row r="586" ht="15.75" customHeight="1">
      <c r="A586" s="477" t="n"/>
      <c r="B586" s="477" t="n"/>
      <c r="C586" s="477" t="n"/>
      <c r="D586" s="477" t="n"/>
      <c r="E586" s="477" t="n"/>
      <c r="F586" s="477" t="n"/>
      <c r="G586" s="477" t="n"/>
      <c r="H586" s="505" t="n"/>
      <c r="I586" s="477" t="n"/>
      <c r="J586" s="477" t="n"/>
      <c r="K586" s="477" t="n"/>
      <c r="L586" s="477" t="n"/>
      <c r="M586" s="477" t="n"/>
      <c r="N586" s="477" t="n"/>
      <c r="O586" s="477" t="n"/>
      <c r="P586" s="477" t="n"/>
      <c r="Q586" s="477" t="n"/>
      <c r="R586" s="477" t="n"/>
      <c r="S586" s="477" t="n"/>
      <c r="T586" s="477" t="n"/>
      <c r="U586" s="477" t="n"/>
      <c r="V586" s="477" t="n"/>
      <c r="W586" s="477" t="n"/>
      <c r="X586" s="477" t="n"/>
      <c r="Y586" s="477" t="n"/>
      <c r="Z586" s="477" t="n"/>
    </row>
    <row r="587" ht="15.75" customHeight="1">
      <c r="A587" s="477" t="n"/>
      <c r="B587" s="477" t="n"/>
      <c r="C587" s="477" t="n"/>
      <c r="D587" s="477" t="n"/>
      <c r="E587" s="477" t="n"/>
      <c r="F587" s="477" t="n"/>
      <c r="G587" s="477" t="n"/>
      <c r="H587" s="505" t="n"/>
      <c r="I587" s="477" t="n"/>
      <c r="J587" s="477" t="n"/>
      <c r="K587" s="477" t="n"/>
      <c r="L587" s="477" t="n"/>
      <c r="M587" s="477" t="n"/>
      <c r="N587" s="477" t="n"/>
      <c r="O587" s="477" t="n"/>
      <c r="P587" s="477" t="n"/>
      <c r="Q587" s="477" t="n"/>
      <c r="R587" s="477" t="n"/>
      <c r="S587" s="477" t="n"/>
      <c r="T587" s="477" t="n"/>
      <c r="U587" s="477" t="n"/>
      <c r="V587" s="477" t="n"/>
      <c r="W587" s="477" t="n"/>
      <c r="X587" s="477" t="n"/>
      <c r="Y587" s="477" t="n"/>
      <c r="Z587" s="477" t="n"/>
    </row>
    <row r="588" ht="15.75" customHeight="1">
      <c r="A588" s="477" t="n"/>
      <c r="B588" s="477" t="n"/>
      <c r="C588" s="477" t="n"/>
      <c r="D588" s="477" t="n"/>
      <c r="E588" s="477" t="n"/>
      <c r="F588" s="477" t="n"/>
      <c r="G588" s="477" t="n"/>
      <c r="H588" s="505" t="n"/>
      <c r="I588" s="477" t="n"/>
      <c r="J588" s="477" t="n"/>
      <c r="K588" s="477" t="n"/>
      <c r="L588" s="477" t="n"/>
      <c r="M588" s="477" t="n"/>
      <c r="N588" s="477" t="n"/>
      <c r="O588" s="477" t="n"/>
      <c r="P588" s="477" t="n"/>
      <c r="Q588" s="477" t="n"/>
      <c r="R588" s="477" t="n"/>
      <c r="S588" s="477" t="n"/>
      <c r="T588" s="477" t="n"/>
      <c r="U588" s="477" t="n"/>
      <c r="V588" s="477" t="n"/>
      <c r="W588" s="477" t="n"/>
      <c r="X588" s="477" t="n"/>
      <c r="Y588" s="477" t="n"/>
      <c r="Z588" s="477" t="n"/>
    </row>
    <row r="589" ht="15.75" customHeight="1">
      <c r="A589" s="477" t="n"/>
      <c r="B589" s="477" t="n"/>
      <c r="C589" s="477" t="n"/>
      <c r="D589" s="477" t="n"/>
      <c r="E589" s="477" t="n"/>
      <c r="F589" s="477" t="n"/>
      <c r="G589" s="477" t="n"/>
      <c r="H589" s="505" t="n"/>
      <c r="I589" s="477" t="n"/>
      <c r="J589" s="477" t="n"/>
      <c r="K589" s="477" t="n"/>
      <c r="L589" s="477" t="n"/>
      <c r="M589" s="477" t="n"/>
      <c r="N589" s="477" t="n"/>
      <c r="O589" s="477" t="n"/>
      <c r="P589" s="477" t="n"/>
      <c r="Q589" s="477" t="n"/>
      <c r="R589" s="477" t="n"/>
      <c r="S589" s="477" t="n"/>
      <c r="T589" s="477" t="n"/>
      <c r="U589" s="477" t="n"/>
      <c r="V589" s="477" t="n"/>
      <c r="W589" s="477" t="n"/>
      <c r="X589" s="477" t="n"/>
      <c r="Y589" s="477" t="n"/>
      <c r="Z589" s="477" t="n"/>
    </row>
    <row r="590" ht="15.75" customHeight="1">
      <c r="A590" s="477" t="n"/>
      <c r="B590" s="477" t="n"/>
      <c r="C590" s="477" t="n"/>
      <c r="D590" s="477" t="n"/>
      <c r="E590" s="477" t="n"/>
      <c r="F590" s="477" t="n"/>
      <c r="G590" s="477" t="n"/>
      <c r="H590" s="505" t="n"/>
      <c r="I590" s="477" t="n"/>
      <c r="J590" s="477" t="n"/>
      <c r="K590" s="477" t="n"/>
      <c r="L590" s="477" t="n"/>
      <c r="M590" s="477" t="n"/>
      <c r="N590" s="477" t="n"/>
      <c r="O590" s="477" t="n"/>
      <c r="P590" s="477" t="n"/>
      <c r="Q590" s="477" t="n"/>
      <c r="R590" s="477" t="n"/>
      <c r="S590" s="477" t="n"/>
      <c r="T590" s="477" t="n"/>
      <c r="U590" s="477" t="n"/>
      <c r="V590" s="477" t="n"/>
      <c r="W590" s="477" t="n"/>
      <c r="X590" s="477" t="n"/>
      <c r="Y590" s="477" t="n"/>
      <c r="Z590" s="477" t="n"/>
    </row>
    <row r="591" ht="15.75" customHeight="1">
      <c r="A591" s="477" t="n"/>
      <c r="B591" s="477" t="n"/>
      <c r="C591" s="477" t="n"/>
      <c r="D591" s="477" t="n"/>
      <c r="E591" s="477" t="n"/>
      <c r="F591" s="477" t="n"/>
      <c r="G591" s="477" t="n"/>
      <c r="H591" s="505" t="n"/>
      <c r="I591" s="477" t="n"/>
      <c r="J591" s="477" t="n"/>
      <c r="K591" s="477" t="n"/>
      <c r="L591" s="477" t="n"/>
      <c r="M591" s="477" t="n"/>
      <c r="N591" s="477" t="n"/>
      <c r="O591" s="477" t="n"/>
      <c r="P591" s="477" t="n"/>
      <c r="Q591" s="477" t="n"/>
      <c r="R591" s="477" t="n"/>
      <c r="S591" s="477" t="n"/>
      <c r="T591" s="477" t="n"/>
      <c r="U591" s="477" t="n"/>
      <c r="V591" s="477" t="n"/>
      <c r="W591" s="477" t="n"/>
      <c r="X591" s="477" t="n"/>
      <c r="Y591" s="477" t="n"/>
      <c r="Z591" s="477" t="n"/>
    </row>
    <row r="592" ht="15.75" customHeight="1">
      <c r="A592" s="477" t="n"/>
      <c r="B592" s="477" t="n"/>
      <c r="C592" s="477" t="n"/>
      <c r="D592" s="477" t="n"/>
      <c r="E592" s="477" t="n"/>
      <c r="F592" s="477" t="n"/>
      <c r="G592" s="477" t="n"/>
      <c r="H592" s="505" t="n"/>
      <c r="I592" s="477" t="n"/>
      <c r="J592" s="477" t="n"/>
      <c r="K592" s="477" t="n"/>
      <c r="L592" s="477" t="n"/>
      <c r="M592" s="477" t="n"/>
      <c r="N592" s="477" t="n"/>
      <c r="O592" s="477" t="n"/>
      <c r="P592" s="477" t="n"/>
      <c r="Q592" s="477" t="n"/>
      <c r="R592" s="477" t="n"/>
      <c r="S592" s="477" t="n"/>
      <c r="T592" s="477" t="n"/>
      <c r="U592" s="477" t="n"/>
      <c r="V592" s="477" t="n"/>
      <c r="W592" s="477" t="n"/>
      <c r="X592" s="477" t="n"/>
      <c r="Y592" s="477" t="n"/>
      <c r="Z592" s="477" t="n"/>
    </row>
    <row r="593" ht="15.75" customHeight="1">
      <c r="A593" s="477" t="n"/>
      <c r="B593" s="477" t="n"/>
      <c r="C593" s="477" t="n"/>
      <c r="D593" s="477" t="n"/>
      <c r="E593" s="477" t="n"/>
      <c r="F593" s="477" t="n"/>
      <c r="G593" s="477" t="n"/>
      <c r="H593" s="505" t="n"/>
      <c r="I593" s="477" t="n"/>
      <c r="J593" s="477" t="n"/>
      <c r="K593" s="477" t="n"/>
      <c r="L593" s="477" t="n"/>
      <c r="M593" s="477" t="n"/>
      <c r="N593" s="477" t="n"/>
      <c r="O593" s="477" t="n"/>
      <c r="P593" s="477" t="n"/>
      <c r="Q593" s="477" t="n"/>
      <c r="R593" s="477" t="n"/>
      <c r="S593" s="477" t="n"/>
      <c r="T593" s="477" t="n"/>
      <c r="U593" s="477" t="n"/>
      <c r="V593" s="477" t="n"/>
      <c r="W593" s="477" t="n"/>
      <c r="X593" s="477" t="n"/>
      <c r="Y593" s="477" t="n"/>
      <c r="Z593" s="477" t="n"/>
    </row>
    <row r="594" ht="15.75" customHeight="1">
      <c r="A594" s="477" t="n"/>
      <c r="B594" s="477" t="n"/>
      <c r="C594" s="477" t="n"/>
      <c r="D594" s="477" t="n"/>
      <c r="E594" s="477" t="n"/>
      <c r="F594" s="477" t="n"/>
      <c r="G594" s="477" t="n"/>
      <c r="H594" s="505" t="n"/>
      <c r="I594" s="477" t="n"/>
      <c r="J594" s="477" t="n"/>
      <c r="K594" s="477" t="n"/>
      <c r="L594" s="477" t="n"/>
      <c r="M594" s="477" t="n"/>
      <c r="N594" s="477" t="n"/>
      <c r="O594" s="477" t="n"/>
      <c r="P594" s="477" t="n"/>
      <c r="Q594" s="477" t="n"/>
      <c r="R594" s="477" t="n"/>
      <c r="S594" s="477" t="n"/>
      <c r="T594" s="477" t="n"/>
      <c r="U594" s="477" t="n"/>
      <c r="V594" s="477" t="n"/>
      <c r="W594" s="477" t="n"/>
      <c r="X594" s="477" t="n"/>
      <c r="Y594" s="477" t="n"/>
      <c r="Z594" s="477" t="n"/>
    </row>
    <row r="595" ht="15.75" customHeight="1">
      <c r="A595" s="477" t="n"/>
      <c r="B595" s="477" t="n"/>
      <c r="C595" s="477" t="n"/>
      <c r="D595" s="477" t="n"/>
      <c r="E595" s="477" t="n"/>
      <c r="F595" s="477" t="n"/>
      <c r="G595" s="477" t="n"/>
      <c r="H595" s="505" t="n"/>
      <c r="I595" s="477" t="n"/>
      <c r="J595" s="477" t="n"/>
      <c r="K595" s="477" t="n"/>
      <c r="L595" s="477" t="n"/>
      <c r="M595" s="477" t="n"/>
      <c r="N595" s="477" t="n"/>
      <c r="O595" s="477" t="n"/>
      <c r="P595" s="477" t="n"/>
      <c r="Q595" s="477" t="n"/>
      <c r="R595" s="477" t="n"/>
      <c r="S595" s="477" t="n"/>
      <c r="T595" s="477" t="n"/>
      <c r="U595" s="477" t="n"/>
      <c r="V595" s="477" t="n"/>
      <c r="W595" s="477" t="n"/>
      <c r="X595" s="477" t="n"/>
      <c r="Y595" s="477" t="n"/>
      <c r="Z595" s="477" t="n"/>
    </row>
    <row r="596" ht="15.75" customHeight="1">
      <c r="A596" s="477" t="n"/>
      <c r="B596" s="477" t="n"/>
      <c r="C596" s="477" t="n"/>
      <c r="D596" s="477" t="n"/>
      <c r="E596" s="477" t="n"/>
      <c r="F596" s="477" t="n"/>
      <c r="G596" s="477" t="n"/>
      <c r="H596" s="505" t="n"/>
      <c r="I596" s="477" t="n"/>
      <c r="J596" s="477" t="n"/>
      <c r="K596" s="477" t="n"/>
      <c r="L596" s="477" t="n"/>
      <c r="M596" s="477" t="n"/>
      <c r="N596" s="477" t="n"/>
      <c r="O596" s="477" t="n"/>
      <c r="P596" s="477" t="n"/>
      <c r="Q596" s="477" t="n"/>
      <c r="R596" s="477" t="n"/>
      <c r="S596" s="477" t="n"/>
      <c r="T596" s="477" t="n"/>
      <c r="U596" s="477" t="n"/>
      <c r="V596" s="477" t="n"/>
      <c r="W596" s="477" t="n"/>
      <c r="X596" s="477" t="n"/>
      <c r="Y596" s="477" t="n"/>
      <c r="Z596" s="477" t="n"/>
    </row>
    <row r="597" ht="15.75" customHeight="1">
      <c r="A597" s="477" t="n"/>
      <c r="B597" s="477" t="n"/>
      <c r="C597" s="477" t="n"/>
      <c r="D597" s="477" t="n"/>
      <c r="E597" s="477" t="n"/>
      <c r="F597" s="477" t="n"/>
      <c r="G597" s="477" t="n"/>
      <c r="H597" s="505" t="n"/>
      <c r="I597" s="477" t="n"/>
      <c r="J597" s="477" t="n"/>
      <c r="K597" s="477" t="n"/>
      <c r="L597" s="477" t="n"/>
      <c r="M597" s="477" t="n"/>
      <c r="N597" s="477" t="n"/>
      <c r="O597" s="477" t="n"/>
      <c r="P597" s="477" t="n"/>
      <c r="Q597" s="477" t="n"/>
      <c r="R597" s="477" t="n"/>
      <c r="S597" s="477" t="n"/>
      <c r="T597" s="477" t="n"/>
      <c r="U597" s="477" t="n"/>
      <c r="V597" s="477" t="n"/>
      <c r="W597" s="477" t="n"/>
      <c r="X597" s="477" t="n"/>
      <c r="Y597" s="477" t="n"/>
      <c r="Z597" s="477" t="n"/>
    </row>
    <row r="598" ht="15.75" customHeight="1">
      <c r="A598" s="477" t="n"/>
      <c r="B598" s="477" t="n"/>
      <c r="C598" s="477" t="n"/>
      <c r="D598" s="477" t="n"/>
      <c r="E598" s="477" t="n"/>
      <c r="F598" s="477" t="n"/>
      <c r="G598" s="477" t="n"/>
      <c r="H598" s="505" t="n"/>
      <c r="I598" s="477" t="n"/>
      <c r="J598" s="477" t="n"/>
      <c r="K598" s="477" t="n"/>
      <c r="L598" s="477" t="n"/>
      <c r="M598" s="477" t="n"/>
      <c r="N598" s="477" t="n"/>
      <c r="O598" s="477" t="n"/>
      <c r="P598" s="477" t="n"/>
      <c r="Q598" s="477" t="n"/>
      <c r="R598" s="477" t="n"/>
      <c r="S598" s="477" t="n"/>
      <c r="T598" s="477" t="n"/>
      <c r="U598" s="477" t="n"/>
      <c r="V598" s="477" t="n"/>
      <c r="W598" s="477" t="n"/>
      <c r="X598" s="477" t="n"/>
      <c r="Y598" s="477" t="n"/>
      <c r="Z598" s="477" t="n"/>
    </row>
    <row r="599" ht="15.75" customHeight="1">
      <c r="A599" s="477" t="n"/>
      <c r="B599" s="477" t="n"/>
      <c r="C599" s="477" t="n"/>
      <c r="D599" s="477" t="n"/>
      <c r="E599" s="477" t="n"/>
      <c r="F599" s="477" t="n"/>
      <c r="G599" s="477" t="n"/>
      <c r="H599" s="505" t="n"/>
      <c r="I599" s="477" t="n"/>
      <c r="J599" s="477" t="n"/>
      <c r="K599" s="477" t="n"/>
      <c r="L599" s="477" t="n"/>
      <c r="M599" s="477" t="n"/>
      <c r="N599" s="477" t="n"/>
      <c r="O599" s="477" t="n"/>
      <c r="P599" s="477" t="n"/>
      <c r="Q599" s="477" t="n"/>
      <c r="R599" s="477" t="n"/>
      <c r="S599" s="477" t="n"/>
      <c r="T599" s="477" t="n"/>
      <c r="U599" s="477" t="n"/>
      <c r="V599" s="477" t="n"/>
      <c r="W599" s="477" t="n"/>
      <c r="X599" s="477" t="n"/>
      <c r="Y599" s="477" t="n"/>
      <c r="Z599" s="477" t="n"/>
    </row>
    <row r="600" ht="15.75" customHeight="1">
      <c r="A600" s="477" t="n"/>
      <c r="B600" s="477" t="n"/>
      <c r="C600" s="477" t="n"/>
      <c r="D600" s="477" t="n"/>
      <c r="E600" s="477" t="n"/>
      <c r="F600" s="477" t="n"/>
      <c r="G600" s="477" t="n"/>
      <c r="H600" s="505" t="n"/>
      <c r="I600" s="477" t="n"/>
      <c r="J600" s="477" t="n"/>
      <c r="K600" s="477" t="n"/>
      <c r="L600" s="477" t="n"/>
      <c r="M600" s="477" t="n"/>
      <c r="N600" s="477" t="n"/>
      <c r="O600" s="477" t="n"/>
      <c r="P600" s="477" t="n"/>
      <c r="Q600" s="477" t="n"/>
      <c r="R600" s="477" t="n"/>
      <c r="S600" s="477" t="n"/>
      <c r="T600" s="477" t="n"/>
      <c r="U600" s="477" t="n"/>
      <c r="V600" s="477" t="n"/>
      <c r="W600" s="477" t="n"/>
      <c r="X600" s="477" t="n"/>
      <c r="Y600" s="477" t="n"/>
      <c r="Z600" s="477" t="n"/>
    </row>
    <row r="601" ht="15.75" customHeight="1">
      <c r="A601" s="477" t="n"/>
      <c r="B601" s="477" t="n"/>
      <c r="C601" s="477" t="n"/>
      <c r="D601" s="477" t="n"/>
      <c r="E601" s="477" t="n"/>
      <c r="F601" s="477" t="n"/>
      <c r="G601" s="477" t="n"/>
      <c r="H601" s="505" t="n"/>
      <c r="I601" s="477" t="n"/>
      <c r="J601" s="477" t="n"/>
      <c r="K601" s="477" t="n"/>
      <c r="L601" s="477" t="n"/>
      <c r="M601" s="477" t="n"/>
      <c r="N601" s="477" t="n"/>
      <c r="O601" s="477" t="n"/>
      <c r="P601" s="477" t="n"/>
      <c r="Q601" s="477" t="n"/>
      <c r="R601" s="477" t="n"/>
      <c r="S601" s="477" t="n"/>
      <c r="T601" s="477" t="n"/>
      <c r="U601" s="477" t="n"/>
      <c r="V601" s="477" t="n"/>
      <c r="W601" s="477" t="n"/>
      <c r="X601" s="477" t="n"/>
      <c r="Y601" s="477" t="n"/>
      <c r="Z601" s="477" t="n"/>
    </row>
    <row r="602" ht="15.75" customHeight="1">
      <c r="A602" s="477" t="n"/>
      <c r="B602" s="477" t="n"/>
      <c r="C602" s="477" t="n"/>
      <c r="D602" s="477" t="n"/>
      <c r="E602" s="477" t="n"/>
      <c r="F602" s="477" t="n"/>
      <c r="G602" s="477" t="n"/>
      <c r="H602" s="505" t="n"/>
      <c r="I602" s="477" t="n"/>
      <c r="J602" s="477" t="n"/>
      <c r="K602" s="477" t="n"/>
      <c r="L602" s="477" t="n"/>
      <c r="M602" s="477" t="n"/>
      <c r="N602" s="477" t="n"/>
      <c r="O602" s="477" t="n"/>
      <c r="P602" s="477" t="n"/>
      <c r="Q602" s="477" t="n"/>
      <c r="R602" s="477" t="n"/>
      <c r="S602" s="477" t="n"/>
      <c r="T602" s="477" t="n"/>
      <c r="U602" s="477" t="n"/>
      <c r="V602" s="477" t="n"/>
      <c r="W602" s="477" t="n"/>
      <c r="X602" s="477" t="n"/>
      <c r="Y602" s="477" t="n"/>
      <c r="Z602" s="477" t="n"/>
    </row>
    <row r="603" ht="15.75" customHeight="1">
      <c r="A603" s="477" t="n"/>
      <c r="B603" s="477" t="n"/>
      <c r="C603" s="477" t="n"/>
      <c r="D603" s="477" t="n"/>
      <c r="E603" s="477" t="n"/>
      <c r="F603" s="477" t="n"/>
      <c r="G603" s="477" t="n"/>
      <c r="H603" s="505" t="n"/>
      <c r="I603" s="477" t="n"/>
      <c r="J603" s="477" t="n"/>
      <c r="K603" s="477" t="n"/>
      <c r="L603" s="477" t="n"/>
      <c r="M603" s="477" t="n"/>
      <c r="N603" s="477" t="n"/>
      <c r="O603" s="477" t="n"/>
      <c r="P603" s="477" t="n"/>
      <c r="Q603" s="477" t="n"/>
      <c r="R603" s="477" t="n"/>
      <c r="S603" s="477" t="n"/>
      <c r="T603" s="477" t="n"/>
      <c r="U603" s="477" t="n"/>
      <c r="V603" s="477" t="n"/>
      <c r="W603" s="477" t="n"/>
      <c r="X603" s="477" t="n"/>
      <c r="Y603" s="477" t="n"/>
      <c r="Z603" s="477" t="n"/>
    </row>
    <row r="604" ht="15.75" customHeight="1">
      <c r="A604" s="477" t="n"/>
      <c r="B604" s="477" t="n"/>
      <c r="C604" s="477" t="n"/>
      <c r="D604" s="477" t="n"/>
      <c r="E604" s="477" t="n"/>
      <c r="F604" s="477" t="n"/>
      <c r="G604" s="477" t="n"/>
      <c r="H604" s="505" t="n"/>
      <c r="I604" s="477" t="n"/>
      <c r="J604" s="477" t="n"/>
      <c r="K604" s="477" t="n"/>
      <c r="L604" s="477" t="n"/>
      <c r="M604" s="477" t="n"/>
      <c r="N604" s="477" t="n"/>
      <c r="O604" s="477" t="n"/>
      <c r="P604" s="477" t="n"/>
      <c r="Q604" s="477" t="n"/>
      <c r="R604" s="477" t="n"/>
      <c r="S604" s="477" t="n"/>
      <c r="T604" s="477" t="n"/>
      <c r="U604" s="477" t="n"/>
      <c r="V604" s="477" t="n"/>
      <c r="W604" s="477" t="n"/>
      <c r="X604" s="477" t="n"/>
      <c r="Y604" s="477" t="n"/>
      <c r="Z604" s="477" t="n"/>
    </row>
    <row r="605" ht="15.75" customHeight="1">
      <c r="A605" s="477" t="n"/>
      <c r="B605" s="477" t="n"/>
      <c r="C605" s="477" t="n"/>
      <c r="D605" s="477" t="n"/>
      <c r="E605" s="477" t="n"/>
      <c r="F605" s="477" t="n"/>
      <c r="G605" s="477" t="n"/>
      <c r="H605" s="505" t="n"/>
      <c r="I605" s="477" t="n"/>
      <c r="J605" s="477" t="n"/>
      <c r="K605" s="477" t="n"/>
      <c r="L605" s="477" t="n"/>
      <c r="M605" s="477" t="n"/>
      <c r="N605" s="477" t="n"/>
      <c r="O605" s="477" t="n"/>
      <c r="P605" s="477" t="n"/>
      <c r="Q605" s="477" t="n"/>
      <c r="R605" s="477" t="n"/>
      <c r="S605" s="477" t="n"/>
      <c r="T605" s="477" t="n"/>
      <c r="U605" s="477" t="n"/>
      <c r="V605" s="477" t="n"/>
      <c r="W605" s="477" t="n"/>
      <c r="X605" s="477" t="n"/>
      <c r="Y605" s="477" t="n"/>
      <c r="Z605" s="477" t="n"/>
    </row>
    <row r="606" ht="15.75" customHeight="1">
      <c r="A606" s="477" t="n"/>
      <c r="B606" s="477" t="n"/>
      <c r="C606" s="477" t="n"/>
      <c r="D606" s="477" t="n"/>
      <c r="E606" s="477" t="n"/>
      <c r="F606" s="477" t="n"/>
      <c r="G606" s="477" t="n"/>
      <c r="H606" s="505" t="n"/>
      <c r="I606" s="477" t="n"/>
      <c r="J606" s="477" t="n"/>
      <c r="K606" s="477" t="n"/>
      <c r="L606" s="477" t="n"/>
      <c r="M606" s="477" t="n"/>
      <c r="N606" s="477" t="n"/>
      <c r="O606" s="477" t="n"/>
      <c r="P606" s="477" t="n"/>
      <c r="Q606" s="477" t="n"/>
      <c r="R606" s="477" t="n"/>
      <c r="S606" s="477" t="n"/>
      <c r="T606" s="477" t="n"/>
      <c r="U606" s="477" t="n"/>
      <c r="V606" s="477" t="n"/>
      <c r="W606" s="477" t="n"/>
      <c r="X606" s="477" t="n"/>
      <c r="Y606" s="477" t="n"/>
      <c r="Z606" s="477" t="n"/>
    </row>
    <row r="607" ht="15.75" customHeight="1">
      <c r="A607" s="477" t="n"/>
      <c r="B607" s="477" t="n"/>
      <c r="C607" s="477" t="n"/>
      <c r="D607" s="477" t="n"/>
      <c r="E607" s="477" t="n"/>
      <c r="F607" s="477" t="n"/>
      <c r="G607" s="477" t="n"/>
      <c r="H607" s="505" t="n"/>
      <c r="I607" s="477" t="n"/>
      <c r="J607" s="477" t="n"/>
      <c r="K607" s="477" t="n"/>
      <c r="L607" s="477" t="n"/>
      <c r="M607" s="477" t="n"/>
      <c r="N607" s="477" t="n"/>
      <c r="O607" s="477" t="n"/>
      <c r="P607" s="477" t="n"/>
      <c r="Q607" s="477" t="n"/>
      <c r="R607" s="477" t="n"/>
      <c r="S607" s="477" t="n"/>
      <c r="T607" s="477" t="n"/>
      <c r="U607" s="477" t="n"/>
      <c r="V607" s="477" t="n"/>
      <c r="W607" s="477" t="n"/>
      <c r="X607" s="477" t="n"/>
      <c r="Y607" s="477" t="n"/>
      <c r="Z607" s="477" t="n"/>
    </row>
    <row r="608" ht="15.75" customHeight="1">
      <c r="A608" s="477" t="n"/>
      <c r="B608" s="477" t="n"/>
      <c r="C608" s="477" t="n"/>
      <c r="D608" s="477" t="n"/>
      <c r="E608" s="477" t="n"/>
      <c r="F608" s="477" t="n"/>
      <c r="G608" s="477" t="n"/>
      <c r="H608" s="505" t="n"/>
      <c r="I608" s="477" t="n"/>
      <c r="J608" s="477" t="n"/>
      <c r="K608" s="477" t="n"/>
      <c r="L608" s="477" t="n"/>
      <c r="M608" s="477" t="n"/>
      <c r="N608" s="477" t="n"/>
      <c r="O608" s="477" t="n"/>
      <c r="P608" s="477" t="n"/>
      <c r="Q608" s="477" t="n"/>
      <c r="R608" s="477" t="n"/>
      <c r="S608" s="477" t="n"/>
      <c r="T608" s="477" t="n"/>
      <c r="U608" s="477" t="n"/>
      <c r="V608" s="477" t="n"/>
      <c r="W608" s="477" t="n"/>
      <c r="X608" s="477" t="n"/>
      <c r="Y608" s="477" t="n"/>
      <c r="Z608" s="477" t="n"/>
    </row>
    <row r="609" ht="15.75" customHeight="1">
      <c r="A609" s="477" t="n"/>
      <c r="B609" s="477" t="n"/>
      <c r="C609" s="477" t="n"/>
      <c r="D609" s="477" t="n"/>
      <c r="E609" s="477" t="n"/>
      <c r="F609" s="477" t="n"/>
      <c r="G609" s="477" t="n"/>
      <c r="H609" s="505" t="n"/>
      <c r="I609" s="477" t="n"/>
      <c r="J609" s="477" t="n"/>
      <c r="K609" s="477" t="n"/>
      <c r="L609" s="477" t="n"/>
      <c r="M609" s="477" t="n"/>
      <c r="N609" s="477" t="n"/>
      <c r="O609" s="477" t="n"/>
      <c r="P609" s="477" t="n"/>
      <c r="Q609" s="477" t="n"/>
      <c r="R609" s="477" t="n"/>
      <c r="S609" s="477" t="n"/>
      <c r="T609" s="477" t="n"/>
      <c r="U609" s="477" t="n"/>
      <c r="V609" s="477" t="n"/>
      <c r="W609" s="477" t="n"/>
      <c r="X609" s="477" t="n"/>
      <c r="Y609" s="477" t="n"/>
      <c r="Z609" s="477" t="n"/>
    </row>
    <row r="610" ht="15.75" customHeight="1">
      <c r="A610" s="477" t="n"/>
      <c r="B610" s="477" t="n"/>
      <c r="C610" s="477" t="n"/>
      <c r="D610" s="477" t="n"/>
      <c r="E610" s="477" t="n"/>
      <c r="F610" s="477" t="n"/>
      <c r="G610" s="477" t="n"/>
      <c r="H610" s="505" t="n"/>
      <c r="I610" s="477" t="n"/>
      <c r="J610" s="477" t="n"/>
      <c r="K610" s="477" t="n"/>
      <c r="L610" s="477" t="n"/>
      <c r="M610" s="477" t="n"/>
      <c r="N610" s="477" t="n"/>
      <c r="O610" s="477" t="n"/>
      <c r="P610" s="477" t="n"/>
      <c r="Q610" s="477" t="n"/>
      <c r="R610" s="477" t="n"/>
      <c r="S610" s="477" t="n"/>
      <c r="T610" s="477" t="n"/>
      <c r="U610" s="477" t="n"/>
      <c r="V610" s="477" t="n"/>
      <c r="W610" s="477" t="n"/>
      <c r="X610" s="477" t="n"/>
      <c r="Y610" s="477" t="n"/>
      <c r="Z610" s="477" t="n"/>
    </row>
    <row r="611" ht="15.75" customHeight="1">
      <c r="A611" s="477" t="n"/>
      <c r="B611" s="477" t="n"/>
      <c r="C611" s="477" t="n"/>
      <c r="D611" s="477" t="n"/>
      <c r="E611" s="477" t="n"/>
      <c r="F611" s="477" t="n"/>
      <c r="G611" s="477" t="n"/>
      <c r="H611" s="505" t="n"/>
      <c r="I611" s="477" t="n"/>
      <c r="J611" s="477" t="n"/>
      <c r="K611" s="477" t="n"/>
      <c r="L611" s="477" t="n"/>
      <c r="M611" s="477" t="n"/>
      <c r="N611" s="477" t="n"/>
      <c r="O611" s="477" t="n"/>
      <c r="P611" s="477" t="n"/>
      <c r="Q611" s="477" t="n"/>
      <c r="R611" s="477" t="n"/>
      <c r="S611" s="477" t="n"/>
      <c r="T611" s="477" t="n"/>
      <c r="U611" s="477" t="n"/>
      <c r="V611" s="477" t="n"/>
      <c r="W611" s="477" t="n"/>
      <c r="X611" s="477" t="n"/>
      <c r="Y611" s="477" t="n"/>
      <c r="Z611" s="477" t="n"/>
    </row>
    <row r="612" ht="15.75" customHeight="1">
      <c r="A612" s="477" t="n"/>
      <c r="B612" s="477" t="n"/>
      <c r="C612" s="477" t="n"/>
      <c r="D612" s="477" t="n"/>
      <c r="E612" s="477" t="n"/>
      <c r="F612" s="477" t="n"/>
      <c r="G612" s="477" t="n"/>
      <c r="H612" s="505" t="n"/>
      <c r="I612" s="477" t="n"/>
      <c r="J612" s="477" t="n"/>
      <c r="K612" s="477" t="n"/>
      <c r="L612" s="477" t="n"/>
      <c r="M612" s="477" t="n"/>
      <c r="N612" s="477" t="n"/>
      <c r="O612" s="477" t="n"/>
      <c r="P612" s="477" t="n"/>
      <c r="Q612" s="477" t="n"/>
      <c r="R612" s="477" t="n"/>
      <c r="S612" s="477" t="n"/>
      <c r="T612" s="477" t="n"/>
      <c r="U612" s="477" t="n"/>
      <c r="V612" s="477" t="n"/>
      <c r="W612" s="477" t="n"/>
      <c r="X612" s="477" t="n"/>
      <c r="Y612" s="477" t="n"/>
      <c r="Z612" s="477" t="n"/>
    </row>
    <row r="613" ht="15.75" customHeight="1">
      <c r="A613" s="477" t="n"/>
      <c r="B613" s="477" t="n"/>
      <c r="C613" s="477" t="n"/>
      <c r="D613" s="477" t="n"/>
      <c r="E613" s="477" t="n"/>
      <c r="F613" s="477" t="n"/>
      <c r="G613" s="477" t="n"/>
      <c r="H613" s="505" t="n"/>
      <c r="I613" s="477" t="n"/>
      <c r="J613" s="477" t="n"/>
      <c r="K613" s="477" t="n"/>
      <c r="L613" s="477" t="n"/>
      <c r="M613" s="477" t="n"/>
      <c r="N613" s="477" t="n"/>
      <c r="O613" s="477" t="n"/>
      <c r="P613" s="477" t="n"/>
      <c r="Q613" s="477" t="n"/>
      <c r="R613" s="477" t="n"/>
      <c r="S613" s="477" t="n"/>
      <c r="T613" s="477" t="n"/>
      <c r="U613" s="477" t="n"/>
      <c r="V613" s="477" t="n"/>
      <c r="W613" s="477" t="n"/>
      <c r="X613" s="477" t="n"/>
      <c r="Y613" s="477" t="n"/>
      <c r="Z613" s="477" t="n"/>
    </row>
    <row r="614" ht="15.75" customHeight="1">
      <c r="A614" s="477" t="n"/>
      <c r="B614" s="477" t="n"/>
      <c r="C614" s="477" t="n"/>
      <c r="D614" s="477" t="n"/>
      <c r="E614" s="477" t="n"/>
      <c r="F614" s="477" t="n"/>
      <c r="G614" s="477" t="n"/>
      <c r="H614" s="505" t="n"/>
      <c r="I614" s="477" t="n"/>
      <c r="J614" s="477" t="n"/>
      <c r="K614" s="477" t="n"/>
      <c r="L614" s="477" t="n"/>
      <c r="M614" s="477" t="n"/>
      <c r="N614" s="477" t="n"/>
      <c r="O614" s="477" t="n"/>
      <c r="P614" s="477" t="n"/>
      <c r="Q614" s="477" t="n"/>
      <c r="R614" s="477" t="n"/>
      <c r="S614" s="477" t="n"/>
      <c r="T614" s="477" t="n"/>
      <c r="U614" s="477" t="n"/>
      <c r="V614" s="477" t="n"/>
      <c r="W614" s="477" t="n"/>
      <c r="X614" s="477" t="n"/>
      <c r="Y614" s="477" t="n"/>
      <c r="Z614" s="477" t="n"/>
    </row>
    <row r="615" ht="15.75" customHeight="1">
      <c r="A615" s="477" t="n"/>
      <c r="B615" s="477" t="n"/>
      <c r="C615" s="477" t="n"/>
      <c r="D615" s="477" t="n"/>
      <c r="E615" s="477" t="n"/>
      <c r="F615" s="477" t="n"/>
      <c r="G615" s="477" t="n"/>
      <c r="H615" s="505" t="n"/>
      <c r="I615" s="477" t="n"/>
      <c r="J615" s="477" t="n"/>
      <c r="K615" s="477" t="n"/>
      <c r="L615" s="477" t="n"/>
      <c r="M615" s="477" t="n"/>
      <c r="N615" s="477" t="n"/>
      <c r="O615" s="477" t="n"/>
      <c r="P615" s="477" t="n"/>
      <c r="Q615" s="477" t="n"/>
      <c r="R615" s="477" t="n"/>
      <c r="S615" s="477" t="n"/>
      <c r="T615" s="477" t="n"/>
      <c r="U615" s="477" t="n"/>
      <c r="V615" s="477" t="n"/>
      <c r="W615" s="477" t="n"/>
      <c r="X615" s="477" t="n"/>
      <c r="Y615" s="477" t="n"/>
      <c r="Z615" s="477" t="n"/>
    </row>
    <row r="616" ht="15.75" customHeight="1">
      <c r="A616" s="477" t="n"/>
      <c r="B616" s="477" t="n"/>
      <c r="C616" s="477" t="n"/>
      <c r="D616" s="477" t="n"/>
      <c r="E616" s="477" t="n"/>
      <c r="F616" s="477" t="n"/>
      <c r="G616" s="477" t="n"/>
      <c r="H616" s="505" t="n"/>
      <c r="I616" s="477" t="n"/>
      <c r="J616" s="477" t="n"/>
      <c r="K616" s="477" t="n"/>
      <c r="L616" s="477" t="n"/>
      <c r="M616" s="477" t="n"/>
      <c r="N616" s="477" t="n"/>
      <c r="O616" s="477" t="n"/>
      <c r="P616" s="477" t="n"/>
      <c r="Q616" s="477" t="n"/>
      <c r="R616" s="477" t="n"/>
      <c r="S616" s="477" t="n"/>
      <c r="T616" s="477" t="n"/>
      <c r="U616" s="477" t="n"/>
      <c r="V616" s="477" t="n"/>
      <c r="W616" s="477" t="n"/>
      <c r="X616" s="477" t="n"/>
      <c r="Y616" s="477" t="n"/>
      <c r="Z616" s="477" t="n"/>
    </row>
    <row r="617" ht="15.75" customHeight="1">
      <c r="A617" s="477" t="n"/>
      <c r="B617" s="477" t="n"/>
      <c r="C617" s="477" t="n"/>
      <c r="D617" s="477" t="n"/>
      <c r="E617" s="477" t="n"/>
      <c r="F617" s="477" t="n"/>
      <c r="G617" s="477" t="n"/>
      <c r="H617" s="505" t="n"/>
      <c r="I617" s="477" t="n"/>
      <c r="J617" s="477" t="n"/>
      <c r="K617" s="477" t="n"/>
      <c r="L617" s="477" t="n"/>
      <c r="M617" s="477" t="n"/>
      <c r="N617" s="477" t="n"/>
      <c r="O617" s="477" t="n"/>
      <c r="P617" s="477" t="n"/>
      <c r="Q617" s="477" t="n"/>
      <c r="R617" s="477" t="n"/>
      <c r="S617" s="477" t="n"/>
      <c r="T617" s="477" t="n"/>
      <c r="U617" s="477" t="n"/>
      <c r="V617" s="477" t="n"/>
      <c r="W617" s="477" t="n"/>
      <c r="X617" s="477" t="n"/>
      <c r="Y617" s="477" t="n"/>
      <c r="Z617" s="477" t="n"/>
    </row>
    <row r="618" ht="15.75" customHeight="1">
      <c r="A618" s="477" t="n"/>
      <c r="B618" s="477" t="n"/>
      <c r="C618" s="477" t="n"/>
      <c r="D618" s="477" t="n"/>
      <c r="E618" s="477" t="n"/>
      <c r="F618" s="477" t="n"/>
      <c r="G618" s="477" t="n"/>
      <c r="H618" s="505" t="n"/>
      <c r="I618" s="477" t="n"/>
      <c r="J618" s="477" t="n"/>
      <c r="K618" s="477" t="n"/>
      <c r="L618" s="477" t="n"/>
      <c r="M618" s="477" t="n"/>
      <c r="N618" s="477" t="n"/>
      <c r="O618" s="477" t="n"/>
      <c r="P618" s="477" t="n"/>
      <c r="Q618" s="477" t="n"/>
      <c r="R618" s="477" t="n"/>
      <c r="S618" s="477" t="n"/>
      <c r="T618" s="477" t="n"/>
      <c r="U618" s="477" t="n"/>
      <c r="V618" s="477" t="n"/>
      <c r="W618" s="477" t="n"/>
      <c r="X618" s="477" t="n"/>
      <c r="Y618" s="477" t="n"/>
      <c r="Z618" s="477" t="n"/>
    </row>
    <row r="619" ht="15.75" customHeight="1">
      <c r="A619" s="477" t="n"/>
      <c r="B619" s="477" t="n"/>
      <c r="C619" s="477" t="n"/>
      <c r="D619" s="477" t="n"/>
      <c r="E619" s="477" t="n"/>
      <c r="F619" s="477" t="n"/>
      <c r="G619" s="477" t="n"/>
      <c r="H619" s="505" t="n"/>
      <c r="I619" s="477" t="n"/>
      <c r="J619" s="477" t="n"/>
      <c r="K619" s="477" t="n"/>
      <c r="L619" s="477" t="n"/>
      <c r="M619" s="477" t="n"/>
      <c r="N619" s="477" t="n"/>
      <c r="O619" s="477" t="n"/>
      <c r="P619" s="477" t="n"/>
      <c r="Q619" s="477" t="n"/>
      <c r="R619" s="477" t="n"/>
      <c r="S619" s="477" t="n"/>
      <c r="T619" s="477" t="n"/>
      <c r="U619" s="477" t="n"/>
      <c r="V619" s="477" t="n"/>
      <c r="W619" s="477" t="n"/>
      <c r="X619" s="477" t="n"/>
      <c r="Y619" s="477" t="n"/>
      <c r="Z619" s="477" t="n"/>
    </row>
    <row r="620" ht="15.75" customHeight="1">
      <c r="A620" s="477" t="n"/>
      <c r="B620" s="477" t="n"/>
      <c r="C620" s="477" t="n"/>
      <c r="D620" s="477" t="n"/>
      <c r="E620" s="477" t="n"/>
      <c r="F620" s="477" t="n"/>
      <c r="G620" s="477" t="n"/>
      <c r="H620" s="505" t="n"/>
      <c r="I620" s="477" t="n"/>
      <c r="J620" s="477" t="n"/>
      <c r="K620" s="477" t="n"/>
      <c r="L620" s="477" t="n"/>
      <c r="M620" s="477" t="n"/>
      <c r="N620" s="477" t="n"/>
      <c r="O620" s="477" t="n"/>
      <c r="P620" s="477" t="n"/>
      <c r="Q620" s="477" t="n"/>
      <c r="R620" s="477" t="n"/>
      <c r="S620" s="477" t="n"/>
      <c r="T620" s="477" t="n"/>
      <c r="U620" s="477" t="n"/>
      <c r="V620" s="477" t="n"/>
      <c r="W620" s="477" t="n"/>
      <c r="X620" s="477" t="n"/>
      <c r="Y620" s="477" t="n"/>
      <c r="Z620" s="477" t="n"/>
    </row>
    <row r="621" ht="15.75" customHeight="1">
      <c r="A621" s="477" t="n"/>
      <c r="B621" s="477" t="n"/>
      <c r="C621" s="477" t="n"/>
      <c r="D621" s="477" t="n"/>
      <c r="E621" s="477" t="n"/>
      <c r="F621" s="477" t="n"/>
      <c r="G621" s="477" t="n"/>
      <c r="H621" s="505" t="n"/>
      <c r="I621" s="477" t="n"/>
      <c r="J621" s="477" t="n"/>
      <c r="K621" s="477" t="n"/>
      <c r="L621" s="477" t="n"/>
      <c r="M621" s="477" t="n"/>
      <c r="N621" s="477" t="n"/>
      <c r="O621" s="477" t="n"/>
      <c r="P621" s="477" t="n"/>
      <c r="Q621" s="477" t="n"/>
      <c r="R621" s="477" t="n"/>
      <c r="S621" s="477" t="n"/>
      <c r="T621" s="477" t="n"/>
      <c r="U621" s="477" t="n"/>
      <c r="V621" s="477" t="n"/>
      <c r="W621" s="477" t="n"/>
      <c r="X621" s="477" t="n"/>
      <c r="Y621" s="477" t="n"/>
      <c r="Z621" s="477" t="n"/>
    </row>
    <row r="622" ht="15.75" customHeight="1">
      <c r="A622" s="477" t="n"/>
      <c r="B622" s="477" t="n"/>
      <c r="C622" s="477" t="n"/>
      <c r="D622" s="477" t="n"/>
      <c r="E622" s="477" t="n"/>
      <c r="F622" s="477" t="n"/>
      <c r="G622" s="477" t="n"/>
      <c r="H622" s="505" t="n"/>
      <c r="I622" s="477" t="n"/>
      <c r="J622" s="477" t="n"/>
      <c r="K622" s="477" t="n"/>
      <c r="L622" s="477" t="n"/>
      <c r="M622" s="477" t="n"/>
      <c r="N622" s="477" t="n"/>
      <c r="O622" s="477" t="n"/>
      <c r="P622" s="477" t="n"/>
      <c r="Q622" s="477" t="n"/>
      <c r="R622" s="477" t="n"/>
      <c r="S622" s="477" t="n"/>
      <c r="T622" s="477" t="n"/>
      <c r="U622" s="477" t="n"/>
      <c r="V622" s="477" t="n"/>
      <c r="W622" s="477" t="n"/>
      <c r="X622" s="477" t="n"/>
      <c r="Y622" s="477" t="n"/>
      <c r="Z622" s="477" t="n"/>
    </row>
    <row r="623" ht="15.75" customHeight="1">
      <c r="A623" s="477" t="n"/>
      <c r="B623" s="477" t="n"/>
      <c r="C623" s="477" t="n"/>
      <c r="D623" s="477" t="n"/>
      <c r="E623" s="477" t="n"/>
      <c r="F623" s="477" t="n"/>
      <c r="G623" s="477" t="n"/>
      <c r="H623" s="505" t="n"/>
      <c r="I623" s="477" t="n"/>
      <c r="J623" s="477" t="n"/>
      <c r="K623" s="477" t="n"/>
      <c r="L623" s="477" t="n"/>
      <c r="M623" s="477" t="n"/>
      <c r="N623" s="477" t="n"/>
      <c r="O623" s="477" t="n"/>
      <c r="P623" s="477" t="n"/>
      <c r="Q623" s="477" t="n"/>
      <c r="R623" s="477" t="n"/>
      <c r="S623" s="477" t="n"/>
      <c r="T623" s="477" t="n"/>
      <c r="U623" s="477" t="n"/>
      <c r="V623" s="477" t="n"/>
      <c r="W623" s="477" t="n"/>
      <c r="X623" s="477" t="n"/>
      <c r="Y623" s="477" t="n"/>
      <c r="Z623" s="477" t="n"/>
    </row>
    <row r="624" ht="15.75" customHeight="1">
      <c r="A624" s="477" t="n"/>
      <c r="B624" s="477" t="n"/>
      <c r="C624" s="477" t="n"/>
      <c r="D624" s="477" t="n"/>
      <c r="E624" s="477" t="n"/>
      <c r="F624" s="477" t="n"/>
      <c r="G624" s="477" t="n"/>
      <c r="H624" s="505" t="n"/>
      <c r="I624" s="477" t="n"/>
      <c r="J624" s="477" t="n"/>
      <c r="K624" s="477" t="n"/>
      <c r="L624" s="477" t="n"/>
      <c r="M624" s="477" t="n"/>
      <c r="N624" s="477" t="n"/>
      <c r="O624" s="477" t="n"/>
      <c r="P624" s="477" t="n"/>
      <c r="Q624" s="477" t="n"/>
      <c r="R624" s="477" t="n"/>
      <c r="S624" s="477" t="n"/>
      <c r="T624" s="477" t="n"/>
      <c r="U624" s="477" t="n"/>
      <c r="V624" s="477" t="n"/>
      <c r="W624" s="477" t="n"/>
      <c r="X624" s="477" t="n"/>
      <c r="Y624" s="477" t="n"/>
      <c r="Z624" s="477" t="n"/>
    </row>
    <row r="625" ht="15.75" customHeight="1">
      <c r="A625" s="477" t="n"/>
      <c r="B625" s="477" t="n"/>
      <c r="C625" s="477" t="n"/>
      <c r="D625" s="477" t="n"/>
      <c r="E625" s="477" t="n"/>
      <c r="F625" s="477" t="n"/>
      <c r="G625" s="477" t="n"/>
      <c r="H625" s="505" t="n"/>
      <c r="I625" s="477" t="n"/>
      <c r="J625" s="477" t="n"/>
      <c r="K625" s="477" t="n"/>
      <c r="L625" s="477" t="n"/>
      <c r="M625" s="477" t="n"/>
      <c r="N625" s="477" t="n"/>
      <c r="O625" s="477" t="n"/>
      <c r="P625" s="477" t="n"/>
      <c r="Q625" s="477" t="n"/>
      <c r="R625" s="477" t="n"/>
      <c r="S625" s="477" t="n"/>
      <c r="T625" s="477" t="n"/>
      <c r="U625" s="477" t="n"/>
      <c r="V625" s="477" t="n"/>
      <c r="W625" s="477" t="n"/>
      <c r="X625" s="477" t="n"/>
      <c r="Y625" s="477" t="n"/>
      <c r="Z625" s="477" t="n"/>
    </row>
    <row r="626" ht="15.75" customHeight="1">
      <c r="A626" s="477" t="n"/>
      <c r="B626" s="477" t="n"/>
      <c r="C626" s="477" t="n"/>
      <c r="D626" s="477" t="n"/>
      <c r="E626" s="477" t="n"/>
      <c r="F626" s="477" t="n"/>
      <c r="G626" s="477" t="n"/>
      <c r="H626" s="505" t="n"/>
      <c r="I626" s="477" t="n"/>
      <c r="J626" s="477" t="n"/>
      <c r="K626" s="477" t="n"/>
      <c r="L626" s="477" t="n"/>
      <c r="M626" s="477" t="n"/>
      <c r="N626" s="477" t="n"/>
      <c r="O626" s="477" t="n"/>
      <c r="P626" s="477" t="n"/>
      <c r="Q626" s="477" t="n"/>
      <c r="R626" s="477" t="n"/>
      <c r="S626" s="477" t="n"/>
      <c r="T626" s="477" t="n"/>
      <c r="U626" s="477" t="n"/>
      <c r="V626" s="477" t="n"/>
      <c r="W626" s="477" t="n"/>
      <c r="X626" s="477" t="n"/>
      <c r="Y626" s="477" t="n"/>
      <c r="Z626" s="477" t="n"/>
    </row>
    <row r="627" ht="15.75" customHeight="1">
      <c r="A627" s="477" t="n"/>
      <c r="B627" s="477" t="n"/>
      <c r="C627" s="477" t="n"/>
      <c r="D627" s="477" t="n"/>
      <c r="E627" s="477" t="n"/>
      <c r="F627" s="477" t="n"/>
      <c r="G627" s="477" t="n"/>
      <c r="H627" s="505" t="n"/>
      <c r="I627" s="477" t="n"/>
      <c r="J627" s="477" t="n"/>
      <c r="K627" s="477" t="n"/>
      <c r="L627" s="477" t="n"/>
      <c r="M627" s="477" t="n"/>
      <c r="N627" s="477" t="n"/>
      <c r="O627" s="477" t="n"/>
      <c r="P627" s="477" t="n"/>
      <c r="Q627" s="477" t="n"/>
      <c r="R627" s="477" t="n"/>
      <c r="S627" s="477" t="n"/>
      <c r="T627" s="477" t="n"/>
      <c r="U627" s="477" t="n"/>
      <c r="V627" s="477" t="n"/>
      <c r="W627" s="477" t="n"/>
      <c r="X627" s="477" t="n"/>
      <c r="Y627" s="477" t="n"/>
      <c r="Z627" s="477" t="n"/>
    </row>
    <row r="628" ht="15.75" customHeight="1">
      <c r="A628" s="477" t="n"/>
      <c r="B628" s="477" t="n"/>
      <c r="C628" s="477" t="n"/>
      <c r="D628" s="477" t="n"/>
      <c r="E628" s="477" t="n"/>
      <c r="F628" s="477" t="n"/>
      <c r="G628" s="477" t="n"/>
      <c r="H628" s="505" t="n"/>
      <c r="I628" s="477" t="n"/>
      <c r="J628" s="477" t="n"/>
      <c r="K628" s="477" t="n"/>
      <c r="L628" s="477" t="n"/>
      <c r="M628" s="477" t="n"/>
      <c r="N628" s="477" t="n"/>
      <c r="O628" s="477" t="n"/>
      <c r="P628" s="477" t="n"/>
      <c r="Q628" s="477" t="n"/>
      <c r="R628" s="477" t="n"/>
      <c r="S628" s="477" t="n"/>
      <c r="T628" s="477" t="n"/>
      <c r="U628" s="477" t="n"/>
      <c r="V628" s="477" t="n"/>
      <c r="W628" s="477" t="n"/>
      <c r="X628" s="477" t="n"/>
      <c r="Y628" s="477" t="n"/>
      <c r="Z628" s="477" t="n"/>
    </row>
    <row r="629" ht="15.75" customHeight="1">
      <c r="A629" s="477" t="n"/>
      <c r="B629" s="477" t="n"/>
      <c r="C629" s="477" t="n"/>
      <c r="D629" s="477" t="n"/>
      <c r="E629" s="477" t="n"/>
      <c r="F629" s="477" t="n"/>
      <c r="G629" s="477" t="n"/>
      <c r="H629" s="505" t="n"/>
      <c r="I629" s="477" t="n"/>
      <c r="J629" s="477" t="n"/>
      <c r="K629" s="477" t="n"/>
      <c r="L629" s="477" t="n"/>
      <c r="M629" s="477" t="n"/>
      <c r="N629" s="477" t="n"/>
      <c r="O629" s="477" t="n"/>
      <c r="P629" s="477" t="n"/>
      <c r="Q629" s="477" t="n"/>
      <c r="R629" s="477" t="n"/>
      <c r="S629" s="477" t="n"/>
      <c r="T629" s="477" t="n"/>
      <c r="U629" s="477" t="n"/>
      <c r="V629" s="477" t="n"/>
      <c r="W629" s="477" t="n"/>
      <c r="X629" s="477" t="n"/>
      <c r="Y629" s="477" t="n"/>
      <c r="Z629" s="477" t="n"/>
    </row>
    <row r="630" ht="15.75" customHeight="1">
      <c r="A630" s="477" t="n"/>
      <c r="B630" s="477" t="n"/>
      <c r="C630" s="477" t="n"/>
      <c r="D630" s="477" t="n"/>
      <c r="E630" s="477" t="n"/>
      <c r="F630" s="477" t="n"/>
      <c r="G630" s="477" t="n"/>
      <c r="H630" s="505" t="n"/>
      <c r="I630" s="477" t="n"/>
      <c r="J630" s="477" t="n"/>
      <c r="K630" s="477" t="n"/>
      <c r="L630" s="477" t="n"/>
      <c r="M630" s="477" t="n"/>
      <c r="N630" s="477" t="n"/>
      <c r="O630" s="477" t="n"/>
      <c r="P630" s="477" t="n"/>
      <c r="Q630" s="477" t="n"/>
      <c r="R630" s="477" t="n"/>
      <c r="S630" s="477" t="n"/>
      <c r="T630" s="477" t="n"/>
      <c r="U630" s="477" t="n"/>
      <c r="V630" s="477" t="n"/>
      <c r="W630" s="477" t="n"/>
      <c r="X630" s="477" t="n"/>
      <c r="Y630" s="477" t="n"/>
      <c r="Z630" s="477" t="n"/>
    </row>
    <row r="631" ht="15.75" customHeight="1">
      <c r="A631" s="477" t="n"/>
      <c r="B631" s="477" t="n"/>
      <c r="C631" s="477" t="n"/>
      <c r="D631" s="477" t="n"/>
      <c r="E631" s="477" t="n"/>
      <c r="F631" s="477" t="n"/>
      <c r="G631" s="477" t="n"/>
      <c r="H631" s="505" t="n"/>
      <c r="I631" s="477" t="n"/>
      <c r="J631" s="477" t="n"/>
      <c r="K631" s="477" t="n"/>
      <c r="L631" s="477" t="n"/>
      <c r="M631" s="477" t="n"/>
      <c r="N631" s="477" t="n"/>
      <c r="O631" s="477" t="n"/>
      <c r="P631" s="477" t="n"/>
      <c r="Q631" s="477" t="n"/>
      <c r="R631" s="477" t="n"/>
      <c r="S631" s="477" t="n"/>
      <c r="T631" s="477" t="n"/>
      <c r="U631" s="477" t="n"/>
      <c r="V631" s="477" t="n"/>
      <c r="W631" s="477" t="n"/>
      <c r="X631" s="477" t="n"/>
      <c r="Y631" s="477" t="n"/>
      <c r="Z631" s="477" t="n"/>
    </row>
    <row r="632" ht="15.75" customHeight="1">
      <c r="A632" s="477" t="n"/>
      <c r="B632" s="477" t="n"/>
      <c r="C632" s="477" t="n"/>
      <c r="D632" s="477" t="n"/>
      <c r="E632" s="477" t="n"/>
      <c r="F632" s="477" t="n"/>
      <c r="G632" s="477" t="n"/>
      <c r="H632" s="505" t="n"/>
      <c r="I632" s="477" t="n"/>
      <c r="J632" s="477" t="n"/>
      <c r="K632" s="477" t="n"/>
      <c r="L632" s="477" t="n"/>
      <c r="M632" s="477" t="n"/>
      <c r="N632" s="477" t="n"/>
      <c r="O632" s="477" t="n"/>
      <c r="P632" s="477" t="n"/>
      <c r="Q632" s="477" t="n"/>
      <c r="R632" s="477" t="n"/>
      <c r="S632" s="477" t="n"/>
      <c r="T632" s="477" t="n"/>
      <c r="U632" s="477" t="n"/>
      <c r="V632" s="477" t="n"/>
      <c r="W632" s="477" t="n"/>
      <c r="X632" s="477" t="n"/>
      <c r="Y632" s="477" t="n"/>
      <c r="Z632" s="477" t="n"/>
    </row>
    <row r="633" ht="15.75" customHeight="1">
      <c r="A633" s="477" t="n"/>
      <c r="B633" s="477" t="n"/>
      <c r="C633" s="477" t="n"/>
      <c r="D633" s="477" t="n"/>
      <c r="E633" s="477" t="n"/>
      <c r="F633" s="477" t="n"/>
      <c r="G633" s="477" t="n"/>
      <c r="H633" s="505" t="n"/>
      <c r="I633" s="477" t="n"/>
      <c r="J633" s="477" t="n"/>
      <c r="K633" s="477" t="n"/>
      <c r="L633" s="477" t="n"/>
      <c r="M633" s="477" t="n"/>
      <c r="N633" s="477" t="n"/>
      <c r="O633" s="477" t="n"/>
      <c r="P633" s="477" t="n"/>
      <c r="Q633" s="477" t="n"/>
      <c r="R633" s="477" t="n"/>
      <c r="S633" s="477" t="n"/>
      <c r="T633" s="477" t="n"/>
      <c r="U633" s="477" t="n"/>
      <c r="V633" s="477" t="n"/>
      <c r="W633" s="477" t="n"/>
      <c r="X633" s="477" t="n"/>
      <c r="Y633" s="477" t="n"/>
      <c r="Z633" s="477" t="n"/>
    </row>
    <row r="634" ht="15.75" customHeight="1">
      <c r="A634" s="477" t="n"/>
      <c r="B634" s="477" t="n"/>
      <c r="C634" s="477" t="n"/>
      <c r="D634" s="477" t="n"/>
      <c r="E634" s="477" t="n"/>
      <c r="F634" s="477" t="n"/>
      <c r="G634" s="477" t="n"/>
      <c r="H634" s="505" t="n"/>
      <c r="I634" s="477" t="n"/>
      <c r="J634" s="477" t="n"/>
      <c r="K634" s="477" t="n"/>
      <c r="L634" s="477" t="n"/>
      <c r="M634" s="477" t="n"/>
      <c r="N634" s="477" t="n"/>
      <c r="O634" s="477" t="n"/>
      <c r="P634" s="477" t="n"/>
      <c r="Q634" s="477" t="n"/>
      <c r="R634" s="477" t="n"/>
      <c r="S634" s="477" t="n"/>
      <c r="T634" s="477" t="n"/>
      <c r="U634" s="477" t="n"/>
      <c r="V634" s="477" t="n"/>
      <c r="W634" s="477" t="n"/>
      <c r="X634" s="477" t="n"/>
      <c r="Y634" s="477" t="n"/>
      <c r="Z634" s="477" t="n"/>
    </row>
    <row r="635" ht="15.75" customHeight="1">
      <c r="A635" s="477" t="n"/>
      <c r="B635" s="477" t="n"/>
      <c r="C635" s="477" t="n"/>
      <c r="D635" s="477" t="n"/>
      <c r="E635" s="477" t="n"/>
      <c r="F635" s="477" t="n"/>
      <c r="G635" s="477" t="n"/>
      <c r="H635" s="505" t="n"/>
      <c r="I635" s="477" t="n"/>
      <c r="J635" s="477" t="n"/>
      <c r="K635" s="477" t="n"/>
      <c r="L635" s="477" t="n"/>
      <c r="M635" s="477" t="n"/>
      <c r="N635" s="477" t="n"/>
      <c r="O635" s="477" t="n"/>
      <c r="P635" s="477" t="n"/>
      <c r="Q635" s="477" t="n"/>
      <c r="R635" s="477" t="n"/>
      <c r="S635" s="477" t="n"/>
      <c r="T635" s="477" t="n"/>
      <c r="U635" s="477" t="n"/>
      <c r="V635" s="477" t="n"/>
      <c r="W635" s="477" t="n"/>
      <c r="X635" s="477" t="n"/>
      <c r="Y635" s="477" t="n"/>
      <c r="Z635" s="477" t="n"/>
    </row>
    <row r="636" ht="15.75" customHeight="1">
      <c r="A636" s="477" t="n"/>
      <c r="B636" s="477" t="n"/>
      <c r="C636" s="477" t="n"/>
      <c r="D636" s="477" t="n"/>
      <c r="E636" s="477" t="n"/>
      <c r="F636" s="477" t="n"/>
      <c r="G636" s="477" t="n"/>
      <c r="H636" s="505" t="n"/>
      <c r="I636" s="477" t="n"/>
      <c r="J636" s="477" t="n"/>
      <c r="K636" s="477" t="n"/>
      <c r="L636" s="477" t="n"/>
      <c r="M636" s="477" t="n"/>
      <c r="N636" s="477" t="n"/>
      <c r="O636" s="477" t="n"/>
      <c r="P636" s="477" t="n"/>
      <c r="Q636" s="477" t="n"/>
      <c r="R636" s="477" t="n"/>
      <c r="S636" s="477" t="n"/>
      <c r="T636" s="477" t="n"/>
      <c r="U636" s="477" t="n"/>
      <c r="V636" s="477" t="n"/>
      <c r="W636" s="477" t="n"/>
      <c r="X636" s="477" t="n"/>
      <c r="Y636" s="477" t="n"/>
      <c r="Z636" s="477" t="n"/>
    </row>
    <row r="637" ht="15.75" customHeight="1">
      <c r="A637" s="477" t="n"/>
      <c r="B637" s="477" t="n"/>
      <c r="C637" s="477" t="n"/>
      <c r="D637" s="477" t="n"/>
      <c r="E637" s="477" t="n"/>
      <c r="F637" s="477" t="n"/>
      <c r="G637" s="477" t="n"/>
      <c r="H637" s="505" t="n"/>
      <c r="I637" s="477" t="n"/>
      <c r="J637" s="477" t="n"/>
      <c r="K637" s="477" t="n"/>
      <c r="L637" s="477" t="n"/>
      <c r="M637" s="477" t="n"/>
      <c r="N637" s="477" t="n"/>
      <c r="O637" s="477" t="n"/>
      <c r="P637" s="477" t="n"/>
      <c r="Q637" s="477" t="n"/>
      <c r="R637" s="477" t="n"/>
      <c r="S637" s="477" t="n"/>
      <c r="T637" s="477" t="n"/>
      <c r="U637" s="477" t="n"/>
      <c r="V637" s="477" t="n"/>
      <c r="W637" s="477" t="n"/>
      <c r="X637" s="477" t="n"/>
      <c r="Y637" s="477" t="n"/>
      <c r="Z637" s="477" t="n"/>
    </row>
    <row r="638" ht="15.75" customHeight="1">
      <c r="A638" s="477" t="n"/>
      <c r="B638" s="477" t="n"/>
      <c r="C638" s="477" t="n"/>
      <c r="D638" s="477" t="n"/>
      <c r="E638" s="477" t="n"/>
      <c r="F638" s="477" t="n"/>
      <c r="G638" s="477" t="n"/>
      <c r="H638" s="505" t="n"/>
      <c r="I638" s="477" t="n"/>
      <c r="J638" s="477" t="n"/>
      <c r="K638" s="477" t="n"/>
      <c r="L638" s="477" t="n"/>
      <c r="M638" s="477" t="n"/>
      <c r="N638" s="477" t="n"/>
      <c r="O638" s="477" t="n"/>
      <c r="P638" s="477" t="n"/>
      <c r="Q638" s="477" t="n"/>
      <c r="R638" s="477" t="n"/>
      <c r="S638" s="477" t="n"/>
      <c r="T638" s="477" t="n"/>
      <c r="U638" s="477" t="n"/>
      <c r="V638" s="477" t="n"/>
      <c r="W638" s="477" t="n"/>
      <c r="X638" s="477" t="n"/>
      <c r="Y638" s="477" t="n"/>
      <c r="Z638" s="477" t="n"/>
    </row>
    <row r="639" ht="15.75" customHeight="1">
      <c r="A639" s="477" t="n"/>
      <c r="B639" s="477" t="n"/>
      <c r="C639" s="477" t="n"/>
      <c r="D639" s="477" t="n"/>
      <c r="E639" s="477" t="n"/>
      <c r="F639" s="477" t="n"/>
      <c r="G639" s="477" t="n"/>
      <c r="H639" s="505" t="n"/>
      <c r="I639" s="477" t="n"/>
      <c r="J639" s="477" t="n"/>
      <c r="K639" s="477" t="n"/>
      <c r="L639" s="477" t="n"/>
      <c r="M639" s="477" t="n"/>
      <c r="N639" s="477" t="n"/>
      <c r="O639" s="477" t="n"/>
      <c r="P639" s="477" t="n"/>
      <c r="Q639" s="477" t="n"/>
      <c r="R639" s="477" t="n"/>
      <c r="S639" s="477" t="n"/>
      <c r="T639" s="477" t="n"/>
      <c r="U639" s="477" t="n"/>
      <c r="V639" s="477" t="n"/>
      <c r="W639" s="477" t="n"/>
      <c r="X639" s="477" t="n"/>
      <c r="Y639" s="477" t="n"/>
      <c r="Z639" s="477" t="n"/>
    </row>
    <row r="640" ht="15.75" customHeight="1">
      <c r="A640" s="477" t="n"/>
      <c r="B640" s="477" t="n"/>
      <c r="C640" s="477" t="n"/>
      <c r="D640" s="477" t="n"/>
      <c r="E640" s="477" t="n"/>
      <c r="F640" s="477" t="n"/>
      <c r="G640" s="477" t="n"/>
      <c r="H640" s="505" t="n"/>
      <c r="I640" s="477" t="n"/>
      <c r="J640" s="477" t="n"/>
      <c r="K640" s="477" t="n"/>
      <c r="L640" s="477" t="n"/>
      <c r="M640" s="477" t="n"/>
      <c r="N640" s="477" t="n"/>
      <c r="O640" s="477" t="n"/>
      <c r="P640" s="477" t="n"/>
      <c r="Q640" s="477" t="n"/>
      <c r="R640" s="477" t="n"/>
      <c r="S640" s="477" t="n"/>
      <c r="T640" s="477" t="n"/>
      <c r="U640" s="477" t="n"/>
      <c r="V640" s="477" t="n"/>
      <c r="W640" s="477" t="n"/>
      <c r="X640" s="477" t="n"/>
      <c r="Y640" s="477" t="n"/>
      <c r="Z640" s="477" t="n"/>
    </row>
    <row r="641" ht="15.75" customHeight="1">
      <c r="A641" s="477" t="n"/>
      <c r="B641" s="477" t="n"/>
      <c r="C641" s="477" t="n"/>
      <c r="D641" s="477" t="n"/>
      <c r="E641" s="477" t="n"/>
      <c r="F641" s="477" t="n"/>
      <c r="G641" s="477" t="n"/>
      <c r="H641" s="505" t="n"/>
      <c r="I641" s="477" t="n"/>
      <c r="J641" s="477" t="n"/>
      <c r="K641" s="477" t="n"/>
      <c r="L641" s="477" t="n"/>
      <c r="M641" s="477" t="n"/>
      <c r="N641" s="477" t="n"/>
      <c r="O641" s="477" t="n"/>
      <c r="P641" s="477" t="n"/>
      <c r="Q641" s="477" t="n"/>
      <c r="R641" s="477" t="n"/>
      <c r="S641" s="477" t="n"/>
      <c r="T641" s="477" t="n"/>
      <c r="U641" s="477" t="n"/>
      <c r="V641" s="477" t="n"/>
      <c r="W641" s="477" t="n"/>
      <c r="X641" s="477" t="n"/>
      <c r="Y641" s="477" t="n"/>
      <c r="Z641" s="477" t="n"/>
    </row>
    <row r="642" ht="15.75" customHeight="1">
      <c r="A642" s="477" t="n"/>
      <c r="B642" s="477" t="n"/>
      <c r="C642" s="477" t="n"/>
      <c r="D642" s="477" t="n"/>
      <c r="E642" s="477" t="n"/>
      <c r="F642" s="477" t="n"/>
      <c r="G642" s="477" t="n"/>
      <c r="H642" s="505" t="n"/>
      <c r="I642" s="477" t="n"/>
      <c r="J642" s="477" t="n"/>
      <c r="K642" s="477" t="n"/>
      <c r="L642" s="477" t="n"/>
      <c r="M642" s="477" t="n"/>
      <c r="N642" s="477" t="n"/>
      <c r="O642" s="477" t="n"/>
      <c r="P642" s="477" t="n"/>
      <c r="Q642" s="477" t="n"/>
      <c r="R642" s="477" t="n"/>
      <c r="S642" s="477" t="n"/>
      <c r="T642" s="477" t="n"/>
      <c r="U642" s="477" t="n"/>
      <c r="V642" s="477" t="n"/>
      <c r="W642" s="477" t="n"/>
      <c r="X642" s="477" t="n"/>
      <c r="Y642" s="477" t="n"/>
      <c r="Z642" s="477" t="n"/>
    </row>
    <row r="643" ht="15.75" customHeight="1">
      <c r="A643" s="477" t="n"/>
      <c r="B643" s="477" t="n"/>
      <c r="C643" s="477" t="n"/>
      <c r="D643" s="477" t="n"/>
      <c r="E643" s="477" t="n"/>
      <c r="F643" s="477" t="n"/>
      <c r="G643" s="477" t="n"/>
      <c r="H643" s="505" t="n"/>
      <c r="I643" s="477" t="n"/>
      <c r="J643" s="477" t="n"/>
      <c r="K643" s="477" t="n"/>
      <c r="L643" s="477" t="n"/>
      <c r="M643" s="477" t="n"/>
      <c r="N643" s="477" t="n"/>
      <c r="O643" s="477" t="n"/>
      <c r="P643" s="477" t="n"/>
      <c r="Q643" s="477" t="n"/>
      <c r="R643" s="477" t="n"/>
      <c r="S643" s="477" t="n"/>
      <c r="T643" s="477" t="n"/>
      <c r="U643" s="477" t="n"/>
      <c r="V643" s="477" t="n"/>
      <c r="W643" s="477" t="n"/>
      <c r="X643" s="477" t="n"/>
      <c r="Y643" s="477" t="n"/>
      <c r="Z643" s="477" t="n"/>
    </row>
    <row r="644" ht="15.75" customHeight="1">
      <c r="A644" s="477" t="n"/>
      <c r="B644" s="477" t="n"/>
      <c r="C644" s="477" t="n"/>
      <c r="D644" s="477" t="n"/>
      <c r="E644" s="477" t="n"/>
      <c r="F644" s="477" t="n"/>
      <c r="G644" s="477" t="n"/>
      <c r="H644" s="505" t="n"/>
      <c r="I644" s="477" t="n"/>
      <c r="J644" s="477" t="n"/>
      <c r="K644" s="477" t="n"/>
      <c r="L644" s="477" t="n"/>
      <c r="M644" s="477" t="n"/>
      <c r="N644" s="477" t="n"/>
      <c r="O644" s="477" t="n"/>
      <c r="P644" s="477" t="n"/>
      <c r="Q644" s="477" t="n"/>
      <c r="R644" s="477" t="n"/>
      <c r="S644" s="477" t="n"/>
      <c r="T644" s="477" t="n"/>
      <c r="U644" s="477" t="n"/>
      <c r="V644" s="477" t="n"/>
      <c r="W644" s="477" t="n"/>
      <c r="X644" s="477" t="n"/>
      <c r="Y644" s="477" t="n"/>
      <c r="Z644" s="477" t="n"/>
    </row>
    <row r="645" ht="15.75" customHeight="1">
      <c r="A645" s="477" t="n"/>
      <c r="B645" s="477" t="n"/>
      <c r="C645" s="477" t="n"/>
      <c r="D645" s="477" t="n"/>
      <c r="E645" s="477" t="n"/>
      <c r="F645" s="477" t="n"/>
      <c r="G645" s="477" t="n"/>
      <c r="H645" s="505" t="n"/>
      <c r="I645" s="477" t="n"/>
      <c r="J645" s="477" t="n"/>
      <c r="K645" s="477" t="n"/>
      <c r="L645" s="477" t="n"/>
      <c r="M645" s="477" t="n"/>
      <c r="N645" s="477" t="n"/>
      <c r="O645" s="477" t="n"/>
      <c r="P645" s="477" t="n"/>
      <c r="Q645" s="477" t="n"/>
      <c r="R645" s="477" t="n"/>
      <c r="S645" s="477" t="n"/>
      <c r="T645" s="477" t="n"/>
      <c r="U645" s="477" t="n"/>
      <c r="V645" s="477" t="n"/>
      <c r="W645" s="477" t="n"/>
      <c r="X645" s="477" t="n"/>
      <c r="Y645" s="477" t="n"/>
      <c r="Z645" s="477" t="n"/>
    </row>
    <row r="646" ht="15.75" customHeight="1">
      <c r="A646" s="477" t="n"/>
      <c r="B646" s="477" t="n"/>
      <c r="C646" s="477" t="n"/>
      <c r="D646" s="477" t="n"/>
      <c r="E646" s="477" t="n"/>
      <c r="F646" s="477" t="n"/>
      <c r="G646" s="477" t="n"/>
      <c r="H646" s="505" t="n"/>
      <c r="I646" s="477" t="n"/>
      <c r="J646" s="477" t="n"/>
      <c r="K646" s="477" t="n"/>
      <c r="L646" s="477" t="n"/>
      <c r="M646" s="477" t="n"/>
      <c r="N646" s="477" t="n"/>
      <c r="O646" s="477" t="n"/>
      <c r="P646" s="477" t="n"/>
      <c r="Q646" s="477" t="n"/>
      <c r="R646" s="477" t="n"/>
      <c r="S646" s="477" t="n"/>
      <c r="T646" s="477" t="n"/>
      <c r="U646" s="477" t="n"/>
      <c r="V646" s="477" t="n"/>
      <c r="W646" s="477" t="n"/>
      <c r="X646" s="477" t="n"/>
      <c r="Y646" s="477" t="n"/>
      <c r="Z646" s="477" t="n"/>
    </row>
    <row r="647" ht="15.75" customHeight="1">
      <c r="A647" s="477" t="n"/>
      <c r="B647" s="477" t="n"/>
      <c r="C647" s="477" t="n"/>
      <c r="D647" s="477" t="n"/>
      <c r="E647" s="477" t="n"/>
      <c r="F647" s="477" t="n"/>
      <c r="G647" s="477" t="n"/>
      <c r="H647" s="505" t="n"/>
      <c r="I647" s="477" t="n"/>
      <c r="J647" s="477" t="n"/>
      <c r="K647" s="477" t="n"/>
      <c r="L647" s="477" t="n"/>
      <c r="M647" s="477" t="n"/>
      <c r="N647" s="477" t="n"/>
      <c r="O647" s="477" t="n"/>
      <c r="P647" s="477" t="n"/>
      <c r="Q647" s="477" t="n"/>
      <c r="R647" s="477" t="n"/>
      <c r="S647" s="477" t="n"/>
      <c r="T647" s="477" t="n"/>
      <c r="U647" s="477" t="n"/>
      <c r="V647" s="477" t="n"/>
      <c r="W647" s="477" t="n"/>
      <c r="X647" s="477" t="n"/>
      <c r="Y647" s="477" t="n"/>
      <c r="Z647" s="477" t="n"/>
    </row>
    <row r="648" ht="15.75" customHeight="1">
      <c r="A648" s="477" t="n"/>
      <c r="B648" s="477" t="n"/>
      <c r="C648" s="477" t="n"/>
      <c r="D648" s="477" t="n"/>
      <c r="E648" s="477" t="n"/>
      <c r="F648" s="477" t="n"/>
      <c r="G648" s="477" t="n"/>
      <c r="H648" s="505" t="n"/>
      <c r="I648" s="477" t="n"/>
      <c r="J648" s="477" t="n"/>
      <c r="K648" s="477" t="n"/>
      <c r="L648" s="477" t="n"/>
      <c r="M648" s="477" t="n"/>
      <c r="N648" s="477" t="n"/>
      <c r="O648" s="477" t="n"/>
      <c r="P648" s="477" t="n"/>
      <c r="Q648" s="477" t="n"/>
      <c r="R648" s="477" t="n"/>
      <c r="S648" s="477" t="n"/>
      <c r="T648" s="477" t="n"/>
      <c r="U648" s="477" t="n"/>
      <c r="V648" s="477" t="n"/>
      <c r="W648" s="477" t="n"/>
      <c r="X648" s="477" t="n"/>
      <c r="Y648" s="477" t="n"/>
      <c r="Z648" s="477" t="n"/>
    </row>
    <row r="649" ht="15.75" customHeight="1">
      <c r="A649" s="477" t="n"/>
      <c r="B649" s="477" t="n"/>
      <c r="C649" s="477" t="n"/>
      <c r="D649" s="477" t="n"/>
      <c r="E649" s="477" t="n"/>
      <c r="F649" s="477" t="n"/>
      <c r="G649" s="477" t="n"/>
      <c r="H649" s="505" t="n"/>
      <c r="I649" s="477" t="n"/>
      <c r="J649" s="477" t="n"/>
      <c r="K649" s="477" t="n"/>
      <c r="L649" s="477" t="n"/>
      <c r="M649" s="477" t="n"/>
      <c r="N649" s="477" t="n"/>
      <c r="O649" s="477" t="n"/>
      <c r="P649" s="477" t="n"/>
      <c r="Q649" s="477" t="n"/>
      <c r="R649" s="477" t="n"/>
      <c r="S649" s="477" t="n"/>
      <c r="T649" s="477" t="n"/>
      <c r="U649" s="477" t="n"/>
      <c r="V649" s="477" t="n"/>
      <c r="W649" s="477" t="n"/>
      <c r="X649" s="477" t="n"/>
      <c r="Y649" s="477" t="n"/>
      <c r="Z649" s="477" t="n"/>
    </row>
    <row r="650" ht="15.75" customHeight="1">
      <c r="A650" s="477" t="n"/>
      <c r="B650" s="477" t="n"/>
      <c r="C650" s="477" t="n"/>
      <c r="D650" s="477" t="n"/>
      <c r="E650" s="477" t="n"/>
      <c r="F650" s="477" t="n"/>
      <c r="G650" s="477" t="n"/>
      <c r="H650" s="505" t="n"/>
      <c r="I650" s="477" t="n"/>
      <c r="J650" s="477" t="n"/>
      <c r="K650" s="477" t="n"/>
      <c r="L650" s="477" t="n"/>
      <c r="M650" s="477" t="n"/>
      <c r="N650" s="477" t="n"/>
      <c r="O650" s="477" t="n"/>
      <c r="P650" s="477" t="n"/>
      <c r="Q650" s="477" t="n"/>
      <c r="R650" s="477" t="n"/>
      <c r="S650" s="477" t="n"/>
      <c r="T650" s="477" t="n"/>
      <c r="U650" s="477" t="n"/>
      <c r="V650" s="477" t="n"/>
      <c r="W650" s="477" t="n"/>
      <c r="X650" s="477" t="n"/>
      <c r="Y650" s="477" t="n"/>
      <c r="Z650" s="477" t="n"/>
    </row>
    <row r="651" ht="15.75" customHeight="1">
      <c r="A651" s="477" t="n"/>
      <c r="B651" s="477" t="n"/>
      <c r="C651" s="477" t="n"/>
      <c r="D651" s="477" t="n"/>
      <c r="E651" s="477" t="n"/>
      <c r="F651" s="477" t="n"/>
      <c r="G651" s="477" t="n"/>
      <c r="H651" s="505" t="n"/>
      <c r="I651" s="477" t="n"/>
      <c r="J651" s="477" t="n"/>
      <c r="K651" s="477" t="n"/>
      <c r="L651" s="477" t="n"/>
      <c r="M651" s="477" t="n"/>
      <c r="N651" s="477" t="n"/>
      <c r="O651" s="477" t="n"/>
      <c r="P651" s="477" t="n"/>
      <c r="Q651" s="477" t="n"/>
      <c r="R651" s="477" t="n"/>
      <c r="S651" s="477" t="n"/>
      <c r="T651" s="477" t="n"/>
      <c r="U651" s="477" t="n"/>
      <c r="V651" s="477" t="n"/>
      <c r="W651" s="477" t="n"/>
      <c r="X651" s="477" t="n"/>
      <c r="Y651" s="477" t="n"/>
      <c r="Z651" s="477" t="n"/>
    </row>
    <row r="652" ht="15.75" customHeight="1">
      <c r="A652" s="477" t="n"/>
      <c r="B652" s="477" t="n"/>
      <c r="C652" s="477" t="n"/>
      <c r="D652" s="477" t="n"/>
      <c r="E652" s="477" t="n"/>
      <c r="F652" s="477" t="n"/>
      <c r="G652" s="477" t="n"/>
      <c r="H652" s="505" t="n"/>
      <c r="I652" s="477" t="n"/>
      <c r="J652" s="477" t="n"/>
      <c r="K652" s="477" t="n"/>
      <c r="L652" s="477" t="n"/>
      <c r="M652" s="477" t="n"/>
      <c r="N652" s="477" t="n"/>
      <c r="O652" s="477" t="n"/>
      <c r="P652" s="477" t="n"/>
      <c r="Q652" s="477" t="n"/>
      <c r="R652" s="477" t="n"/>
      <c r="S652" s="477" t="n"/>
      <c r="T652" s="477" t="n"/>
      <c r="U652" s="477" t="n"/>
      <c r="V652" s="477" t="n"/>
      <c r="W652" s="477" t="n"/>
      <c r="X652" s="477" t="n"/>
      <c r="Y652" s="477" t="n"/>
      <c r="Z652" s="477" t="n"/>
    </row>
    <row r="653" ht="15.75" customHeight="1">
      <c r="A653" s="477" t="n"/>
      <c r="B653" s="477" t="n"/>
      <c r="C653" s="477" t="n"/>
      <c r="D653" s="477" t="n"/>
      <c r="E653" s="477" t="n"/>
      <c r="F653" s="477" t="n"/>
      <c r="G653" s="477" t="n"/>
      <c r="H653" s="505" t="n"/>
      <c r="I653" s="477" t="n"/>
      <c r="J653" s="477" t="n"/>
      <c r="K653" s="477" t="n"/>
      <c r="L653" s="477" t="n"/>
      <c r="M653" s="477" t="n"/>
      <c r="N653" s="477" t="n"/>
      <c r="O653" s="477" t="n"/>
      <c r="P653" s="477" t="n"/>
      <c r="Q653" s="477" t="n"/>
      <c r="R653" s="477" t="n"/>
      <c r="S653" s="477" t="n"/>
      <c r="T653" s="477" t="n"/>
      <c r="U653" s="477" t="n"/>
      <c r="V653" s="477" t="n"/>
      <c r="W653" s="477" t="n"/>
      <c r="X653" s="477" t="n"/>
      <c r="Y653" s="477" t="n"/>
      <c r="Z653" s="477" t="n"/>
    </row>
    <row r="654" ht="15.75" customHeight="1">
      <c r="A654" s="477" t="n"/>
      <c r="B654" s="477" t="n"/>
      <c r="C654" s="477" t="n"/>
      <c r="D654" s="477" t="n"/>
      <c r="E654" s="477" t="n"/>
      <c r="F654" s="477" t="n"/>
      <c r="G654" s="477" t="n"/>
      <c r="H654" s="505" t="n"/>
      <c r="I654" s="477" t="n"/>
      <c r="J654" s="477" t="n"/>
      <c r="K654" s="477" t="n"/>
      <c r="L654" s="477" t="n"/>
      <c r="M654" s="477" t="n"/>
      <c r="N654" s="477" t="n"/>
      <c r="O654" s="477" t="n"/>
      <c r="P654" s="477" t="n"/>
      <c r="Q654" s="477" t="n"/>
      <c r="R654" s="477" t="n"/>
      <c r="S654" s="477" t="n"/>
      <c r="T654" s="477" t="n"/>
      <c r="U654" s="477" t="n"/>
      <c r="V654" s="477" t="n"/>
      <c r="W654" s="477" t="n"/>
      <c r="X654" s="477" t="n"/>
      <c r="Y654" s="477" t="n"/>
      <c r="Z654" s="477" t="n"/>
    </row>
    <row r="655" ht="15.75" customHeight="1">
      <c r="A655" s="477" t="n"/>
      <c r="B655" s="477" t="n"/>
      <c r="C655" s="477" t="n"/>
      <c r="D655" s="477" t="n"/>
      <c r="E655" s="477" t="n"/>
      <c r="F655" s="477" t="n"/>
      <c r="G655" s="477" t="n"/>
      <c r="H655" s="505" t="n"/>
      <c r="I655" s="477" t="n"/>
      <c r="J655" s="477" t="n"/>
      <c r="K655" s="477" t="n"/>
      <c r="L655" s="477" t="n"/>
      <c r="M655" s="477" t="n"/>
      <c r="N655" s="477" t="n"/>
      <c r="O655" s="477" t="n"/>
      <c r="P655" s="477" t="n"/>
      <c r="Q655" s="477" t="n"/>
      <c r="R655" s="477" t="n"/>
      <c r="S655" s="477" t="n"/>
      <c r="T655" s="477" t="n"/>
      <c r="U655" s="477" t="n"/>
      <c r="V655" s="477" t="n"/>
      <c r="W655" s="477" t="n"/>
      <c r="X655" s="477" t="n"/>
      <c r="Y655" s="477" t="n"/>
      <c r="Z655" s="477" t="n"/>
    </row>
    <row r="656" ht="15.75" customHeight="1">
      <c r="A656" s="477" t="n"/>
      <c r="B656" s="477" t="n"/>
      <c r="C656" s="477" t="n"/>
      <c r="D656" s="477" t="n"/>
      <c r="E656" s="477" t="n"/>
      <c r="F656" s="477" t="n"/>
      <c r="G656" s="477" t="n"/>
      <c r="H656" s="505" t="n"/>
      <c r="I656" s="477" t="n"/>
      <c r="J656" s="477" t="n"/>
      <c r="K656" s="477" t="n"/>
      <c r="L656" s="477" t="n"/>
      <c r="M656" s="477" t="n"/>
      <c r="N656" s="477" t="n"/>
      <c r="O656" s="477" t="n"/>
      <c r="P656" s="477" t="n"/>
      <c r="Q656" s="477" t="n"/>
      <c r="R656" s="477" t="n"/>
      <c r="S656" s="477" t="n"/>
      <c r="T656" s="477" t="n"/>
      <c r="U656" s="477" t="n"/>
      <c r="V656" s="477" t="n"/>
      <c r="W656" s="477" t="n"/>
      <c r="X656" s="477" t="n"/>
      <c r="Y656" s="477" t="n"/>
      <c r="Z656" s="477" t="n"/>
    </row>
    <row r="657" ht="15.75" customHeight="1">
      <c r="A657" s="477" t="n"/>
      <c r="B657" s="477" t="n"/>
      <c r="C657" s="477" t="n"/>
      <c r="D657" s="477" t="n"/>
      <c r="E657" s="477" t="n"/>
      <c r="F657" s="477" t="n"/>
      <c r="G657" s="477" t="n"/>
      <c r="H657" s="505" t="n"/>
      <c r="I657" s="477" t="n"/>
      <c r="J657" s="477" t="n"/>
      <c r="K657" s="477" t="n"/>
      <c r="L657" s="477" t="n"/>
      <c r="M657" s="477" t="n"/>
      <c r="N657" s="477" t="n"/>
      <c r="O657" s="477" t="n"/>
      <c r="P657" s="477" t="n"/>
      <c r="Q657" s="477" t="n"/>
      <c r="R657" s="477" t="n"/>
      <c r="S657" s="477" t="n"/>
      <c r="T657" s="477" t="n"/>
      <c r="U657" s="477" t="n"/>
      <c r="V657" s="477" t="n"/>
      <c r="W657" s="477" t="n"/>
      <c r="X657" s="477" t="n"/>
      <c r="Y657" s="477" t="n"/>
      <c r="Z657" s="477" t="n"/>
    </row>
    <row r="658" ht="15.75" customHeight="1">
      <c r="A658" s="477" t="n"/>
      <c r="B658" s="477" t="n"/>
      <c r="C658" s="477" t="n"/>
      <c r="D658" s="477" t="n"/>
      <c r="E658" s="477" t="n"/>
      <c r="F658" s="477" t="n"/>
      <c r="G658" s="477" t="n"/>
      <c r="H658" s="505" t="n"/>
      <c r="I658" s="477" t="n"/>
      <c r="J658" s="477" t="n"/>
      <c r="K658" s="477" t="n"/>
      <c r="L658" s="477" t="n"/>
      <c r="M658" s="477" t="n"/>
      <c r="N658" s="477" t="n"/>
      <c r="O658" s="477" t="n"/>
      <c r="P658" s="477" t="n"/>
      <c r="Q658" s="477" t="n"/>
      <c r="R658" s="477" t="n"/>
      <c r="S658" s="477" t="n"/>
      <c r="T658" s="477" t="n"/>
      <c r="U658" s="477" t="n"/>
      <c r="V658" s="477" t="n"/>
      <c r="W658" s="477" t="n"/>
      <c r="X658" s="477" t="n"/>
      <c r="Y658" s="477" t="n"/>
      <c r="Z658" s="477" t="n"/>
    </row>
    <row r="659" ht="15.75" customHeight="1">
      <c r="A659" s="477" t="n"/>
      <c r="B659" s="477" t="n"/>
      <c r="C659" s="477" t="n"/>
      <c r="D659" s="477" t="n"/>
      <c r="E659" s="477" t="n"/>
      <c r="F659" s="477" t="n"/>
      <c r="G659" s="477" t="n"/>
      <c r="H659" s="505" t="n"/>
      <c r="I659" s="477" t="n"/>
      <c r="J659" s="477" t="n"/>
      <c r="K659" s="477" t="n"/>
      <c r="L659" s="477" t="n"/>
      <c r="M659" s="477" t="n"/>
      <c r="N659" s="477" t="n"/>
      <c r="O659" s="477" t="n"/>
      <c r="P659" s="477" t="n"/>
      <c r="Q659" s="477" t="n"/>
      <c r="R659" s="477" t="n"/>
      <c r="S659" s="477" t="n"/>
      <c r="T659" s="477" t="n"/>
      <c r="U659" s="477" t="n"/>
      <c r="V659" s="477" t="n"/>
      <c r="W659" s="477" t="n"/>
      <c r="X659" s="477" t="n"/>
      <c r="Y659" s="477" t="n"/>
      <c r="Z659" s="477" t="n"/>
    </row>
    <row r="660" ht="15.75" customHeight="1">
      <c r="A660" s="477" t="n"/>
      <c r="B660" s="477" t="n"/>
      <c r="C660" s="477" t="n"/>
      <c r="D660" s="477" t="n"/>
      <c r="E660" s="477" t="n"/>
      <c r="F660" s="477" t="n"/>
      <c r="G660" s="477" t="n"/>
      <c r="H660" s="505" t="n"/>
      <c r="I660" s="477" t="n"/>
      <c r="J660" s="477" t="n"/>
      <c r="K660" s="477" t="n"/>
      <c r="L660" s="477" t="n"/>
      <c r="M660" s="477" t="n"/>
      <c r="N660" s="477" t="n"/>
      <c r="O660" s="477" t="n"/>
      <c r="P660" s="477" t="n"/>
      <c r="Q660" s="477" t="n"/>
      <c r="R660" s="477" t="n"/>
      <c r="S660" s="477" t="n"/>
      <c r="T660" s="477" t="n"/>
      <c r="U660" s="477" t="n"/>
      <c r="V660" s="477" t="n"/>
      <c r="W660" s="477" t="n"/>
      <c r="X660" s="477" t="n"/>
      <c r="Y660" s="477" t="n"/>
      <c r="Z660" s="477" t="n"/>
    </row>
    <row r="661" ht="15.75" customHeight="1">
      <c r="A661" s="477" t="n"/>
      <c r="B661" s="477" t="n"/>
      <c r="C661" s="477" t="n"/>
      <c r="D661" s="477" t="n"/>
      <c r="E661" s="477" t="n"/>
      <c r="F661" s="477" t="n"/>
      <c r="G661" s="477" t="n"/>
      <c r="H661" s="505" t="n"/>
      <c r="I661" s="477" t="n"/>
      <c r="J661" s="477" t="n"/>
      <c r="K661" s="477" t="n"/>
      <c r="L661" s="477" t="n"/>
      <c r="M661" s="477" t="n"/>
      <c r="N661" s="477" t="n"/>
      <c r="O661" s="477" t="n"/>
      <c r="P661" s="477" t="n"/>
      <c r="Q661" s="477" t="n"/>
      <c r="R661" s="477" t="n"/>
      <c r="S661" s="477" t="n"/>
      <c r="T661" s="477" t="n"/>
      <c r="U661" s="477" t="n"/>
      <c r="V661" s="477" t="n"/>
      <c r="W661" s="477" t="n"/>
      <c r="X661" s="477" t="n"/>
      <c r="Y661" s="477" t="n"/>
      <c r="Z661" s="477" t="n"/>
    </row>
    <row r="662" ht="15.75" customHeight="1">
      <c r="A662" s="477" t="n"/>
      <c r="B662" s="477" t="n"/>
      <c r="C662" s="477" t="n"/>
      <c r="D662" s="477" t="n"/>
      <c r="E662" s="477" t="n"/>
      <c r="F662" s="477" t="n"/>
      <c r="G662" s="477" t="n"/>
      <c r="H662" s="505" t="n"/>
      <c r="I662" s="477" t="n"/>
      <c r="J662" s="477" t="n"/>
      <c r="K662" s="477" t="n"/>
      <c r="L662" s="477" t="n"/>
      <c r="M662" s="477" t="n"/>
      <c r="N662" s="477" t="n"/>
      <c r="O662" s="477" t="n"/>
      <c r="P662" s="477" t="n"/>
      <c r="Q662" s="477" t="n"/>
      <c r="R662" s="477" t="n"/>
      <c r="S662" s="477" t="n"/>
      <c r="T662" s="477" t="n"/>
      <c r="U662" s="477" t="n"/>
      <c r="V662" s="477" t="n"/>
      <c r="W662" s="477" t="n"/>
      <c r="X662" s="477" t="n"/>
      <c r="Y662" s="477" t="n"/>
      <c r="Z662" s="477" t="n"/>
    </row>
    <row r="663" ht="15.75" customHeight="1">
      <c r="A663" s="477" t="n"/>
      <c r="B663" s="477" t="n"/>
      <c r="C663" s="477" t="n"/>
      <c r="D663" s="477" t="n"/>
      <c r="E663" s="477" t="n"/>
      <c r="F663" s="477" t="n"/>
      <c r="G663" s="477" t="n"/>
      <c r="H663" s="505" t="n"/>
      <c r="I663" s="477" t="n"/>
      <c r="J663" s="477" t="n"/>
      <c r="K663" s="477" t="n"/>
      <c r="L663" s="477" t="n"/>
      <c r="M663" s="477" t="n"/>
      <c r="N663" s="477" t="n"/>
      <c r="O663" s="477" t="n"/>
      <c r="P663" s="477" t="n"/>
      <c r="Q663" s="477" t="n"/>
      <c r="R663" s="477" t="n"/>
      <c r="S663" s="477" t="n"/>
      <c r="T663" s="477" t="n"/>
      <c r="U663" s="477" t="n"/>
      <c r="V663" s="477" t="n"/>
      <c r="W663" s="477" t="n"/>
      <c r="X663" s="477" t="n"/>
      <c r="Y663" s="477" t="n"/>
      <c r="Z663" s="477" t="n"/>
    </row>
    <row r="664" ht="15.75" customHeight="1">
      <c r="A664" s="477" t="n"/>
      <c r="B664" s="477" t="n"/>
      <c r="C664" s="477" t="n"/>
      <c r="D664" s="477" t="n"/>
      <c r="E664" s="477" t="n"/>
      <c r="F664" s="477" t="n"/>
      <c r="G664" s="477" t="n"/>
      <c r="H664" s="505" t="n"/>
      <c r="I664" s="477" t="n"/>
      <c r="J664" s="477" t="n"/>
      <c r="K664" s="477" t="n"/>
      <c r="L664" s="477" t="n"/>
      <c r="M664" s="477" t="n"/>
      <c r="N664" s="477" t="n"/>
      <c r="O664" s="477" t="n"/>
      <c r="P664" s="477" t="n"/>
      <c r="Q664" s="477" t="n"/>
      <c r="R664" s="477" t="n"/>
      <c r="S664" s="477" t="n"/>
      <c r="T664" s="477" t="n"/>
      <c r="U664" s="477" t="n"/>
      <c r="V664" s="477" t="n"/>
      <c r="W664" s="477" t="n"/>
      <c r="X664" s="477" t="n"/>
      <c r="Y664" s="477" t="n"/>
      <c r="Z664" s="477" t="n"/>
    </row>
    <row r="665" ht="15.75" customHeight="1">
      <c r="A665" s="477" t="n"/>
      <c r="B665" s="477" t="n"/>
      <c r="C665" s="477" t="n"/>
      <c r="D665" s="477" t="n"/>
      <c r="E665" s="477" t="n"/>
      <c r="F665" s="477" t="n"/>
      <c r="G665" s="477" t="n"/>
      <c r="H665" s="505" t="n"/>
      <c r="I665" s="477" t="n"/>
      <c r="J665" s="477" t="n"/>
      <c r="K665" s="477" t="n"/>
      <c r="L665" s="477" t="n"/>
      <c r="M665" s="477" t="n"/>
      <c r="N665" s="477" t="n"/>
      <c r="O665" s="477" t="n"/>
      <c r="P665" s="477" t="n"/>
      <c r="Q665" s="477" t="n"/>
      <c r="R665" s="477" t="n"/>
      <c r="S665" s="477" t="n"/>
      <c r="T665" s="477" t="n"/>
      <c r="U665" s="477" t="n"/>
      <c r="V665" s="477" t="n"/>
      <c r="W665" s="477" t="n"/>
      <c r="X665" s="477" t="n"/>
      <c r="Y665" s="477" t="n"/>
      <c r="Z665" s="477" t="n"/>
    </row>
    <row r="666" ht="15.75" customHeight="1">
      <c r="A666" s="477" t="n"/>
      <c r="B666" s="477" t="n"/>
      <c r="C666" s="477" t="n"/>
      <c r="D666" s="477" t="n"/>
      <c r="E666" s="477" t="n"/>
      <c r="F666" s="477" t="n"/>
      <c r="G666" s="477" t="n"/>
      <c r="H666" s="505" t="n"/>
      <c r="I666" s="477" t="n"/>
      <c r="J666" s="477" t="n"/>
      <c r="K666" s="477" t="n"/>
      <c r="L666" s="477" t="n"/>
      <c r="M666" s="477" t="n"/>
      <c r="N666" s="477" t="n"/>
      <c r="O666" s="477" t="n"/>
      <c r="P666" s="477" t="n"/>
      <c r="Q666" s="477" t="n"/>
      <c r="R666" s="477" t="n"/>
      <c r="S666" s="477" t="n"/>
      <c r="T666" s="477" t="n"/>
      <c r="U666" s="477" t="n"/>
      <c r="V666" s="477" t="n"/>
      <c r="W666" s="477" t="n"/>
      <c r="X666" s="477" t="n"/>
      <c r="Y666" s="477" t="n"/>
      <c r="Z666" s="477" t="n"/>
    </row>
    <row r="667" ht="15.75" customHeight="1">
      <c r="A667" s="477" t="n"/>
      <c r="B667" s="477" t="n"/>
      <c r="C667" s="477" t="n"/>
      <c r="D667" s="477" t="n"/>
      <c r="E667" s="477" t="n"/>
      <c r="F667" s="477" t="n"/>
      <c r="G667" s="477" t="n"/>
      <c r="H667" s="505" t="n"/>
      <c r="I667" s="477" t="n"/>
      <c r="J667" s="477" t="n"/>
      <c r="K667" s="477" t="n"/>
      <c r="L667" s="477" t="n"/>
      <c r="M667" s="477" t="n"/>
      <c r="N667" s="477" t="n"/>
      <c r="O667" s="477" t="n"/>
      <c r="P667" s="477" t="n"/>
      <c r="Q667" s="477" t="n"/>
      <c r="R667" s="477" t="n"/>
      <c r="S667" s="477" t="n"/>
      <c r="T667" s="477" t="n"/>
      <c r="U667" s="477" t="n"/>
      <c r="V667" s="477" t="n"/>
      <c r="W667" s="477" t="n"/>
      <c r="X667" s="477" t="n"/>
      <c r="Y667" s="477" t="n"/>
      <c r="Z667" s="477" t="n"/>
    </row>
    <row r="668" ht="15.75" customHeight="1">
      <c r="A668" s="477" t="n"/>
      <c r="B668" s="477" t="n"/>
      <c r="C668" s="477" t="n"/>
      <c r="D668" s="477" t="n"/>
      <c r="E668" s="477" t="n"/>
      <c r="F668" s="477" t="n"/>
      <c r="G668" s="477" t="n"/>
      <c r="H668" s="505" t="n"/>
      <c r="I668" s="477" t="n"/>
      <c r="J668" s="477" t="n"/>
      <c r="K668" s="477" t="n"/>
      <c r="L668" s="477" t="n"/>
      <c r="M668" s="477" t="n"/>
      <c r="N668" s="477" t="n"/>
      <c r="O668" s="477" t="n"/>
      <c r="P668" s="477" t="n"/>
      <c r="Q668" s="477" t="n"/>
      <c r="R668" s="477" t="n"/>
      <c r="S668" s="477" t="n"/>
      <c r="T668" s="477" t="n"/>
      <c r="U668" s="477" t="n"/>
      <c r="V668" s="477" t="n"/>
      <c r="W668" s="477" t="n"/>
      <c r="X668" s="477" t="n"/>
      <c r="Y668" s="477" t="n"/>
      <c r="Z668" s="477" t="n"/>
    </row>
    <row r="669" ht="15.75" customHeight="1">
      <c r="A669" s="477" t="n"/>
      <c r="B669" s="477" t="n"/>
      <c r="C669" s="477" t="n"/>
      <c r="D669" s="477" t="n"/>
      <c r="E669" s="477" t="n"/>
      <c r="F669" s="477" t="n"/>
      <c r="G669" s="477" t="n"/>
      <c r="H669" s="505" t="n"/>
      <c r="I669" s="477" t="n"/>
      <c r="J669" s="477" t="n"/>
      <c r="K669" s="477" t="n"/>
      <c r="L669" s="477" t="n"/>
      <c r="M669" s="477" t="n"/>
      <c r="N669" s="477" t="n"/>
      <c r="O669" s="477" t="n"/>
      <c r="P669" s="477" t="n"/>
      <c r="Q669" s="477" t="n"/>
      <c r="R669" s="477" t="n"/>
      <c r="S669" s="477" t="n"/>
      <c r="T669" s="477" t="n"/>
      <c r="U669" s="477" t="n"/>
      <c r="V669" s="477" t="n"/>
      <c r="W669" s="477" t="n"/>
      <c r="X669" s="477" t="n"/>
      <c r="Y669" s="477" t="n"/>
      <c r="Z669" s="477" t="n"/>
    </row>
    <row r="670" ht="15.75" customHeight="1">
      <c r="A670" s="477" t="n"/>
      <c r="B670" s="477" t="n"/>
      <c r="C670" s="477" t="n"/>
      <c r="D670" s="477" t="n"/>
      <c r="E670" s="477" t="n"/>
      <c r="F670" s="477" t="n"/>
      <c r="G670" s="477" t="n"/>
      <c r="H670" s="505" t="n"/>
      <c r="I670" s="477" t="n"/>
      <c r="J670" s="477" t="n"/>
      <c r="K670" s="477" t="n"/>
      <c r="L670" s="477" t="n"/>
      <c r="M670" s="477" t="n"/>
      <c r="N670" s="477" t="n"/>
      <c r="O670" s="477" t="n"/>
      <c r="P670" s="477" t="n"/>
      <c r="Q670" s="477" t="n"/>
      <c r="R670" s="477" t="n"/>
      <c r="S670" s="477" t="n"/>
      <c r="T670" s="477" t="n"/>
      <c r="U670" s="477" t="n"/>
      <c r="V670" s="477" t="n"/>
      <c r="W670" s="477" t="n"/>
      <c r="X670" s="477" t="n"/>
      <c r="Y670" s="477" t="n"/>
      <c r="Z670" s="477" t="n"/>
    </row>
    <row r="671" ht="15.75" customHeight="1">
      <c r="A671" s="477" t="n"/>
      <c r="B671" s="477" t="n"/>
      <c r="C671" s="477" t="n"/>
      <c r="D671" s="477" t="n"/>
      <c r="E671" s="477" t="n"/>
      <c r="F671" s="477" t="n"/>
      <c r="G671" s="477" t="n"/>
      <c r="H671" s="505" t="n"/>
      <c r="I671" s="477" t="n"/>
      <c r="J671" s="477" t="n"/>
      <c r="K671" s="477" t="n"/>
      <c r="L671" s="477" t="n"/>
      <c r="M671" s="477" t="n"/>
      <c r="N671" s="477" t="n"/>
      <c r="O671" s="477" t="n"/>
      <c r="P671" s="477" t="n"/>
      <c r="Q671" s="477" t="n"/>
      <c r="R671" s="477" t="n"/>
      <c r="S671" s="477" t="n"/>
      <c r="T671" s="477" t="n"/>
      <c r="U671" s="477" t="n"/>
      <c r="V671" s="477" t="n"/>
      <c r="W671" s="477" t="n"/>
      <c r="X671" s="477" t="n"/>
      <c r="Y671" s="477" t="n"/>
      <c r="Z671" s="477" t="n"/>
    </row>
    <row r="672" ht="15.75" customHeight="1">
      <c r="A672" s="477" t="n"/>
      <c r="B672" s="477" t="n"/>
      <c r="C672" s="477" t="n"/>
      <c r="D672" s="477" t="n"/>
      <c r="E672" s="477" t="n"/>
      <c r="F672" s="477" t="n"/>
      <c r="G672" s="477" t="n"/>
      <c r="H672" s="505" t="n"/>
      <c r="I672" s="477" t="n"/>
      <c r="J672" s="477" t="n"/>
      <c r="K672" s="477" t="n"/>
      <c r="L672" s="477" t="n"/>
      <c r="M672" s="477" t="n"/>
      <c r="N672" s="477" t="n"/>
      <c r="O672" s="477" t="n"/>
      <c r="P672" s="477" t="n"/>
      <c r="Q672" s="477" t="n"/>
      <c r="R672" s="477" t="n"/>
      <c r="S672" s="477" t="n"/>
      <c r="T672" s="477" t="n"/>
      <c r="U672" s="477" t="n"/>
      <c r="V672" s="477" t="n"/>
      <c r="W672" s="477" t="n"/>
      <c r="X672" s="477" t="n"/>
      <c r="Y672" s="477" t="n"/>
      <c r="Z672" s="477" t="n"/>
    </row>
    <row r="673" ht="15.75" customHeight="1">
      <c r="A673" s="477" t="n"/>
      <c r="B673" s="477" t="n"/>
      <c r="C673" s="477" t="n"/>
      <c r="D673" s="477" t="n"/>
      <c r="E673" s="477" t="n"/>
      <c r="F673" s="477" t="n"/>
      <c r="G673" s="477" t="n"/>
      <c r="H673" s="505" t="n"/>
      <c r="I673" s="477" t="n"/>
      <c r="J673" s="477" t="n"/>
      <c r="K673" s="477" t="n"/>
      <c r="L673" s="477" t="n"/>
      <c r="M673" s="477" t="n"/>
      <c r="N673" s="477" t="n"/>
      <c r="O673" s="477" t="n"/>
      <c r="P673" s="477" t="n"/>
      <c r="Q673" s="477" t="n"/>
      <c r="R673" s="477" t="n"/>
      <c r="S673" s="477" t="n"/>
      <c r="T673" s="477" t="n"/>
      <c r="U673" s="477" t="n"/>
      <c r="V673" s="477" t="n"/>
      <c r="W673" s="477" t="n"/>
      <c r="X673" s="477" t="n"/>
      <c r="Y673" s="477" t="n"/>
      <c r="Z673" s="477" t="n"/>
    </row>
    <row r="674" ht="15.75" customHeight="1">
      <c r="A674" s="477" t="n"/>
      <c r="B674" s="477" t="n"/>
      <c r="C674" s="477" t="n"/>
      <c r="D674" s="477" t="n"/>
      <c r="E674" s="477" t="n"/>
      <c r="F674" s="477" t="n"/>
      <c r="G674" s="477" t="n"/>
      <c r="H674" s="505" t="n"/>
      <c r="I674" s="477" t="n"/>
      <c r="J674" s="477" t="n"/>
      <c r="K674" s="477" t="n"/>
      <c r="L674" s="477" t="n"/>
      <c r="M674" s="477" t="n"/>
      <c r="N674" s="477" t="n"/>
      <c r="O674" s="477" t="n"/>
      <c r="P674" s="477" t="n"/>
      <c r="Q674" s="477" t="n"/>
      <c r="R674" s="477" t="n"/>
      <c r="S674" s="477" t="n"/>
      <c r="T674" s="477" t="n"/>
      <c r="U674" s="477" t="n"/>
      <c r="V674" s="477" t="n"/>
      <c r="W674" s="477" t="n"/>
      <c r="X674" s="477" t="n"/>
      <c r="Y674" s="477" t="n"/>
      <c r="Z674" s="477" t="n"/>
    </row>
    <row r="675" ht="15.75" customHeight="1">
      <c r="A675" s="477" t="n"/>
      <c r="B675" s="477" t="n"/>
      <c r="C675" s="477" t="n"/>
      <c r="D675" s="477" t="n"/>
      <c r="E675" s="477" t="n"/>
      <c r="F675" s="477" t="n"/>
      <c r="G675" s="477" t="n"/>
      <c r="H675" s="505" t="n"/>
      <c r="I675" s="477" t="n"/>
      <c r="J675" s="477" t="n"/>
      <c r="K675" s="477" t="n"/>
      <c r="L675" s="477" t="n"/>
      <c r="M675" s="477" t="n"/>
      <c r="N675" s="477" t="n"/>
      <c r="O675" s="477" t="n"/>
      <c r="P675" s="477" t="n"/>
      <c r="Q675" s="477" t="n"/>
      <c r="R675" s="477" t="n"/>
      <c r="S675" s="477" t="n"/>
      <c r="T675" s="477" t="n"/>
      <c r="U675" s="477" t="n"/>
      <c r="V675" s="477" t="n"/>
      <c r="W675" s="477" t="n"/>
      <c r="X675" s="477" t="n"/>
      <c r="Y675" s="477" t="n"/>
      <c r="Z675" s="477" t="n"/>
    </row>
    <row r="676" ht="15.75" customHeight="1">
      <c r="A676" s="477" t="n"/>
      <c r="B676" s="477" t="n"/>
      <c r="C676" s="477" t="n"/>
      <c r="D676" s="477" t="n"/>
      <c r="E676" s="477" t="n"/>
      <c r="F676" s="477" t="n"/>
      <c r="G676" s="477" t="n"/>
      <c r="H676" s="505" t="n"/>
      <c r="I676" s="477" t="n"/>
      <c r="J676" s="477" t="n"/>
      <c r="K676" s="477" t="n"/>
      <c r="L676" s="477" t="n"/>
      <c r="M676" s="477" t="n"/>
      <c r="N676" s="477" t="n"/>
      <c r="O676" s="477" t="n"/>
      <c r="P676" s="477" t="n"/>
      <c r="Q676" s="477" t="n"/>
      <c r="R676" s="477" t="n"/>
      <c r="S676" s="477" t="n"/>
      <c r="T676" s="477" t="n"/>
      <c r="U676" s="477" t="n"/>
      <c r="V676" s="477" t="n"/>
      <c r="W676" s="477" t="n"/>
      <c r="X676" s="477" t="n"/>
      <c r="Y676" s="477" t="n"/>
      <c r="Z676" s="477" t="n"/>
    </row>
    <row r="677" ht="15.75" customHeight="1">
      <c r="A677" s="477" t="n"/>
      <c r="B677" s="477" t="n"/>
      <c r="C677" s="477" t="n"/>
      <c r="D677" s="477" t="n"/>
      <c r="E677" s="477" t="n"/>
      <c r="F677" s="477" t="n"/>
      <c r="G677" s="477" t="n"/>
      <c r="H677" s="505" t="n"/>
      <c r="I677" s="477" t="n"/>
      <c r="J677" s="477" t="n"/>
      <c r="K677" s="477" t="n"/>
      <c r="L677" s="477" t="n"/>
      <c r="M677" s="477" t="n"/>
      <c r="N677" s="477" t="n"/>
      <c r="O677" s="477" t="n"/>
      <c r="P677" s="477" t="n"/>
      <c r="Q677" s="477" t="n"/>
      <c r="R677" s="477" t="n"/>
      <c r="S677" s="477" t="n"/>
      <c r="T677" s="477" t="n"/>
      <c r="U677" s="477" t="n"/>
      <c r="V677" s="477" t="n"/>
      <c r="W677" s="477" t="n"/>
      <c r="X677" s="477" t="n"/>
      <c r="Y677" s="477" t="n"/>
      <c r="Z677" s="477" t="n"/>
    </row>
    <row r="678" ht="15.75" customHeight="1">
      <c r="A678" s="477" t="n"/>
      <c r="B678" s="477" t="n"/>
      <c r="C678" s="477" t="n"/>
      <c r="D678" s="477" t="n"/>
      <c r="E678" s="477" t="n"/>
      <c r="F678" s="477" t="n"/>
      <c r="G678" s="477" t="n"/>
      <c r="H678" s="505" t="n"/>
      <c r="I678" s="477" t="n"/>
      <c r="J678" s="477" t="n"/>
      <c r="K678" s="477" t="n"/>
      <c r="L678" s="477" t="n"/>
      <c r="M678" s="477" t="n"/>
      <c r="N678" s="477" t="n"/>
      <c r="O678" s="477" t="n"/>
      <c r="P678" s="477" t="n"/>
      <c r="Q678" s="477" t="n"/>
      <c r="R678" s="477" t="n"/>
      <c r="S678" s="477" t="n"/>
      <c r="T678" s="477" t="n"/>
      <c r="U678" s="477" t="n"/>
      <c r="V678" s="477" t="n"/>
      <c r="W678" s="477" t="n"/>
      <c r="X678" s="477" t="n"/>
      <c r="Y678" s="477" t="n"/>
      <c r="Z678" s="477" t="n"/>
    </row>
    <row r="679" ht="15.75" customHeight="1">
      <c r="A679" s="477" t="n"/>
      <c r="B679" s="477" t="n"/>
      <c r="C679" s="477" t="n"/>
      <c r="D679" s="477" t="n"/>
      <c r="E679" s="477" t="n"/>
      <c r="F679" s="477" t="n"/>
      <c r="G679" s="477" t="n"/>
      <c r="H679" s="505" t="n"/>
      <c r="I679" s="477" t="n"/>
      <c r="J679" s="477" t="n"/>
      <c r="K679" s="477" t="n"/>
      <c r="L679" s="477" t="n"/>
      <c r="M679" s="477" t="n"/>
      <c r="N679" s="477" t="n"/>
      <c r="O679" s="477" t="n"/>
      <c r="P679" s="477" t="n"/>
      <c r="Q679" s="477" t="n"/>
      <c r="R679" s="477" t="n"/>
      <c r="S679" s="477" t="n"/>
      <c r="T679" s="477" t="n"/>
      <c r="U679" s="477" t="n"/>
      <c r="V679" s="477" t="n"/>
      <c r="W679" s="477" t="n"/>
      <c r="X679" s="477" t="n"/>
      <c r="Y679" s="477" t="n"/>
      <c r="Z679" s="477" t="n"/>
    </row>
    <row r="680" ht="15.75" customHeight="1">
      <c r="A680" s="477" t="n"/>
      <c r="B680" s="477" t="n"/>
      <c r="C680" s="477" t="n"/>
      <c r="D680" s="477" t="n"/>
      <c r="E680" s="477" t="n"/>
      <c r="F680" s="477" t="n"/>
      <c r="G680" s="477" t="n"/>
      <c r="H680" s="505" t="n"/>
      <c r="I680" s="477" t="n"/>
      <c r="J680" s="477" t="n"/>
      <c r="K680" s="477" t="n"/>
      <c r="L680" s="477" t="n"/>
      <c r="M680" s="477" t="n"/>
      <c r="N680" s="477" t="n"/>
      <c r="O680" s="477" t="n"/>
      <c r="P680" s="477" t="n"/>
      <c r="Q680" s="477" t="n"/>
      <c r="R680" s="477" t="n"/>
      <c r="S680" s="477" t="n"/>
      <c r="T680" s="477" t="n"/>
      <c r="U680" s="477" t="n"/>
      <c r="V680" s="477" t="n"/>
      <c r="W680" s="477" t="n"/>
      <c r="X680" s="477" t="n"/>
      <c r="Y680" s="477" t="n"/>
      <c r="Z680" s="477" t="n"/>
    </row>
    <row r="681" ht="15.75" customHeight="1">
      <c r="A681" s="477" t="n"/>
      <c r="B681" s="477" t="n"/>
      <c r="C681" s="477" t="n"/>
      <c r="D681" s="477" t="n"/>
      <c r="E681" s="477" t="n"/>
      <c r="F681" s="477" t="n"/>
      <c r="G681" s="477" t="n"/>
      <c r="H681" s="505" t="n"/>
      <c r="I681" s="477" t="n"/>
      <c r="J681" s="477" t="n"/>
      <c r="K681" s="477" t="n"/>
      <c r="L681" s="477" t="n"/>
      <c r="M681" s="477" t="n"/>
      <c r="N681" s="477" t="n"/>
      <c r="O681" s="477" t="n"/>
      <c r="P681" s="477" t="n"/>
      <c r="Q681" s="477" t="n"/>
      <c r="R681" s="477" t="n"/>
      <c r="S681" s="477" t="n"/>
      <c r="T681" s="477" t="n"/>
      <c r="U681" s="477" t="n"/>
      <c r="V681" s="477" t="n"/>
      <c r="W681" s="477" t="n"/>
      <c r="X681" s="477" t="n"/>
      <c r="Y681" s="477" t="n"/>
      <c r="Z681" s="477" t="n"/>
    </row>
    <row r="682" ht="15.75" customHeight="1">
      <c r="A682" s="477" t="n"/>
      <c r="B682" s="477" t="n"/>
      <c r="C682" s="477" t="n"/>
      <c r="D682" s="477" t="n"/>
      <c r="E682" s="477" t="n"/>
      <c r="F682" s="477" t="n"/>
      <c r="G682" s="477" t="n"/>
      <c r="H682" s="505" t="n"/>
      <c r="I682" s="477" t="n"/>
      <c r="J682" s="477" t="n"/>
      <c r="K682" s="477" t="n"/>
      <c r="L682" s="477" t="n"/>
      <c r="M682" s="477" t="n"/>
      <c r="N682" s="477" t="n"/>
      <c r="O682" s="477" t="n"/>
      <c r="P682" s="477" t="n"/>
      <c r="Q682" s="477" t="n"/>
      <c r="R682" s="477" t="n"/>
      <c r="S682" s="477" t="n"/>
      <c r="T682" s="477" t="n"/>
      <c r="U682" s="477" t="n"/>
      <c r="V682" s="477" t="n"/>
      <c r="W682" s="477" t="n"/>
      <c r="X682" s="477" t="n"/>
      <c r="Y682" s="477" t="n"/>
      <c r="Z682" s="477" t="n"/>
    </row>
    <row r="683" ht="15.75" customHeight="1">
      <c r="A683" s="477" t="n"/>
      <c r="B683" s="477" t="n"/>
      <c r="C683" s="477" t="n"/>
      <c r="D683" s="477" t="n"/>
      <c r="E683" s="477" t="n"/>
      <c r="F683" s="477" t="n"/>
      <c r="G683" s="477" t="n"/>
      <c r="H683" s="505" t="n"/>
      <c r="I683" s="477" t="n"/>
      <c r="J683" s="477" t="n"/>
      <c r="K683" s="477" t="n"/>
      <c r="L683" s="477" t="n"/>
      <c r="M683" s="477" t="n"/>
      <c r="N683" s="477" t="n"/>
      <c r="O683" s="477" t="n"/>
      <c r="P683" s="477" t="n"/>
      <c r="Q683" s="477" t="n"/>
      <c r="R683" s="477" t="n"/>
      <c r="S683" s="477" t="n"/>
      <c r="T683" s="477" t="n"/>
      <c r="U683" s="477" t="n"/>
      <c r="V683" s="477" t="n"/>
      <c r="W683" s="477" t="n"/>
      <c r="X683" s="477" t="n"/>
      <c r="Y683" s="477" t="n"/>
      <c r="Z683" s="477" t="n"/>
    </row>
    <row r="684" ht="15.75" customHeight="1">
      <c r="A684" s="477" t="n"/>
      <c r="B684" s="477" t="n"/>
      <c r="C684" s="477" t="n"/>
      <c r="D684" s="477" t="n"/>
      <c r="E684" s="477" t="n"/>
      <c r="F684" s="477" t="n"/>
      <c r="G684" s="477" t="n"/>
      <c r="H684" s="505" t="n"/>
      <c r="I684" s="477" t="n"/>
      <c r="J684" s="477" t="n"/>
      <c r="K684" s="477" t="n"/>
      <c r="L684" s="477" t="n"/>
      <c r="M684" s="477" t="n"/>
      <c r="N684" s="477" t="n"/>
      <c r="O684" s="477" t="n"/>
      <c r="P684" s="477" t="n"/>
      <c r="Q684" s="477" t="n"/>
      <c r="R684" s="477" t="n"/>
      <c r="S684" s="477" t="n"/>
      <c r="T684" s="477" t="n"/>
      <c r="U684" s="477" t="n"/>
      <c r="V684" s="477" t="n"/>
      <c r="W684" s="477" t="n"/>
      <c r="X684" s="477" t="n"/>
      <c r="Y684" s="477" t="n"/>
      <c r="Z684" s="477" t="n"/>
    </row>
    <row r="685" ht="15.75" customHeight="1">
      <c r="A685" s="477" t="n"/>
      <c r="B685" s="477" t="n"/>
      <c r="C685" s="477" t="n"/>
      <c r="D685" s="477" t="n"/>
      <c r="E685" s="477" t="n"/>
      <c r="F685" s="477" t="n"/>
      <c r="G685" s="477" t="n"/>
      <c r="H685" s="505" t="n"/>
      <c r="I685" s="477" t="n"/>
      <c r="J685" s="477" t="n"/>
      <c r="K685" s="477" t="n"/>
      <c r="L685" s="477" t="n"/>
      <c r="M685" s="477" t="n"/>
      <c r="N685" s="477" t="n"/>
      <c r="O685" s="477" t="n"/>
      <c r="P685" s="477" t="n"/>
      <c r="Q685" s="477" t="n"/>
      <c r="R685" s="477" t="n"/>
      <c r="S685" s="477" t="n"/>
      <c r="T685" s="477" t="n"/>
      <c r="U685" s="477" t="n"/>
      <c r="V685" s="477" t="n"/>
      <c r="W685" s="477" t="n"/>
      <c r="X685" s="477" t="n"/>
      <c r="Y685" s="477" t="n"/>
      <c r="Z685" s="477" t="n"/>
    </row>
    <row r="686" ht="15.75" customHeight="1">
      <c r="A686" s="477" t="n"/>
      <c r="B686" s="477" t="n"/>
      <c r="C686" s="477" t="n"/>
      <c r="D686" s="477" t="n"/>
      <c r="E686" s="477" t="n"/>
      <c r="F686" s="477" t="n"/>
      <c r="G686" s="477" t="n"/>
      <c r="H686" s="505" t="n"/>
      <c r="I686" s="477" t="n"/>
      <c r="J686" s="477" t="n"/>
      <c r="K686" s="477" t="n"/>
      <c r="L686" s="477" t="n"/>
      <c r="M686" s="477" t="n"/>
      <c r="N686" s="477" t="n"/>
      <c r="O686" s="477" t="n"/>
      <c r="P686" s="477" t="n"/>
      <c r="Q686" s="477" t="n"/>
      <c r="R686" s="477" t="n"/>
      <c r="S686" s="477" t="n"/>
      <c r="T686" s="477" t="n"/>
      <c r="U686" s="477" t="n"/>
      <c r="V686" s="477" t="n"/>
      <c r="W686" s="477" t="n"/>
      <c r="X686" s="477" t="n"/>
      <c r="Y686" s="477" t="n"/>
      <c r="Z686" s="477" t="n"/>
    </row>
    <row r="687" ht="15.75" customHeight="1">
      <c r="A687" s="477" t="n"/>
      <c r="B687" s="477" t="n"/>
      <c r="C687" s="477" t="n"/>
      <c r="D687" s="477" t="n"/>
      <c r="E687" s="477" t="n"/>
      <c r="F687" s="477" t="n"/>
      <c r="G687" s="477" t="n"/>
      <c r="H687" s="505" t="n"/>
      <c r="I687" s="477" t="n"/>
      <c r="J687" s="477" t="n"/>
      <c r="K687" s="477" t="n"/>
      <c r="L687" s="477" t="n"/>
      <c r="M687" s="477" t="n"/>
      <c r="N687" s="477" t="n"/>
      <c r="O687" s="477" t="n"/>
      <c r="P687" s="477" t="n"/>
      <c r="Q687" s="477" t="n"/>
      <c r="R687" s="477" t="n"/>
      <c r="S687" s="477" t="n"/>
      <c r="T687" s="477" t="n"/>
      <c r="U687" s="477" t="n"/>
      <c r="V687" s="477" t="n"/>
      <c r="W687" s="477" t="n"/>
      <c r="X687" s="477" t="n"/>
      <c r="Y687" s="477" t="n"/>
      <c r="Z687" s="477" t="n"/>
    </row>
    <row r="688" ht="15.75" customHeight="1">
      <c r="A688" s="477" t="n"/>
      <c r="B688" s="477" t="n"/>
      <c r="C688" s="477" t="n"/>
      <c r="D688" s="477" t="n"/>
      <c r="E688" s="477" t="n"/>
      <c r="F688" s="477" t="n"/>
      <c r="G688" s="477" t="n"/>
      <c r="H688" s="505" t="n"/>
      <c r="I688" s="477" t="n"/>
      <c r="J688" s="477" t="n"/>
      <c r="K688" s="477" t="n"/>
      <c r="L688" s="477" t="n"/>
      <c r="M688" s="477" t="n"/>
      <c r="N688" s="477" t="n"/>
      <c r="O688" s="477" t="n"/>
      <c r="P688" s="477" t="n"/>
      <c r="Q688" s="477" t="n"/>
      <c r="R688" s="477" t="n"/>
      <c r="S688" s="477" t="n"/>
      <c r="T688" s="477" t="n"/>
      <c r="U688" s="477" t="n"/>
      <c r="V688" s="477" t="n"/>
      <c r="W688" s="477" t="n"/>
      <c r="X688" s="477" t="n"/>
      <c r="Y688" s="477" t="n"/>
      <c r="Z688" s="477" t="n"/>
    </row>
    <row r="689" ht="15.75" customHeight="1">
      <c r="A689" s="477" t="n"/>
      <c r="B689" s="477" t="n"/>
      <c r="C689" s="477" t="n"/>
      <c r="D689" s="477" t="n"/>
      <c r="E689" s="477" t="n"/>
      <c r="F689" s="477" t="n"/>
      <c r="G689" s="477" t="n"/>
      <c r="H689" s="505" t="n"/>
      <c r="I689" s="477" t="n"/>
      <c r="J689" s="477" t="n"/>
      <c r="K689" s="477" t="n"/>
      <c r="L689" s="477" t="n"/>
      <c r="M689" s="477" t="n"/>
      <c r="N689" s="477" t="n"/>
      <c r="O689" s="477" t="n"/>
      <c r="P689" s="477" t="n"/>
      <c r="Q689" s="477" t="n"/>
      <c r="R689" s="477" t="n"/>
      <c r="S689" s="477" t="n"/>
      <c r="T689" s="477" t="n"/>
      <c r="U689" s="477" t="n"/>
      <c r="V689" s="477" t="n"/>
      <c r="W689" s="477" t="n"/>
      <c r="X689" s="477" t="n"/>
      <c r="Y689" s="477" t="n"/>
      <c r="Z689" s="477" t="n"/>
    </row>
    <row r="690" ht="15.75" customHeight="1">
      <c r="A690" s="477" t="n"/>
      <c r="B690" s="477" t="n"/>
      <c r="C690" s="477" t="n"/>
      <c r="D690" s="477" t="n"/>
      <c r="E690" s="477" t="n"/>
      <c r="F690" s="477" t="n"/>
      <c r="G690" s="477" t="n"/>
      <c r="H690" s="505" t="n"/>
      <c r="I690" s="477" t="n"/>
      <c r="J690" s="477" t="n"/>
      <c r="K690" s="477" t="n"/>
      <c r="L690" s="477" t="n"/>
      <c r="M690" s="477" t="n"/>
      <c r="N690" s="477" t="n"/>
      <c r="O690" s="477" t="n"/>
      <c r="P690" s="477" t="n"/>
      <c r="Q690" s="477" t="n"/>
      <c r="R690" s="477" t="n"/>
      <c r="S690" s="477" t="n"/>
      <c r="T690" s="477" t="n"/>
      <c r="U690" s="477" t="n"/>
      <c r="V690" s="477" t="n"/>
      <c r="W690" s="477" t="n"/>
      <c r="X690" s="477" t="n"/>
      <c r="Y690" s="477" t="n"/>
      <c r="Z690" s="477" t="n"/>
    </row>
    <row r="691" ht="15.75" customHeight="1">
      <c r="A691" s="477" t="n"/>
      <c r="B691" s="477" t="n"/>
      <c r="C691" s="477" t="n"/>
      <c r="D691" s="477" t="n"/>
      <c r="E691" s="477" t="n"/>
      <c r="F691" s="477" t="n"/>
      <c r="G691" s="477" t="n"/>
      <c r="H691" s="505" t="n"/>
      <c r="I691" s="477" t="n"/>
      <c r="J691" s="477" t="n"/>
      <c r="K691" s="477" t="n"/>
      <c r="L691" s="477" t="n"/>
      <c r="M691" s="477" t="n"/>
      <c r="N691" s="477" t="n"/>
      <c r="O691" s="477" t="n"/>
      <c r="P691" s="477" t="n"/>
      <c r="Q691" s="477" t="n"/>
      <c r="R691" s="477" t="n"/>
      <c r="S691" s="477" t="n"/>
      <c r="T691" s="477" t="n"/>
      <c r="U691" s="477" t="n"/>
      <c r="V691" s="477" t="n"/>
      <c r="W691" s="477" t="n"/>
      <c r="X691" s="477" t="n"/>
      <c r="Y691" s="477" t="n"/>
      <c r="Z691" s="477" t="n"/>
    </row>
    <row r="692" ht="15.75" customHeight="1">
      <c r="A692" s="477" t="n"/>
      <c r="B692" s="477" t="n"/>
      <c r="C692" s="477" t="n"/>
      <c r="D692" s="477" t="n"/>
      <c r="E692" s="477" t="n"/>
      <c r="F692" s="477" t="n"/>
      <c r="G692" s="477" t="n"/>
      <c r="H692" s="505" t="n"/>
      <c r="I692" s="477" t="n"/>
      <c r="J692" s="477" t="n"/>
      <c r="K692" s="477" t="n"/>
      <c r="L692" s="477" t="n"/>
      <c r="M692" s="477" t="n"/>
      <c r="N692" s="477" t="n"/>
      <c r="O692" s="477" t="n"/>
      <c r="P692" s="477" t="n"/>
      <c r="Q692" s="477" t="n"/>
      <c r="R692" s="477" t="n"/>
      <c r="S692" s="477" t="n"/>
      <c r="T692" s="477" t="n"/>
      <c r="U692" s="477" t="n"/>
      <c r="V692" s="477" t="n"/>
      <c r="W692" s="477" t="n"/>
      <c r="X692" s="477" t="n"/>
      <c r="Y692" s="477" t="n"/>
      <c r="Z692" s="477" t="n"/>
    </row>
    <row r="693" ht="15.75" customHeight="1">
      <c r="A693" s="477" t="n"/>
      <c r="B693" s="477" t="n"/>
      <c r="C693" s="477" t="n"/>
      <c r="D693" s="477" t="n"/>
      <c r="E693" s="477" t="n"/>
      <c r="F693" s="477" t="n"/>
      <c r="G693" s="477" t="n"/>
      <c r="H693" s="505" t="n"/>
      <c r="I693" s="477" t="n"/>
      <c r="J693" s="477" t="n"/>
      <c r="K693" s="477" t="n"/>
      <c r="L693" s="477" t="n"/>
      <c r="M693" s="477" t="n"/>
      <c r="N693" s="477" t="n"/>
      <c r="O693" s="477" t="n"/>
      <c r="P693" s="477" t="n"/>
      <c r="Q693" s="477" t="n"/>
      <c r="R693" s="477" t="n"/>
      <c r="S693" s="477" t="n"/>
      <c r="T693" s="477" t="n"/>
      <c r="U693" s="477" t="n"/>
      <c r="V693" s="477" t="n"/>
      <c r="W693" s="477" t="n"/>
      <c r="X693" s="477" t="n"/>
      <c r="Y693" s="477" t="n"/>
      <c r="Z693" s="477" t="n"/>
    </row>
    <row r="694" ht="15.75" customHeight="1">
      <c r="A694" s="477" t="n"/>
      <c r="B694" s="477" t="n"/>
      <c r="C694" s="477" t="n"/>
      <c r="D694" s="477" t="n"/>
      <c r="E694" s="477" t="n"/>
      <c r="F694" s="477" t="n"/>
      <c r="G694" s="477" t="n"/>
      <c r="H694" s="505" t="n"/>
      <c r="I694" s="477" t="n"/>
      <c r="J694" s="477" t="n"/>
      <c r="K694" s="477" t="n"/>
      <c r="L694" s="477" t="n"/>
      <c r="M694" s="477" t="n"/>
      <c r="N694" s="477" t="n"/>
      <c r="O694" s="477" t="n"/>
      <c r="P694" s="477" t="n"/>
      <c r="Q694" s="477" t="n"/>
      <c r="R694" s="477" t="n"/>
      <c r="S694" s="477" t="n"/>
      <c r="T694" s="477" t="n"/>
      <c r="U694" s="477" t="n"/>
      <c r="V694" s="477" t="n"/>
      <c r="W694" s="477" t="n"/>
      <c r="X694" s="477" t="n"/>
      <c r="Y694" s="477" t="n"/>
      <c r="Z694" s="477" t="n"/>
    </row>
    <row r="695" ht="15.75" customHeight="1">
      <c r="A695" s="477" t="n"/>
      <c r="B695" s="477" t="n"/>
      <c r="C695" s="477" t="n"/>
      <c r="D695" s="477" t="n"/>
      <c r="E695" s="477" t="n"/>
      <c r="F695" s="477" t="n"/>
      <c r="G695" s="477" t="n"/>
      <c r="H695" s="505" t="n"/>
      <c r="I695" s="477" t="n"/>
      <c r="J695" s="477" t="n"/>
      <c r="K695" s="477" t="n"/>
      <c r="L695" s="477" t="n"/>
      <c r="M695" s="477" t="n"/>
      <c r="N695" s="477" t="n"/>
      <c r="O695" s="477" t="n"/>
      <c r="P695" s="477" t="n"/>
      <c r="Q695" s="477" t="n"/>
      <c r="R695" s="477" t="n"/>
      <c r="S695" s="477" t="n"/>
      <c r="T695" s="477" t="n"/>
      <c r="U695" s="477" t="n"/>
      <c r="V695" s="477" t="n"/>
      <c r="W695" s="477" t="n"/>
      <c r="X695" s="477" t="n"/>
      <c r="Y695" s="477" t="n"/>
      <c r="Z695" s="477" t="n"/>
    </row>
    <row r="696" ht="15.75" customHeight="1">
      <c r="A696" s="477" t="n"/>
      <c r="B696" s="477" t="n"/>
      <c r="C696" s="477" t="n"/>
      <c r="D696" s="477" t="n"/>
      <c r="E696" s="477" t="n"/>
      <c r="F696" s="477" t="n"/>
      <c r="G696" s="477" t="n"/>
      <c r="H696" s="505" t="n"/>
      <c r="I696" s="477" t="n"/>
      <c r="J696" s="477" t="n"/>
      <c r="K696" s="477" t="n"/>
      <c r="L696" s="477" t="n"/>
      <c r="M696" s="477" t="n"/>
      <c r="N696" s="477" t="n"/>
      <c r="O696" s="477" t="n"/>
      <c r="P696" s="477" t="n"/>
      <c r="Q696" s="477" t="n"/>
      <c r="R696" s="477" t="n"/>
      <c r="S696" s="477" t="n"/>
      <c r="T696" s="477" t="n"/>
      <c r="U696" s="477" t="n"/>
      <c r="V696" s="477" t="n"/>
      <c r="W696" s="477" t="n"/>
      <c r="X696" s="477" t="n"/>
      <c r="Y696" s="477" t="n"/>
      <c r="Z696" s="477" t="n"/>
    </row>
    <row r="697" ht="15.75" customHeight="1">
      <c r="A697" s="477" t="n"/>
      <c r="B697" s="477" t="n"/>
      <c r="C697" s="477" t="n"/>
      <c r="D697" s="477" t="n"/>
      <c r="E697" s="477" t="n"/>
      <c r="F697" s="477" t="n"/>
      <c r="G697" s="477" t="n"/>
      <c r="H697" s="505" t="n"/>
      <c r="I697" s="477" t="n"/>
      <c r="J697" s="477" t="n"/>
      <c r="K697" s="477" t="n"/>
      <c r="L697" s="477" t="n"/>
      <c r="M697" s="477" t="n"/>
      <c r="N697" s="477" t="n"/>
      <c r="O697" s="477" t="n"/>
      <c r="P697" s="477" t="n"/>
      <c r="Q697" s="477" t="n"/>
      <c r="R697" s="477" t="n"/>
      <c r="S697" s="477" t="n"/>
      <c r="T697" s="477" t="n"/>
      <c r="U697" s="477" t="n"/>
      <c r="V697" s="477" t="n"/>
      <c r="W697" s="477" t="n"/>
      <c r="X697" s="477" t="n"/>
      <c r="Y697" s="477" t="n"/>
      <c r="Z697" s="477" t="n"/>
    </row>
    <row r="698" ht="15.75" customHeight="1">
      <c r="A698" s="477" t="n"/>
      <c r="B698" s="477" t="n"/>
      <c r="C698" s="477" t="n"/>
      <c r="D698" s="477" t="n"/>
      <c r="E698" s="477" t="n"/>
      <c r="F698" s="477" t="n"/>
      <c r="G698" s="477" t="n"/>
      <c r="H698" s="505" t="n"/>
      <c r="I698" s="477" t="n"/>
      <c r="J698" s="477" t="n"/>
      <c r="K698" s="477" t="n"/>
      <c r="L698" s="477" t="n"/>
      <c r="M698" s="477" t="n"/>
      <c r="N698" s="477" t="n"/>
      <c r="O698" s="477" t="n"/>
      <c r="P698" s="477" t="n"/>
      <c r="Q698" s="477" t="n"/>
      <c r="R698" s="477" t="n"/>
      <c r="S698" s="477" t="n"/>
      <c r="T698" s="477" t="n"/>
      <c r="U698" s="477" t="n"/>
      <c r="V698" s="477" t="n"/>
      <c r="W698" s="477" t="n"/>
      <c r="X698" s="477" t="n"/>
      <c r="Y698" s="477" t="n"/>
      <c r="Z698" s="477" t="n"/>
    </row>
    <row r="699" ht="15.75" customHeight="1">
      <c r="A699" s="477" t="n"/>
      <c r="B699" s="477" t="n"/>
      <c r="C699" s="477" t="n"/>
      <c r="D699" s="477" t="n"/>
      <c r="E699" s="477" t="n"/>
      <c r="F699" s="477" t="n"/>
      <c r="G699" s="477" t="n"/>
      <c r="H699" s="505" t="n"/>
      <c r="I699" s="477" t="n"/>
      <c r="J699" s="477" t="n"/>
      <c r="K699" s="477" t="n"/>
      <c r="L699" s="477" t="n"/>
      <c r="M699" s="477" t="n"/>
      <c r="N699" s="477" t="n"/>
      <c r="O699" s="477" t="n"/>
      <c r="P699" s="477" t="n"/>
      <c r="Q699" s="477" t="n"/>
      <c r="R699" s="477" t="n"/>
      <c r="S699" s="477" t="n"/>
      <c r="T699" s="477" t="n"/>
      <c r="U699" s="477" t="n"/>
      <c r="V699" s="477" t="n"/>
      <c r="W699" s="477" t="n"/>
      <c r="X699" s="477" t="n"/>
      <c r="Y699" s="477" t="n"/>
      <c r="Z699" s="477" t="n"/>
    </row>
    <row r="700" ht="15.75" customHeight="1">
      <c r="A700" s="477" t="n"/>
      <c r="B700" s="477" t="n"/>
      <c r="C700" s="477" t="n"/>
      <c r="D700" s="477" t="n"/>
      <c r="E700" s="477" t="n"/>
      <c r="F700" s="477" t="n"/>
      <c r="G700" s="477" t="n"/>
      <c r="H700" s="505" t="n"/>
      <c r="I700" s="477" t="n"/>
      <c r="J700" s="477" t="n"/>
      <c r="K700" s="477" t="n"/>
      <c r="L700" s="477" t="n"/>
      <c r="M700" s="477" t="n"/>
      <c r="N700" s="477" t="n"/>
      <c r="O700" s="477" t="n"/>
      <c r="P700" s="477" t="n"/>
      <c r="Q700" s="477" t="n"/>
      <c r="R700" s="477" t="n"/>
      <c r="S700" s="477" t="n"/>
      <c r="T700" s="477" t="n"/>
      <c r="U700" s="477" t="n"/>
      <c r="V700" s="477" t="n"/>
      <c r="W700" s="477" t="n"/>
      <c r="X700" s="477" t="n"/>
      <c r="Y700" s="477" t="n"/>
      <c r="Z700" s="477" t="n"/>
    </row>
    <row r="701" ht="15.75" customHeight="1">
      <c r="A701" s="477" t="n"/>
      <c r="B701" s="477" t="n"/>
      <c r="C701" s="477" t="n"/>
      <c r="D701" s="477" t="n"/>
      <c r="E701" s="477" t="n"/>
      <c r="F701" s="477" t="n"/>
      <c r="G701" s="477" t="n"/>
      <c r="H701" s="505" t="n"/>
      <c r="I701" s="477" t="n"/>
      <c r="J701" s="477" t="n"/>
      <c r="K701" s="477" t="n"/>
      <c r="L701" s="477" t="n"/>
      <c r="M701" s="477" t="n"/>
      <c r="N701" s="477" t="n"/>
      <c r="O701" s="477" t="n"/>
      <c r="P701" s="477" t="n"/>
      <c r="Q701" s="477" t="n"/>
      <c r="R701" s="477" t="n"/>
      <c r="S701" s="477" t="n"/>
      <c r="T701" s="477" t="n"/>
      <c r="U701" s="477" t="n"/>
      <c r="V701" s="477" t="n"/>
      <c r="W701" s="477" t="n"/>
      <c r="X701" s="477" t="n"/>
      <c r="Y701" s="477" t="n"/>
      <c r="Z701" s="477" t="n"/>
    </row>
    <row r="702" ht="15.75" customHeight="1">
      <c r="A702" s="477" t="n"/>
      <c r="B702" s="477" t="n"/>
      <c r="C702" s="477" t="n"/>
      <c r="D702" s="477" t="n"/>
      <c r="E702" s="477" t="n"/>
      <c r="F702" s="477" t="n"/>
      <c r="G702" s="477" t="n"/>
      <c r="H702" s="505" t="n"/>
      <c r="I702" s="477" t="n"/>
      <c r="J702" s="477" t="n"/>
      <c r="K702" s="477" t="n"/>
      <c r="L702" s="477" t="n"/>
      <c r="M702" s="477" t="n"/>
      <c r="N702" s="477" t="n"/>
      <c r="O702" s="477" t="n"/>
      <c r="P702" s="477" t="n"/>
      <c r="Q702" s="477" t="n"/>
      <c r="R702" s="477" t="n"/>
      <c r="S702" s="477" t="n"/>
      <c r="T702" s="477" t="n"/>
      <c r="U702" s="477" t="n"/>
      <c r="V702" s="477" t="n"/>
      <c r="W702" s="477" t="n"/>
      <c r="X702" s="477" t="n"/>
      <c r="Y702" s="477" t="n"/>
      <c r="Z702" s="477" t="n"/>
    </row>
    <row r="703" ht="15.75" customHeight="1">
      <c r="A703" s="477" t="n"/>
      <c r="B703" s="477" t="n"/>
      <c r="C703" s="477" t="n"/>
      <c r="D703" s="477" t="n"/>
      <c r="E703" s="477" t="n"/>
      <c r="F703" s="477" t="n"/>
      <c r="G703" s="477" t="n"/>
      <c r="H703" s="505" t="n"/>
      <c r="I703" s="477" t="n"/>
      <c r="J703" s="477" t="n"/>
      <c r="K703" s="477" t="n"/>
      <c r="L703" s="477" t="n"/>
      <c r="M703" s="477" t="n"/>
      <c r="N703" s="477" t="n"/>
      <c r="O703" s="477" t="n"/>
      <c r="P703" s="477" t="n"/>
      <c r="Q703" s="477" t="n"/>
      <c r="R703" s="477" t="n"/>
      <c r="S703" s="477" t="n"/>
      <c r="T703" s="477" t="n"/>
      <c r="U703" s="477" t="n"/>
      <c r="V703" s="477" t="n"/>
      <c r="W703" s="477" t="n"/>
      <c r="X703" s="477" t="n"/>
      <c r="Y703" s="477" t="n"/>
      <c r="Z703" s="477" t="n"/>
    </row>
    <row r="704" ht="15.75" customHeight="1">
      <c r="A704" s="477" t="n"/>
      <c r="B704" s="477" t="n"/>
      <c r="C704" s="477" t="n"/>
      <c r="D704" s="477" t="n"/>
      <c r="E704" s="477" t="n"/>
      <c r="F704" s="477" t="n"/>
      <c r="G704" s="477" t="n"/>
      <c r="H704" s="505" t="n"/>
      <c r="I704" s="477" t="n"/>
      <c r="J704" s="477" t="n"/>
      <c r="K704" s="477" t="n"/>
      <c r="L704" s="477" t="n"/>
      <c r="M704" s="477" t="n"/>
      <c r="N704" s="477" t="n"/>
      <c r="O704" s="477" t="n"/>
      <c r="P704" s="477" t="n"/>
      <c r="Q704" s="477" t="n"/>
      <c r="R704" s="477" t="n"/>
      <c r="S704" s="477" t="n"/>
      <c r="T704" s="477" t="n"/>
      <c r="U704" s="477" t="n"/>
      <c r="V704" s="477" t="n"/>
      <c r="W704" s="477" t="n"/>
      <c r="X704" s="477" t="n"/>
      <c r="Y704" s="477" t="n"/>
      <c r="Z704" s="477" t="n"/>
    </row>
    <row r="705" ht="15.75" customHeight="1">
      <c r="A705" s="477" t="n"/>
      <c r="B705" s="477" t="n"/>
      <c r="C705" s="477" t="n"/>
      <c r="D705" s="477" t="n"/>
      <c r="E705" s="477" t="n"/>
      <c r="F705" s="477" t="n"/>
      <c r="G705" s="477" t="n"/>
      <c r="H705" s="505" t="n"/>
      <c r="I705" s="477" t="n"/>
      <c r="J705" s="477" t="n"/>
      <c r="K705" s="477" t="n"/>
      <c r="L705" s="477" t="n"/>
      <c r="M705" s="477" t="n"/>
      <c r="N705" s="477" t="n"/>
      <c r="O705" s="477" t="n"/>
      <c r="P705" s="477" t="n"/>
      <c r="Q705" s="477" t="n"/>
      <c r="R705" s="477" t="n"/>
      <c r="S705" s="477" t="n"/>
      <c r="T705" s="477" t="n"/>
      <c r="U705" s="477" t="n"/>
      <c r="V705" s="477" t="n"/>
      <c r="W705" s="477" t="n"/>
      <c r="X705" s="477" t="n"/>
      <c r="Y705" s="477" t="n"/>
      <c r="Z705" s="477" t="n"/>
    </row>
    <row r="706" ht="15.75" customHeight="1">
      <c r="A706" s="477" t="n"/>
      <c r="B706" s="477" t="n"/>
      <c r="C706" s="477" t="n"/>
      <c r="D706" s="477" t="n"/>
      <c r="E706" s="477" t="n"/>
      <c r="F706" s="477" t="n"/>
      <c r="G706" s="477" t="n"/>
      <c r="H706" s="505" t="n"/>
      <c r="I706" s="477" t="n"/>
      <c r="J706" s="477" t="n"/>
      <c r="K706" s="477" t="n"/>
      <c r="L706" s="477" t="n"/>
      <c r="M706" s="477" t="n"/>
      <c r="N706" s="477" t="n"/>
      <c r="O706" s="477" t="n"/>
      <c r="P706" s="477" t="n"/>
      <c r="Q706" s="477" t="n"/>
      <c r="R706" s="477" t="n"/>
      <c r="S706" s="477" t="n"/>
      <c r="T706" s="477" t="n"/>
      <c r="U706" s="477" t="n"/>
      <c r="V706" s="477" t="n"/>
      <c r="W706" s="477" t="n"/>
      <c r="X706" s="477" t="n"/>
      <c r="Y706" s="477" t="n"/>
      <c r="Z706" s="477" t="n"/>
    </row>
    <row r="707" ht="15.75" customHeight="1">
      <c r="A707" s="477" t="n"/>
      <c r="B707" s="477" t="n"/>
      <c r="C707" s="477" t="n"/>
      <c r="D707" s="477" t="n"/>
      <c r="E707" s="477" t="n"/>
      <c r="F707" s="477" t="n"/>
      <c r="G707" s="477" t="n"/>
      <c r="H707" s="505" t="n"/>
      <c r="I707" s="477" t="n"/>
      <c r="J707" s="477" t="n"/>
      <c r="K707" s="477" t="n"/>
      <c r="L707" s="477" t="n"/>
      <c r="M707" s="477" t="n"/>
      <c r="N707" s="477" t="n"/>
      <c r="O707" s="477" t="n"/>
      <c r="P707" s="477" t="n"/>
      <c r="Q707" s="477" t="n"/>
      <c r="R707" s="477" t="n"/>
      <c r="S707" s="477" t="n"/>
      <c r="T707" s="477" t="n"/>
      <c r="U707" s="477" t="n"/>
      <c r="V707" s="477" t="n"/>
      <c r="W707" s="477" t="n"/>
      <c r="X707" s="477" t="n"/>
      <c r="Y707" s="477" t="n"/>
      <c r="Z707" s="477" t="n"/>
    </row>
    <row r="708" ht="15.75" customHeight="1">
      <c r="A708" s="477" t="n"/>
      <c r="B708" s="477" t="n"/>
      <c r="C708" s="477" t="n"/>
      <c r="D708" s="477" t="n"/>
      <c r="E708" s="477" t="n"/>
      <c r="F708" s="477" t="n"/>
      <c r="G708" s="477" t="n"/>
      <c r="H708" s="505" t="n"/>
      <c r="I708" s="477" t="n"/>
      <c r="J708" s="477" t="n"/>
      <c r="K708" s="477" t="n"/>
      <c r="L708" s="477" t="n"/>
      <c r="M708" s="477" t="n"/>
      <c r="N708" s="477" t="n"/>
      <c r="O708" s="477" t="n"/>
      <c r="P708" s="477" t="n"/>
      <c r="Q708" s="477" t="n"/>
      <c r="R708" s="477" t="n"/>
      <c r="S708" s="477" t="n"/>
      <c r="T708" s="477" t="n"/>
      <c r="U708" s="477" t="n"/>
      <c r="V708" s="477" t="n"/>
      <c r="W708" s="477" t="n"/>
      <c r="X708" s="477" t="n"/>
      <c r="Y708" s="477" t="n"/>
      <c r="Z708" s="477" t="n"/>
    </row>
    <row r="709" ht="15.75" customHeight="1">
      <c r="A709" s="477" t="n"/>
      <c r="B709" s="477" t="n"/>
      <c r="C709" s="477" t="n"/>
      <c r="D709" s="477" t="n"/>
      <c r="E709" s="477" t="n"/>
      <c r="F709" s="477" t="n"/>
      <c r="G709" s="477" t="n"/>
      <c r="H709" s="505" t="n"/>
      <c r="I709" s="477" t="n"/>
      <c r="J709" s="477" t="n"/>
      <c r="K709" s="477" t="n"/>
      <c r="L709" s="477" t="n"/>
      <c r="M709" s="477" t="n"/>
      <c r="N709" s="477" t="n"/>
      <c r="O709" s="477" t="n"/>
      <c r="P709" s="477" t="n"/>
      <c r="Q709" s="477" t="n"/>
      <c r="R709" s="477" t="n"/>
      <c r="S709" s="477" t="n"/>
      <c r="T709" s="477" t="n"/>
      <c r="U709" s="477" t="n"/>
      <c r="V709" s="477" t="n"/>
      <c r="W709" s="477" t="n"/>
      <c r="X709" s="477" t="n"/>
      <c r="Y709" s="477" t="n"/>
      <c r="Z709" s="477" t="n"/>
    </row>
    <row r="710" ht="15.75" customHeight="1">
      <c r="A710" s="477" t="n"/>
      <c r="B710" s="477" t="n"/>
      <c r="C710" s="477" t="n"/>
      <c r="D710" s="477" t="n"/>
      <c r="E710" s="477" t="n"/>
      <c r="F710" s="477" t="n"/>
      <c r="G710" s="477" t="n"/>
      <c r="H710" s="505" t="n"/>
      <c r="I710" s="477" t="n"/>
      <c r="J710" s="477" t="n"/>
      <c r="K710" s="477" t="n"/>
      <c r="L710" s="477" t="n"/>
      <c r="M710" s="477" t="n"/>
      <c r="N710" s="477" t="n"/>
      <c r="O710" s="477" t="n"/>
      <c r="P710" s="477" t="n"/>
      <c r="Q710" s="477" t="n"/>
      <c r="R710" s="477" t="n"/>
      <c r="S710" s="477" t="n"/>
      <c r="T710" s="477" t="n"/>
      <c r="U710" s="477" t="n"/>
      <c r="V710" s="477" t="n"/>
      <c r="W710" s="477" t="n"/>
      <c r="X710" s="477" t="n"/>
      <c r="Y710" s="477" t="n"/>
      <c r="Z710" s="477" t="n"/>
    </row>
    <row r="711" ht="15.75" customHeight="1">
      <c r="A711" s="477" t="n"/>
      <c r="B711" s="477" t="n"/>
      <c r="C711" s="477" t="n"/>
      <c r="D711" s="477" t="n"/>
      <c r="E711" s="477" t="n"/>
      <c r="F711" s="477" t="n"/>
      <c r="G711" s="477" t="n"/>
      <c r="H711" s="505" t="n"/>
      <c r="I711" s="477" t="n"/>
      <c r="J711" s="477" t="n"/>
      <c r="K711" s="477" t="n"/>
      <c r="L711" s="477" t="n"/>
      <c r="M711" s="477" t="n"/>
      <c r="N711" s="477" t="n"/>
      <c r="O711" s="477" t="n"/>
      <c r="P711" s="477" t="n"/>
      <c r="Q711" s="477" t="n"/>
      <c r="R711" s="477" t="n"/>
      <c r="S711" s="477" t="n"/>
      <c r="T711" s="477" t="n"/>
      <c r="U711" s="477" t="n"/>
      <c r="V711" s="477" t="n"/>
      <c r="W711" s="477" t="n"/>
      <c r="X711" s="477" t="n"/>
      <c r="Y711" s="477" t="n"/>
      <c r="Z711" s="477" t="n"/>
    </row>
    <row r="712" ht="15.75" customHeight="1">
      <c r="A712" s="477" t="n"/>
      <c r="B712" s="477" t="n"/>
      <c r="C712" s="477" t="n"/>
      <c r="D712" s="477" t="n"/>
      <c r="E712" s="477" t="n"/>
      <c r="F712" s="477" t="n"/>
      <c r="G712" s="477" t="n"/>
      <c r="H712" s="505" t="n"/>
      <c r="I712" s="477" t="n"/>
      <c r="J712" s="477" t="n"/>
      <c r="K712" s="477" t="n"/>
      <c r="L712" s="477" t="n"/>
      <c r="M712" s="477" t="n"/>
      <c r="N712" s="477" t="n"/>
      <c r="O712" s="477" t="n"/>
      <c r="P712" s="477" t="n"/>
      <c r="Q712" s="477" t="n"/>
      <c r="R712" s="477" t="n"/>
      <c r="S712" s="477" t="n"/>
      <c r="T712" s="477" t="n"/>
      <c r="U712" s="477" t="n"/>
      <c r="V712" s="477" t="n"/>
      <c r="W712" s="477" t="n"/>
      <c r="X712" s="477" t="n"/>
      <c r="Y712" s="477" t="n"/>
      <c r="Z712" s="477" t="n"/>
    </row>
    <row r="713" ht="15.75" customHeight="1">
      <c r="A713" s="477" t="n"/>
      <c r="B713" s="477" t="n"/>
      <c r="C713" s="477" t="n"/>
      <c r="D713" s="477" t="n"/>
      <c r="E713" s="477" t="n"/>
      <c r="F713" s="477" t="n"/>
      <c r="G713" s="477" t="n"/>
      <c r="H713" s="505" t="n"/>
      <c r="I713" s="477" t="n"/>
      <c r="J713" s="477" t="n"/>
      <c r="K713" s="477" t="n"/>
      <c r="L713" s="477" t="n"/>
      <c r="M713" s="477" t="n"/>
      <c r="N713" s="477" t="n"/>
      <c r="O713" s="477" t="n"/>
      <c r="P713" s="477" t="n"/>
      <c r="Q713" s="477" t="n"/>
      <c r="R713" s="477" t="n"/>
      <c r="S713" s="477" t="n"/>
      <c r="T713" s="477" t="n"/>
      <c r="U713" s="477" t="n"/>
      <c r="V713" s="477" t="n"/>
      <c r="W713" s="477" t="n"/>
      <c r="X713" s="477" t="n"/>
      <c r="Y713" s="477" t="n"/>
      <c r="Z713" s="477" t="n"/>
    </row>
    <row r="714" ht="15.75" customHeight="1">
      <c r="A714" s="477" t="n"/>
      <c r="B714" s="477" t="n"/>
      <c r="C714" s="477" t="n"/>
      <c r="D714" s="477" t="n"/>
      <c r="E714" s="477" t="n"/>
      <c r="F714" s="477" t="n"/>
      <c r="G714" s="477" t="n"/>
      <c r="H714" s="505" t="n"/>
      <c r="I714" s="477" t="n"/>
      <c r="J714" s="477" t="n"/>
      <c r="K714" s="477" t="n"/>
      <c r="L714" s="477" t="n"/>
      <c r="M714" s="477" t="n"/>
      <c r="N714" s="477" t="n"/>
      <c r="O714" s="477" t="n"/>
      <c r="P714" s="477" t="n"/>
      <c r="Q714" s="477" t="n"/>
      <c r="R714" s="477" t="n"/>
      <c r="S714" s="477" t="n"/>
      <c r="T714" s="477" t="n"/>
      <c r="U714" s="477" t="n"/>
      <c r="V714" s="477" t="n"/>
      <c r="W714" s="477" t="n"/>
      <c r="X714" s="477" t="n"/>
      <c r="Y714" s="477" t="n"/>
      <c r="Z714" s="477" t="n"/>
    </row>
    <row r="715" ht="15.75" customHeight="1">
      <c r="A715" s="477" t="n"/>
      <c r="B715" s="477" t="n"/>
      <c r="C715" s="477" t="n"/>
      <c r="D715" s="477" t="n"/>
      <c r="E715" s="477" t="n"/>
      <c r="F715" s="477" t="n"/>
      <c r="G715" s="477" t="n"/>
      <c r="H715" s="505" t="n"/>
      <c r="I715" s="477" t="n"/>
      <c r="J715" s="477" t="n"/>
      <c r="K715" s="477" t="n"/>
      <c r="L715" s="477" t="n"/>
      <c r="M715" s="477" t="n"/>
      <c r="N715" s="477" t="n"/>
      <c r="O715" s="477" t="n"/>
      <c r="P715" s="477" t="n"/>
      <c r="Q715" s="477" t="n"/>
      <c r="R715" s="477" t="n"/>
      <c r="S715" s="477" t="n"/>
      <c r="T715" s="477" t="n"/>
      <c r="U715" s="477" t="n"/>
      <c r="V715" s="477" t="n"/>
      <c r="W715" s="477" t="n"/>
      <c r="X715" s="477" t="n"/>
      <c r="Y715" s="477" t="n"/>
      <c r="Z715" s="477" t="n"/>
    </row>
    <row r="716" ht="15.75" customHeight="1">
      <c r="A716" s="477" t="n"/>
      <c r="B716" s="477" t="n"/>
      <c r="C716" s="477" t="n"/>
      <c r="D716" s="477" t="n"/>
      <c r="E716" s="477" t="n"/>
      <c r="F716" s="477" t="n"/>
      <c r="G716" s="477" t="n"/>
      <c r="H716" s="505" t="n"/>
      <c r="I716" s="477" t="n"/>
      <c r="J716" s="477" t="n"/>
      <c r="K716" s="477" t="n"/>
      <c r="L716" s="477" t="n"/>
      <c r="M716" s="477" t="n"/>
      <c r="N716" s="477" t="n"/>
      <c r="O716" s="477" t="n"/>
      <c r="P716" s="477" t="n"/>
      <c r="Q716" s="477" t="n"/>
      <c r="R716" s="477" t="n"/>
      <c r="S716" s="477" t="n"/>
      <c r="T716" s="477" t="n"/>
      <c r="U716" s="477" t="n"/>
      <c r="V716" s="477" t="n"/>
      <c r="W716" s="477" t="n"/>
      <c r="X716" s="477" t="n"/>
      <c r="Y716" s="477" t="n"/>
      <c r="Z716" s="477" t="n"/>
    </row>
    <row r="717" ht="15.75" customHeight="1">
      <c r="A717" s="477" t="n"/>
      <c r="B717" s="477" t="n"/>
      <c r="C717" s="477" t="n"/>
      <c r="D717" s="477" t="n"/>
      <c r="E717" s="477" t="n"/>
      <c r="F717" s="477" t="n"/>
      <c r="G717" s="477" t="n"/>
      <c r="H717" s="505" t="n"/>
      <c r="I717" s="477" t="n"/>
      <c r="J717" s="477" t="n"/>
      <c r="K717" s="477" t="n"/>
      <c r="L717" s="477" t="n"/>
      <c r="M717" s="477" t="n"/>
      <c r="N717" s="477" t="n"/>
      <c r="O717" s="477" t="n"/>
      <c r="P717" s="477" t="n"/>
      <c r="Q717" s="477" t="n"/>
      <c r="R717" s="477" t="n"/>
      <c r="S717" s="477" t="n"/>
      <c r="T717" s="477" t="n"/>
      <c r="U717" s="477" t="n"/>
      <c r="V717" s="477" t="n"/>
      <c r="W717" s="477" t="n"/>
      <c r="X717" s="477" t="n"/>
      <c r="Y717" s="477" t="n"/>
      <c r="Z717" s="477" t="n"/>
    </row>
    <row r="718" ht="15.75" customHeight="1">
      <c r="A718" s="477" t="n"/>
      <c r="B718" s="477" t="n"/>
      <c r="C718" s="477" t="n"/>
      <c r="D718" s="477" t="n"/>
      <c r="E718" s="477" t="n"/>
      <c r="F718" s="477" t="n"/>
      <c r="G718" s="477" t="n"/>
      <c r="H718" s="505" t="n"/>
      <c r="I718" s="477" t="n"/>
      <c r="J718" s="477" t="n"/>
      <c r="K718" s="477" t="n"/>
      <c r="L718" s="477" t="n"/>
      <c r="M718" s="477" t="n"/>
      <c r="N718" s="477" t="n"/>
      <c r="O718" s="477" t="n"/>
      <c r="P718" s="477" t="n"/>
      <c r="Q718" s="477" t="n"/>
      <c r="R718" s="477" t="n"/>
      <c r="S718" s="477" t="n"/>
      <c r="T718" s="477" t="n"/>
      <c r="U718" s="477" t="n"/>
      <c r="V718" s="477" t="n"/>
      <c r="W718" s="477" t="n"/>
      <c r="X718" s="477" t="n"/>
      <c r="Y718" s="477" t="n"/>
      <c r="Z718" s="477" t="n"/>
    </row>
    <row r="719" ht="15.75" customHeight="1">
      <c r="A719" s="477" t="n"/>
      <c r="B719" s="477" t="n"/>
      <c r="C719" s="477" t="n"/>
      <c r="D719" s="477" t="n"/>
      <c r="E719" s="477" t="n"/>
      <c r="F719" s="477" t="n"/>
      <c r="G719" s="477" t="n"/>
      <c r="H719" s="505" t="n"/>
      <c r="I719" s="477" t="n"/>
      <c r="J719" s="477" t="n"/>
      <c r="K719" s="477" t="n"/>
      <c r="L719" s="477" t="n"/>
      <c r="M719" s="477" t="n"/>
      <c r="N719" s="477" t="n"/>
      <c r="O719" s="477" t="n"/>
      <c r="P719" s="477" t="n"/>
      <c r="Q719" s="477" t="n"/>
      <c r="R719" s="477" t="n"/>
      <c r="S719" s="477" t="n"/>
      <c r="T719" s="477" t="n"/>
      <c r="U719" s="477" t="n"/>
      <c r="V719" s="477" t="n"/>
      <c r="W719" s="477" t="n"/>
      <c r="X719" s="477" t="n"/>
      <c r="Y719" s="477" t="n"/>
      <c r="Z719" s="477" t="n"/>
    </row>
    <row r="720" ht="15.75" customHeight="1">
      <c r="A720" s="477" t="n"/>
      <c r="B720" s="477" t="n"/>
      <c r="C720" s="477" t="n"/>
      <c r="D720" s="477" t="n"/>
      <c r="E720" s="477" t="n"/>
      <c r="F720" s="477" t="n"/>
      <c r="G720" s="477" t="n"/>
      <c r="H720" s="505" t="n"/>
      <c r="I720" s="477" t="n"/>
      <c r="J720" s="477" t="n"/>
      <c r="K720" s="477" t="n"/>
      <c r="L720" s="477" t="n"/>
      <c r="M720" s="477" t="n"/>
      <c r="N720" s="477" t="n"/>
      <c r="O720" s="477" t="n"/>
      <c r="P720" s="477" t="n"/>
      <c r="Q720" s="477" t="n"/>
      <c r="R720" s="477" t="n"/>
      <c r="S720" s="477" t="n"/>
      <c r="T720" s="477" t="n"/>
      <c r="U720" s="477" t="n"/>
      <c r="V720" s="477" t="n"/>
      <c r="W720" s="477" t="n"/>
      <c r="X720" s="477" t="n"/>
      <c r="Y720" s="477" t="n"/>
      <c r="Z720" s="477" t="n"/>
    </row>
    <row r="721" ht="15.75" customHeight="1">
      <c r="A721" s="477" t="n"/>
      <c r="B721" s="477" t="n"/>
      <c r="C721" s="477" t="n"/>
      <c r="D721" s="477" t="n"/>
      <c r="E721" s="477" t="n"/>
      <c r="F721" s="477" t="n"/>
      <c r="G721" s="477" t="n"/>
      <c r="H721" s="505" t="n"/>
      <c r="I721" s="477" t="n"/>
      <c r="J721" s="477" t="n"/>
      <c r="K721" s="477" t="n"/>
      <c r="L721" s="477" t="n"/>
      <c r="M721" s="477" t="n"/>
      <c r="N721" s="477" t="n"/>
      <c r="O721" s="477" t="n"/>
      <c r="P721" s="477" t="n"/>
      <c r="Q721" s="477" t="n"/>
      <c r="R721" s="477" t="n"/>
      <c r="S721" s="477" t="n"/>
      <c r="T721" s="477" t="n"/>
      <c r="U721" s="477" t="n"/>
      <c r="V721" s="477" t="n"/>
      <c r="W721" s="477" t="n"/>
      <c r="X721" s="477" t="n"/>
      <c r="Y721" s="477" t="n"/>
      <c r="Z721" s="477" t="n"/>
    </row>
    <row r="722" ht="15.75" customHeight="1">
      <c r="A722" s="477" t="n"/>
      <c r="B722" s="477" t="n"/>
      <c r="C722" s="477" t="n"/>
      <c r="D722" s="477" t="n"/>
      <c r="E722" s="477" t="n"/>
      <c r="F722" s="477" t="n"/>
      <c r="G722" s="477" t="n"/>
      <c r="H722" s="505" t="n"/>
      <c r="I722" s="477" t="n"/>
      <c r="J722" s="477" t="n"/>
      <c r="K722" s="477" t="n"/>
      <c r="L722" s="477" t="n"/>
      <c r="M722" s="477" t="n"/>
      <c r="N722" s="477" t="n"/>
      <c r="O722" s="477" t="n"/>
      <c r="P722" s="477" t="n"/>
      <c r="Q722" s="477" t="n"/>
      <c r="R722" s="477" t="n"/>
      <c r="S722" s="477" t="n"/>
      <c r="T722" s="477" t="n"/>
      <c r="U722" s="477" t="n"/>
      <c r="V722" s="477" t="n"/>
      <c r="W722" s="477" t="n"/>
      <c r="X722" s="477" t="n"/>
      <c r="Y722" s="477" t="n"/>
      <c r="Z722" s="477" t="n"/>
    </row>
    <row r="723" ht="15.75" customHeight="1">
      <c r="A723" s="477" t="n"/>
      <c r="B723" s="477" t="n"/>
      <c r="C723" s="477" t="n"/>
      <c r="D723" s="477" t="n"/>
      <c r="E723" s="477" t="n"/>
      <c r="F723" s="477" t="n"/>
      <c r="G723" s="477" t="n"/>
      <c r="H723" s="505" t="n"/>
      <c r="I723" s="477" t="n"/>
      <c r="J723" s="477" t="n"/>
      <c r="K723" s="477" t="n"/>
      <c r="L723" s="477" t="n"/>
      <c r="M723" s="477" t="n"/>
      <c r="N723" s="477" t="n"/>
      <c r="O723" s="477" t="n"/>
      <c r="P723" s="477" t="n"/>
      <c r="Q723" s="477" t="n"/>
      <c r="R723" s="477" t="n"/>
      <c r="S723" s="477" t="n"/>
      <c r="T723" s="477" t="n"/>
      <c r="U723" s="477" t="n"/>
      <c r="V723" s="477" t="n"/>
      <c r="W723" s="477" t="n"/>
      <c r="X723" s="477" t="n"/>
      <c r="Y723" s="477" t="n"/>
      <c r="Z723" s="477" t="n"/>
    </row>
    <row r="724" ht="15.75" customHeight="1">
      <c r="A724" s="477" t="n"/>
      <c r="B724" s="477" t="n"/>
      <c r="C724" s="477" t="n"/>
      <c r="D724" s="477" t="n"/>
      <c r="E724" s="477" t="n"/>
      <c r="F724" s="477" t="n"/>
      <c r="G724" s="477" t="n"/>
      <c r="H724" s="505" t="n"/>
      <c r="I724" s="477" t="n"/>
      <c r="J724" s="477" t="n"/>
      <c r="K724" s="477" t="n"/>
      <c r="L724" s="477" t="n"/>
      <c r="M724" s="477" t="n"/>
      <c r="N724" s="477" t="n"/>
      <c r="O724" s="477" t="n"/>
      <c r="P724" s="477" t="n"/>
      <c r="Q724" s="477" t="n"/>
      <c r="R724" s="477" t="n"/>
      <c r="S724" s="477" t="n"/>
      <c r="T724" s="477" t="n"/>
      <c r="U724" s="477" t="n"/>
      <c r="V724" s="477" t="n"/>
      <c r="W724" s="477" t="n"/>
      <c r="X724" s="477" t="n"/>
      <c r="Y724" s="477" t="n"/>
      <c r="Z724" s="477" t="n"/>
    </row>
    <row r="725" ht="15.75" customHeight="1">
      <c r="A725" s="477" t="n"/>
      <c r="B725" s="477" t="n"/>
      <c r="C725" s="477" t="n"/>
      <c r="D725" s="477" t="n"/>
      <c r="E725" s="477" t="n"/>
      <c r="F725" s="477" t="n"/>
      <c r="G725" s="477" t="n"/>
      <c r="H725" s="505" t="n"/>
      <c r="I725" s="477" t="n"/>
      <c r="J725" s="477" t="n"/>
      <c r="K725" s="477" t="n"/>
      <c r="L725" s="477" t="n"/>
      <c r="M725" s="477" t="n"/>
      <c r="N725" s="477" t="n"/>
      <c r="O725" s="477" t="n"/>
      <c r="P725" s="477" t="n"/>
      <c r="Q725" s="477" t="n"/>
      <c r="R725" s="477" t="n"/>
      <c r="S725" s="477" t="n"/>
      <c r="T725" s="477" t="n"/>
      <c r="U725" s="477" t="n"/>
      <c r="V725" s="477" t="n"/>
      <c r="W725" s="477" t="n"/>
      <c r="X725" s="477" t="n"/>
      <c r="Y725" s="477" t="n"/>
      <c r="Z725" s="477" t="n"/>
    </row>
    <row r="726" ht="15.75" customHeight="1">
      <c r="A726" s="477" t="n"/>
      <c r="B726" s="477" t="n"/>
      <c r="C726" s="477" t="n"/>
      <c r="D726" s="477" t="n"/>
      <c r="E726" s="477" t="n"/>
      <c r="F726" s="477" t="n"/>
      <c r="G726" s="477" t="n"/>
      <c r="H726" s="505" t="n"/>
      <c r="I726" s="477" t="n"/>
      <c r="J726" s="477" t="n"/>
      <c r="K726" s="477" t="n"/>
      <c r="L726" s="477" t="n"/>
      <c r="M726" s="477" t="n"/>
      <c r="N726" s="477" t="n"/>
      <c r="O726" s="477" t="n"/>
      <c r="P726" s="477" t="n"/>
      <c r="Q726" s="477" t="n"/>
      <c r="R726" s="477" t="n"/>
      <c r="S726" s="477" t="n"/>
      <c r="T726" s="477" t="n"/>
      <c r="U726" s="477" t="n"/>
      <c r="V726" s="477" t="n"/>
      <c r="W726" s="477" t="n"/>
      <c r="X726" s="477" t="n"/>
      <c r="Y726" s="477" t="n"/>
      <c r="Z726" s="477" t="n"/>
    </row>
    <row r="727" ht="15.75" customHeight="1">
      <c r="A727" s="477" t="n"/>
      <c r="B727" s="477" t="n"/>
      <c r="C727" s="477" t="n"/>
      <c r="D727" s="477" t="n"/>
      <c r="E727" s="477" t="n"/>
      <c r="F727" s="477" t="n"/>
      <c r="G727" s="477" t="n"/>
      <c r="H727" s="505" t="n"/>
      <c r="I727" s="477" t="n"/>
      <c r="J727" s="477" t="n"/>
      <c r="K727" s="477" t="n"/>
      <c r="L727" s="477" t="n"/>
      <c r="M727" s="477" t="n"/>
      <c r="N727" s="477" t="n"/>
      <c r="O727" s="477" t="n"/>
      <c r="P727" s="477" t="n"/>
      <c r="Q727" s="477" t="n"/>
      <c r="R727" s="477" t="n"/>
      <c r="S727" s="477" t="n"/>
      <c r="T727" s="477" t="n"/>
      <c r="U727" s="477" t="n"/>
      <c r="V727" s="477" t="n"/>
      <c r="W727" s="477" t="n"/>
      <c r="X727" s="477" t="n"/>
      <c r="Y727" s="477" t="n"/>
      <c r="Z727" s="477" t="n"/>
    </row>
    <row r="728" ht="15.75" customHeight="1">
      <c r="A728" s="477" t="n"/>
      <c r="B728" s="477" t="n"/>
      <c r="C728" s="477" t="n"/>
      <c r="D728" s="477" t="n"/>
      <c r="E728" s="477" t="n"/>
      <c r="F728" s="477" t="n"/>
      <c r="G728" s="477" t="n"/>
      <c r="H728" s="505" t="n"/>
      <c r="I728" s="477" t="n"/>
      <c r="J728" s="477" t="n"/>
      <c r="K728" s="477" t="n"/>
      <c r="L728" s="477" t="n"/>
      <c r="M728" s="477" t="n"/>
      <c r="N728" s="477" t="n"/>
      <c r="O728" s="477" t="n"/>
      <c r="P728" s="477" t="n"/>
      <c r="Q728" s="477" t="n"/>
      <c r="R728" s="477" t="n"/>
      <c r="S728" s="477" t="n"/>
      <c r="T728" s="477" t="n"/>
      <c r="U728" s="477" t="n"/>
      <c r="V728" s="477" t="n"/>
      <c r="W728" s="477" t="n"/>
      <c r="X728" s="477" t="n"/>
      <c r="Y728" s="477" t="n"/>
      <c r="Z728" s="477" t="n"/>
    </row>
    <row r="729" ht="15.75" customHeight="1">
      <c r="A729" s="477" t="n"/>
      <c r="B729" s="477" t="n"/>
      <c r="C729" s="477" t="n"/>
      <c r="D729" s="477" t="n"/>
      <c r="E729" s="477" t="n"/>
      <c r="F729" s="477" t="n"/>
      <c r="G729" s="477" t="n"/>
      <c r="H729" s="505" t="n"/>
      <c r="I729" s="477" t="n"/>
      <c r="J729" s="477" t="n"/>
      <c r="K729" s="477" t="n"/>
      <c r="L729" s="477" t="n"/>
      <c r="M729" s="477" t="n"/>
      <c r="N729" s="477" t="n"/>
      <c r="O729" s="477" t="n"/>
      <c r="P729" s="477" t="n"/>
      <c r="Q729" s="477" t="n"/>
      <c r="R729" s="477" t="n"/>
      <c r="S729" s="477" t="n"/>
      <c r="T729" s="477" t="n"/>
      <c r="U729" s="477" t="n"/>
      <c r="V729" s="477" t="n"/>
      <c r="W729" s="477" t="n"/>
      <c r="X729" s="477" t="n"/>
      <c r="Y729" s="477" t="n"/>
      <c r="Z729" s="477" t="n"/>
    </row>
    <row r="730" ht="15.75" customHeight="1">
      <c r="A730" s="477" t="n"/>
      <c r="B730" s="477" t="n"/>
      <c r="C730" s="477" t="n"/>
      <c r="D730" s="477" t="n"/>
      <c r="E730" s="477" t="n"/>
      <c r="F730" s="477" t="n"/>
      <c r="G730" s="477" t="n"/>
      <c r="H730" s="505" t="n"/>
      <c r="I730" s="477" t="n"/>
      <c r="J730" s="477" t="n"/>
      <c r="K730" s="477" t="n"/>
      <c r="L730" s="477" t="n"/>
      <c r="M730" s="477" t="n"/>
      <c r="N730" s="477" t="n"/>
      <c r="O730" s="477" t="n"/>
      <c r="P730" s="477" t="n"/>
      <c r="Q730" s="477" t="n"/>
      <c r="R730" s="477" t="n"/>
      <c r="S730" s="477" t="n"/>
      <c r="T730" s="477" t="n"/>
      <c r="U730" s="477" t="n"/>
      <c r="V730" s="477" t="n"/>
      <c r="W730" s="477" t="n"/>
      <c r="X730" s="477" t="n"/>
      <c r="Y730" s="477" t="n"/>
      <c r="Z730" s="477" t="n"/>
    </row>
    <row r="731" ht="15.75" customHeight="1">
      <c r="A731" s="477" t="n"/>
      <c r="B731" s="477" t="n"/>
      <c r="C731" s="477" t="n"/>
      <c r="D731" s="477" t="n"/>
      <c r="E731" s="477" t="n"/>
      <c r="F731" s="477" t="n"/>
      <c r="G731" s="477" t="n"/>
      <c r="H731" s="505" t="n"/>
      <c r="I731" s="477" t="n"/>
      <c r="J731" s="477" t="n"/>
      <c r="K731" s="477" t="n"/>
      <c r="L731" s="477" t="n"/>
      <c r="M731" s="477" t="n"/>
      <c r="N731" s="477" t="n"/>
      <c r="O731" s="477" t="n"/>
      <c r="P731" s="477" t="n"/>
      <c r="Q731" s="477" t="n"/>
      <c r="R731" s="477" t="n"/>
      <c r="S731" s="477" t="n"/>
      <c r="T731" s="477" t="n"/>
      <c r="U731" s="477" t="n"/>
      <c r="V731" s="477" t="n"/>
      <c r="W731" s="477" t="n"/>
      <c r="X731" s="477" t="n"/>
      <c r="Y731" s="477" t="n"/>
      <c r="Z731" s="477" t="n"/>
    </row>
    <row r="732" ht="15.75" customHeight="1">
      <c r="A732" s="477" t="n"/>
      <c r="B732" s="477" t="n"/>
      <c r="C732" s="477" t="n"/>
      <c r="D732" s="477" t="n"/>
      <c r="E732" s="477" t="n"/>
      <c r="F732" s="477" t="n"/>
      <c r="G732" s="477" t="n"/>
      <c r="H732" s="505" t="n"/>
      <c r="I732" s="477" t="n"/>
      <c r="J732" s="477" t="n"/>
      <c r="K732" s="477" t="n"/>
      <c r="L732" s="477" t="n"/>
      <c r="M732" s="477" t="n"/>
      <c r="N732" s="477" t="n"/>
      <c r="O732" s="477" t="n"/>
      <c r="P732" s="477" t="n"/>
      <c r="Q732" s="477" t="n"/>
      <c r="R732" s="477" t="n"/>
      <c r="S732" s="477" t="n"/>
      <c r="T732" s="477" t="n"/>
      <c r="U732" s="477" t="n"/>
      <c r="V732" s="477" t="n"/>
      <c r="W732" s="477" t="n"/>
      <c r="X732" s="477" t="n"/>
      <c r="Y732" s="477" t="n"/>
      <c r="Z732" s="477" t="n"/>
    </row>
    <row r="733" ht="15.75" customHeight="1">
      <c r="A733" s="477" t="n"/>
      <c r="B733" s="477" t="n"/>
      <c r="C733" s="477" t="n"/>
      <c r="D733" s="477" t="n"/>
      <c r="E733" s="477" t="n"/>
      <c r="F733" s="477" t="n"/>
      <c r="G733" s="477" t="n"/>
      <c r="H733" s="505" t="n"/>
      <c r="I733" s="477" t="n"/>
      <c r="J733" s="477" t="n"/>
      <c r="K733" s="477" t="n"/>
      <c r="L733" s="477" t="n"/>
      <c r="M733" s="477" t="n"/>
      <c r="N733" s="477" t="n"/>
      <c r="O733" s="477" t="n"/>
      <c r="P733" s="477" t="n"/>
      <c r="Q733" s="477" t="n"/>
      <c r="R733" s="477" t="n"/>
      <c r="S733" s="477" t="n"/>
      <c r="T733" s="477" t="n"/>
      <c r="U733" s="477" t="n"/>
      <c r="V733" s="477" t="n"/>
      <c r="W733" s="477" t="n"/>
      <c r="X733" s="477" t="n"/>
      <c r="Y733" s="477" t="n"/>
      <c r="Z733" s="477" t="n"/>
    </row>
    <row r="734" ht="15.75" customHeight="1">
      <c r="A734" s="477" t="n"/>
      <c r="B734" s="477" t="n"/>
      <c r="C734" s="477" t="n"/>
      <c r="D734" s="477" t="n"/>
      <c r="E734" s="477" t="n"/>
      <c r="F734" s="477" t="n"/>
      <c r="G734" s="477" t="n"/>
      <c r="H734" s="505" t="n"/>
      <c r="I734" s="477" t="n"/>
      <c r="J734" s="477" t="n"/>
      <c r="K734" s="477" t="n"/>
      <c r="L734" s="477" t="n"/>
      <c r="M734" s="477" t="n"/>
      <c r="N734" s="477" t="n"/>
      <c r="O734" s="477" t="n"/>
      <c r="P734" s="477" t="n"/>
      <c r="Q734" s="477" t="n"/>
      <c r="R734" s="477" t="n"/>
      <c r="S734" s="477" t="n"/>
      <c r="T734" s="477" t="n"/>
      <c r="U734" s="477" t="n"/>
      <c r="V734" s="477" t="n"/>
      <c r="W734" s="477" t="n"/>
      <c r="X734" s="477" t="n"/>
      <c r="Y734" s="477" t="n"/>
      <c r="Z734" s="477" t="n"/>
    </row>
    <row r="735" ht="15.75" customHeight="1">
      <c r="A735" s="477" t="n"/>
      <c r="B735" s="477" t="n"/>
      <c r="C735" s="477" t="n"/>
      <c r="D735" s="477" t="n"/>
      <c r="E735" s="477" t="n"/>
      <c r="F735" s="477" t="n"/>
      <c r="G735" s="477" t="n"/>
      <c r="H735" s="505" t="n"/>
      <c r="I735" s="477" t="n"/>
      <c r="J735" s="477" t="n"/>
      <c r="K735" s="477" t="n"/>
      <c r="L735" s="477" t="n"/>
      <c r="M735" s="477" t="n"/>
      <c r="N735" s="477" t="n"/>
      <c r="O735" s="477" t="n"/>
      <c r="P735" s="477" t="n"/>
      <c r="Q735" s="477" t="n"/>
      <c r="R735" s="477" t="n"/>
      <c r="S735" s="477" t="n"/>
      <c r="T735" s="477" t="n"/>
      <c r="U735" s="477" t="n"/>
      <c r="V735" s="477" t="n"/>
      <c r="W735" s="477" t="n"/>
      <c r="X735" s="477" t="n"/>
      <c r="Y735" s="477" t="n"/>
      <c r="Z735" s="477" t="n"/>
    </row>
    <row r="736" ht="15.75" customHeight="1">
      <c r="A736" s="477" t="n"/>
      <c r="B736" s="477" t="n"/>
      <c r="C736" s="477" t="n"/>
      <c r="D736" s="477" t="n"/>
      <c r="E736" s="477" t="n"/>
      <c r="F736" s="477" t="n"/>
      <c r="G736" s="477" t="n"/>
      <c r="H736" s="505" t="n"/>
      <c r="I736" s="477" t="n"/>
      <c r="J736" s="477" t="n"/>
      <c r="K736" s="477" t="n"/>
      <c r="L736" s="477" t="n"/>
      <c r="M736" s="477" t="n"/>
      <c r="N736" s="477" t="n"/>
      <c r="O736" s="477" t="n"/>
      <c r="P736" s="477" t="n"/>
      <c r="Q736" s="477" t="n"/>
      <c r="R736" s="477" t="n"/>
      <c r="S736" s="477" t="n"/>
      <c r="T736" s="477" t="n"/>
      <c r="U736" s="477" t="n"/>
      <c r="V736" s="477" t="n"/>
      <c r="W736" s="477" t="n"/>
      <c r="X736" s="477" t="n"/>
      <c r="Y736" s="477" t="n"/>
      <c r="Z736" s="477" t="n"/>
    </row>
    <row r="737" ht="15.75" customHeight="1">
      <c r="A737" s="477" t="n"/>
      <c r="B737" s="477" t="n"/>
      <c r="C737" s="477" t="n"/>
      <c r="D737" s="477" t="n"/>
      <c r="E737" s="477" t="n"/>
      <c r="F737" s="477" t="n"/>
      <c r="G737" s="477" t="n"/>
      <c r="H737" s="505" t="n"/>
      <c r="I737" s="477" t="n"/>
      <c r="J737" s="477" t="n"/>
      <c r="K737" s="477" t="n"/>
      <c r="L737" s="477" t="n"/>
      <c r="M737" s="477" t="n"/>
      <c r="N737" s="477" t="n"/>
      <c r="O737" s="477" t="n"/>
      <c r="P737" s="477" t="n"/>
      <c r="Q737" s="477" t="n"/>
      <c r="R737" s="477" t="n"/>
      <c r="S737" s="477" t="n"/>
      <c r="T737" s="477" t="n"/>
      <c r="U737" s="477" t="n"/>
      <c r="V737" s="477" t="n"/>
      <c r="W737" s="477" t="n"/>
      <c r="X737" s="477" t="n"/>
      <c r="Y737" s="477" t="n"/>
      <c r="Z737" s="477" t="n"/>
    </row>
    <row r="738" ht="15.75" customHeight="1">
      <c r="A738" s="477" t="n"/>
      <c r="B738" s="477" t="n"/>
      <c r="C738" s="477" t="n"/>
      <c r="D738" s="477" t="n"/>
      <c r="E738" s="477" t="n"/>
      <c r="F738" s="477" t="n"/>
      <c r="G738" s="477" t="n"/>
      <c r="H738" s="505" t="n"/>
      <c r="I738" s="477" t="n"/>
      <c r="J738" s="477" t="n"/>
      <c r="K738" s="477" t="n"/>
      <c r="L738" s="477" t="n"/>
      <c r="M738" s="477" t="n"/>
      <c r="N738" s="477" t="n"/>
      <c r="O738" s="477" t="n"/>
      <c r="P738" s="477" t="n"/>
      <c r="Q738" s="477" t="n"/>
      <c r="R738" s="477" t="n"/>
      <c r="S738" s="477" t="n"/>
      <c r="T738" s="477" t="n"/>
      <c r="U738" s="477" t="n"/>
      <c r="V738" s="477" t="n"/>
      <c r="W738" s="477" t="n"/>
      <c r="X738" s="477" t="n"/>
      <c r="Y738" s="477" t="n"/>
      <c r="Z738" s="477" t="n"/>
    </row>
    <row r="739" ht="15.75" customHeight="1">
      <c r="A739" s="477" t="n"/>
      <c r="B739" s="477" t="n"/>
      <c r="C739" s="477" t="n"/>
      <c r="D739" s="477" t="n"/>
      <c r="E739" s="477" t="n"/>
      <c r="F739" s="477" t="n"/>
      <c r="G739" s="477" t="n"/>
      <c r="H739" s="505" t="n"/>
      <c r="I739" s="477" t="n"/>
      <c r="J739" s="477" t="n"/>
      <c r="K739" s="477" t="n"/>
      <c r="L739" s="477" t="n"/>
      <c r="M739" s="477" t="n"/>
      <c r="N739" s="477" t="n"/>
      <c r="O739" s="477" t="n"/>
      <c r="P739" s="477" t="n"/>
      <c r="Q739" s="477" t="n"/>
      <c r="R739" s="477" t="n"/>
      <c r="S739" s="477" t="n"/>
      <c r="T739" s="477" t="n"/>
      <c r="U739" s="477" t="n"/>
      <c r="V739" s="477" t="n"/>
      <c r="W739" s="477" t="n"/>
      <c r="X739" s="477" t="n"/>
      <c r="Y739" s="477" t="n"/>
      <c r="Z739" s="477" t="n"/>
    </row>
    <row r="740" ht="15.75" customHeight="1">
      <c r="A740" s="477" t="n"/>
      <c r="B740" s="477" t="n"/>
      <c r="C740" s="477" t="n"/>
      <c r="D740" s="477" t="n"/>
      <c r="E740" s="477" t="n"/>
      <c r="F740" s="477" t="n"/>
      <c r="G740" s="477" t="n"/>
      <c r="H740" s="505" t="n"/>
      <c r="I740" s="477" t="n"/>
      <c r="J740" s="477" t="n"/>
      <c r="K740" s="477" t="n"/>
      <c r="L740" s="477" t="n"/>
      <c r="M740" s="477" t="n"/>
      <c r="N740" s="477" t="n"/>
      <c r="O740" s="477" t="n"/>
      <c r="P740" s="477" t="n"/>
      <c r="Q740" s="477" t="n"/>
      <c r="R740" s="477" t="n"/>
      <c r="S740" s="477" t="n"/>
      <c r="T740" s="477" t="n"/>
      <c r="U740" s="477" t="n"/>
      <c r="V740" s="477" t="n"/>
      <c r="W740" s="477" t="n"/>
      <c r="X740" s="477" t="n"/>
      <c r="Y740" s="477" t="n"/>
      <c r="Z740" s="477" t="n"/>
    </row>
    <row r="741" ht="15.75" customHeight="1">
      <c r="A741" s="477" t="n"/>
      <c r="B741" s="477" t="n"/>
      <c r="C741" s="477" t="n"/>
      <c r="D741" s="477" t="n"/>
      <c r="E741" s="477" t="n"/>
      <c r="F741" s="477" t="n"/>
      <c r="G741" s="477" t="n"/>
      <c r="H741" s="505" t="n"/>
      <c r="I741" s="477" t="n"/>
      <c r="J741" s="477" t="n"/>
      <c r="K741" s="477" t="n"/>
      <c r="L741" s="477" t="n"/>
      <c r="M741" s="477" t="n"/>
      <c r="N741" s="477" t="n"/>
      <c r="O741" s="477" t="n"/>
      <c r="P741" s="477" t="n"/>
      <c r="Q741" s="477" t="n"/>
      <c r="R741" s="477" t="n"/>
      <c r="S741" s="477" t="n"/>
      <c r="T741" s="477" t="n"/>
      <c r="U741" s="477" t="n"/>
      <c r="V741" s="477" t="n"/>
      <c r="W741" s="477" t="n"/>
      <c r="X741" s="477" t="n"/>
      <c r="Y741" s="477" t="n"/>
      <c r="Z741" s="477" t="n"/>
    </row>
    <row r="742" ht="15.75" customHeight="1">
      <c r="A742" s="477" t="n"/>
      <c r="B742" s="477" t="n"/>
      <c r="C742" s="477" t="n"/>
      <c r="D742" s="477" t="n"/>
      <c r="E742" s="477" t="n"/>
      <c r="F742" s="477" t="n"/>
      <c r="G742" s="477" t="n"/>
      <c r="H742" s="505" t="n"/>
      <c r="I742" s="477" t="n"/>
      <c r="J742" s="477" t="n"/>
      <c r="K742" s="477" t="n"/>
      <c r="L742" s="477" t="n"/>
      <c r="M742" s="477" t="n"/>
      <c r="N742" s="477" t="n"/>
      <c r="O742" s="477" t="n"/>
      <c r="P742" s="477" t="n"/>
      <c r="Q742" s="477" t="n"/>
      <c r="R742" s="477" t="n"/>
      <c r="S742" s="477" t="n"/>
      <c r="T742" s="477" t="n"/>
      <c r="U742" s="477" t="n"/>
      <c r="V742" s="477" t="n"/>
      <c r="W742" s="477" t="n"/>
      <c r="X742" s="477" t="n"/>
      <c r="Y742" s="477" t="n"/>
      <c r="Z742" s="477" t="n"/>
    </row>
    <row r="743" ht="15.75" customHeight="1">
      <c r="A743" s="477" t="n"/>
      <c r="B743" s="477" t="n"/>
      <c r="C743" s="477" t="n"/>
      <c r="D743" s="477" t="n"/>
      <c r="E743" s="477" t="n"/>
      <c r="F743" s="477" t="n"/>
      <c r="G743" s="477" t="n"/>
      <c r="H743" s="505" t="n"/>
      <c r="I743" s="477" t="n"/>
      <c r="J743" s="477" t="n"/>
      <c r="K743" s="477" t="n"/>
      <c r="L743" s="477" t="n"/>
      <c r="M743" s="477" t="n"/>
      <c r="N743" s="477" t="n"/>
      <c r="O743" s="477" t="n"/>
      <c r="P743" s="477" t="n"/>
      <c r="Q743" s="477" t="n"/>
      <c r="R743" s="477" t="n"/>
      <c r="S743" s="477" t="n"/>
      <c r="T743" s="477" t="n"/>
      <c r="U743" s="477" t="n"/>
      <c r="V743" s="477" t="n"/>
      <c r="W743" s="477" t="n"/>
      <c r="X743" s="477" t="n"/>
      <c r="Y743" s="477" t="n"/>
      <c r="Z743" s="477" t="n"/>
    </row>
    <row r="744" ht="15.75" customHeight="1">
      <c r="A744" s="477" t="n"/>
      <c r="B744" s="477" t="n"/>
      <c r="C744" s="477" t="n"/>
      <c r="D744" s="477" t="n"/>
      <c r="E744" s="477" t="n"/>
      <c r="F744" s="477" t="n"/>
      <c r="G744" s="477" t="n"/>
      <c r="H744" s="505" t="n"/>
      <c r="I744" s="477" t="n"/>
      <c r="J744" s="477" t="n"/>
      <c r="K744" s="477" t="n"/>
      <c r="L744" s="477" t="n"/>
      <c r="M744" s="477" t="n"/>
      <c r="N744" s="477" t="n"/>
      <c r="O744" s="477" t="n"/>
      <c r="P744" s="477" t="n"/>
      <c r="Q744" s="477" t="n"/>
      <c r="R744" s="477" t="n"/>
      <c r="S744" s="477" t="n"/>
      <c r="T744" s="477" t="n"/>
      <c r="U744" s="477" t="n"/>
      <c r="V744" s="477" t="n"/>
      <c r="W744" s="477" t="n"/>
      <c r="X744" s="477" t="n"/>
      <c r="Y744" s="477" t="n"/>
      <c r="Z744" s="477" t="n"/>
    </row>
    <row r="745" ht="15.75" customHeight="1">
      <c r="A745" s="477" t="n"/>
      <c r="B745" s="477" t="n"/>
      <c r="C745" s="477" t="n"/>
      <c r="D745" s="477" t="n"/>
      <c r="E745" s="477" t="n"/>
      <c r="F745" s="477" t="n"/>
      <c r="G745" s="477" t="n"/>
      <c r="H745" s="505" t="n"/>
      <c r="I745" s="477" t="n"/>
      <c r="J745" s="477" t="n"/>
      <c r="K745" s="477" t="n"/>
      <c r="L745" s="477" t="n"/>
      <c r="M745" s="477" t="n"/>
      <c r="N745" s="477" t="n"/>
      <c r="O745" s="477" t="n"/>
      <c r="P745" s="477" t="n"/>
      <c r="Q745" s="477" t="n"/>
      <c r="R745" s="477" t="n"/>
      <c r="S745" s="477" t="n"/>
      <c r="T745" s="477" t="n"/>
      <c r="U745" s="477" t="n"/>
      <c r="V745" s="477" t="n"/>
      <c r="W745" s="477" t="n"/>
      <c r="X745" s="477" t="n"/>
      <c r="Y745" s="477" t="n"/>
      <c r="Z745" s="477" t="n"/>
    </row>
    <row r="746" ht="15.75" customHeight="1">
      <c r="A746" s="477" t="n"/>
      <c r="B746" s="477" t="n"/>
      <c r="C746" s="477" t="n"/>
      <c r="D746" s="477" t="n"/>
      <c r="E746" s="477" t="n"/>
      <c r="F746" s="477" t="n"/>
      <c r="G746" s="477" t="n"/>
      <c r="H746" s="505" t="n"/>
      <c r="I746" s="477" t="n"/>
      <c r="J746" s="477" t="n"/>
      <c r="K746" s="477" t="n"/>
      <c r="L746" s="477" t="n"/>
      <c r="M746" s="477" t="n"/>
      <c r="N746" s="477" t="n"/>
      <c r="O746" s="477" t="n"/>
      <c r="P746" s="477" t="n"/>
      <c r="Q746" s="477" t="n"/>
      <c r="R746" s="477" t="n"/>
      <c r="S746" s="477" t="n"/>
      <c r="T746" s="477" t="n"/>
      <c r="U746" s="477" t="n"/>
      <c r="V746" s="477" t="n"/>
      <c r="W746" s="477" t="n"/>
      <c r="X746" s="477" t="n"/>
      <c r="Y746" s="477" t="n"/>
      <c r="Z746" s="477" t="n"/>
    </row>
    <row r="747" ht="15.75" customHeight="1">
      <c r="A747" s="477" t="n"/>
      <c r="B747" s="477" t="n"/>
      <c r="C747" s="477" t="n"/>
      <c r="D747" s="477" t="n"/>
      <c r="E747" s="477" t="n"/>
      <c r="F747" s="477" t="n"/>
      <c r="G747" s="477" t="n"/>
      <c r="H747" s="505" t="n"/>
      <c r="I747" s="477" t="n"/>
      <c r="J747" s="477" t="n"/>
      <c r="K747" s="477" t="n"/>
      <c r="L747" s="477" t="n"/>
      <c r="M747" s="477" t="n"/>
      <c r="N747" s="477" t="n"/>
      <c r="O747" s="477" t="n"/>
      <c r="P747" s="477" t="n"/>
      <c r="Q747" s="477" t="n"/>
      <c r="R747" s="477" t="n"/>
      <c r="S747" s="477" t="n"/>
      <c r="T747" s="477" t="n"/>
      <c r="U747" s="477" t="n"/>
      <c r="V747" s="477" t="n"/>
      <c r="W747" s="477" t="n"/>
      <c r="X747" s="477" t="n"/>
      <c r="Y747" s="477" t="n"/>
      <c r="Z747" s="477" t="n"/>
    </row>
    <row r="748" ht="15.75" customHeight="1">
      <c r="A748" s="477" t="n"/>
      <c r="B748" s="477" t="n"/>
      <c r="C748" s="477" t="n"/>
      <c r="D748" s="477" t="n"/>
      <c r="E748" s="477" t="n"/>
      <c r="F748" s="477" t="n"/>
      <c r="G748" s="477" t="n"/>
      <c r="H748" s="505" t="n"/>
      <c r="I748" s="477" t="n"/>
      <c r="J748" s="477" t="n"/>
      <c r="K748" s="477" t="n"/>
      <c r="L748" s="477" t="n"/>
      <c r="M748" s="477" t="n"/>
      <c r="N748" s="477" t="n"/>
      <c r="O748" s="477" t="n"/>
      <c r="P748" s="477" t="n"/>
      <c r="Q748" s="477" t="n"/>
      <c r="R748" s="477" t="n"/>
      <c r="S748" s="477" t="n"/>
      <c r="T748" s="477" t="n"/>
      <c r="U748" s="477" t="n"/>
      <c r="V748" s="477" t="n"/>
      <c r="W748" s="477" t="n"/>
      <c r="X748" s="477" t="n"/>
      <c r="Y748" s="477" t="n"/>
      <c r="Z748" s="477" t="n"/>
    </row>
    <row r="749" ht="15.75" customHeight="1">
      <c r="A749" s="477" t="n"/>
      <c r="B749" s="477" t="n"/>
      <c r="C749" s="477" t="n"/>
      <c r="D749" s="477" t="n"/>
      <c r="E749" s="477" t="n"/>
      <c r="F749" s="477" t="n"/>
      <c r="G749" s="477" t="n"/>
      <c r="H749" s="505" t="n"/>
      <c r="I749" s="477" t="n"/>
      <c r="J749" s="477" t="n"/>
      <c r="K749" s="477" t="n"/>
      <c r="L749" s="477" t="n"/>
      <c r="M749" s="477" t="n"/>
      <c r="N749" s="477" t="n"/>
      <c r="O749" s="477" t="n"/>
      <c r="P749" s="477" t="n"/>
      <c r="Q749" s="477" t="n"/>
      <c r="R749" s="477" t="n"/>
      <c r="S749" s="477" t="n"/>
      <c r="T749" s="477" t="n"/>
      <c r="U749" s="477" t="n"/>
      <c r="V749" s="477" t="n"/>
      <c r="W749" s="477" t="n"/>
      <c r="X749" s="477" t="n"/>
      <c r="Y749" s="477" t="n"/>
      <c r="Z749" s="477" t="n"/>
    </row>
    <row r="750" ht="15.75" customHeight="1">
      <c r="A750" s="477" t="n"/>
      <c r="B750" s="477" t="n"/>
      <c r="C750" s="477" t="n"/>
      <c r="D750" s="477" t="n"/>
      <c r="E750" s="477" t="n"/>
      <c r="F750" s="477" t="n"/>
      <c r="G750" s="477" t="n"/>
      <c r="H750" s="505" t="n"/>
      <c r="I750" s="477" t="n"/>
      <c r="J750" s="477" t="n"/>
      <c r="K750" s="477" t="n"/>
      <c r="L750" s="477" t="n"/>
      <c r="M750" s="477" t="n"/>
      <c r="N750" s="477" t="n"/>
      <c r="O750" s="477" t="n"/>
      <c r="P750" s="477" t="n"/>
      <c r="Q750" s="477" t="n"/>
      <c r="R750" s="477" t="n"/>
      <c r="S750" s="477" t="n"/>
      <c r="T750" s="477" t="n"/>
      <c r="U750" s="477" t="n"/>
      <c r="V750" s="477" t="n"/>
      <c r="W750" s="477" t="n"/>
      <c r="X750" s="477" t="n"/>
      <c r="Y750" s="477" t="n"/>
      <c r="Z750" s="477" t="n"/>
    </row>
    <row r="751" ht="15.75" customHeight="1">
      <c r="A751" s="477" t="n"/>
      <c r="B751" s="477" t="n"/>
      <c r="C751" s="477" t="n"/>
      <c r="D751" s="477" t="n"/>
      <c r="E751" s="477" t="n"/>
      <c r="F751" s="477" t="n"/>
      <c r="G751" s="477" t="n"/>
      <c r="H751" s="505" t="n"/>
      <c r="I751" s="477" t="n"/>
      <c r="J751" s="477" t="n"/>
      <c r="K751" s="477" t="n"/>
      <c r="L751" s="477" t="n"/>
      <c r="M751" s="477" t="n"/>
      <c r="N751" s="477" t="n"/>
      <c r="O751" s="477" t="n"/>
      <c r="P751" s="477" t="n"/>
      <c r="Q751" s="477" t="n"/>
      <c r="R751" s="477" t="n"/>
      <c r="S751" s="477" t="n"/>
      <c r="T751" s="477" t="n"/>
      <c r="U751" s="477" t="n"/>
      <c r="V751" s="477" t="n"/>
      <c r="W751" s="477" t="n"/>
      <c r="X751" s="477" t="n"/>
      <c r="Y751" s="477" t="n"/>
      <c r="Z751" s="477" t="n"/>
    </row>
    <row r="752" ht="15.75" customHeight="1">
      <c r="A752" s="477" t="n"/>
      <c r="B752" s="477" t="n"/>
      <c r="C752" s="477" t="n"/>
      <c r="D752" s="477" t="n"/>
      <c r="E752" s="477" t="n"/>
      <c r="F752" s="477" t="n"/>
      <c r="G752" s="477" t="n"/>
      <c r="H752" s="505" t="n"/>
      <c r="I752" s="477" t="n"/>
      <c r="J752" s="477" t="n"/>
      <c r="K752" s="477" t="n"/>
      <c r="L752" s="477" t="n"/>
      <c r="M752" s="477" t="n"/>
      <c r="N752" s="477" t="n"/>
      <c r="O752" s="477" t="n"/>
      <c r="P752" s="477" t="n"/>
      <c r="Q752" s="477" t="n"/>
      <c r="R752" s="477" t="n"/>
      <c r="S752" s="477" t="n"/>
      <c r="T752" s="477" t="n"/>
      <c r="U752" s="477" t="n"/>
      <c r="V752" s="477" t="n"/>
      <c r="W752" s="477" t="n"/>
      <c r="X752" s="477" t="n"/>
      <c r="Y752" s="477" t="n"/>
      <c r="Z752" s="477" t="n"/>
    </row>
    <row r="753" ht="15.75" customHeight="1">
      <c r="A753" s="477" t="n"/>
      <c r="B753" s="477" t="n"/>
      <c r="C753" s="477" t="n"/>
      <c r="D753" s="477" t="n"/>
      <c r="E753" s="477" t="n"/>
      <c r="F753" s="477" t="n"/>
      <c r="G753" s="477" t="n"/>
      <c r="H753" s="505" t="n"/>
      <c r="I753" s="477" t="n"/>
      <c r="J753" s="477" t="n"/>
      <c r="K753" s="477" t="n"/>
      <c r="L753" s="477" t="n"/>
      <c r="M753" s="477" t="n"/>
      <c r="N753" s="477" t="n"/>
      <c r="O753" s="477" t="n"/>
      <c r="P753" s="477" t="n"/>
      <c r="Q753" s="477" t="n"/>
      <c r="R753" s="477" t="n"/>
      <c r="S753" s="477" t="n"/>
      <c r="T753" s="477" t="n"/>
      <c r="U753" s="477" t="n"/>
      <c r="V753" s="477" t="n"/>
      <c r="W753" s="477" t="n"/>
      <c r="X753" s="477" t="n"/>
      <c r="Y753" s="477" t="n"/>
      <c r="Z753" s="477" t="n"/>
    </row>
    <row r="754" ht="15.75" customHeight="1">
      <c r="A754" s="477" t="n"/>
      <c r="B754" s="477" t="n"/>
      <c r="C754" s="477" t="n"/>
      <c r="D754" s="477" t="n"/>
      <c r="E754" s="477" t="n"/>
      <c r="F754" s="477" t="n"/>
      <c r="G754" s="477" t="n"/>
      <c r="H754" s="505" t="n"/>
      <c r="I754" s="477" t="n"/>
      <c r="J754" s="477" t="n"/>
      <c r="K754" s="477" t="n"/>
      <c r="L754" s="477" t="n"/>
      <c r="M754" s="477" t="n"/>
      <c r="N754" s="477" t="n"/>
      <c r="O754" s="477" t="n"/>
      <c r="P754" s="477" t="n"/>
      <c r="Q754" s="477" t="n"/>
      <c r="R754" s="477" t="n"/>
      <c r="S754" s="477" t="n"/>
      <c r="T754" s="477" t="n"/>
      <c r="U754" s="477" t="n"/>
      <c r="V754" s="477" t="n"/>
      <c r="W754" s="477" t="n"/>
      <c r="X754" s="477" t="n"/>
      <c r="Y754" s="477" t="n"/>
      <c r="Z754" s="477" t="n"/>
    </row>
    <row r="755" ht="15.75" customHeight="1">
      <c r="A755" s="477" t="n"/>
      <c r="B755" s="477" t="n"/>
      <c r="C755" s="477" t="n"/>
      <c r="D755" s="477" t="n"/>
      <c r="E755" s="477" t="n"/>
      <c r="F755" s="477" t="n"/>
      <c r="G755" s="477" t="n"/>
      <c r="H755" s="505" t="n"/>
      <c r="I755" s="477" t="n"/>
      <c r="J755" s="477" t="n"/>
      <c r="K755" s="477" t="n"/>
      <c r="L755" s="477" t="n"/>
      <c r="M755" s="477" t="n"/>
      <c r="N755" s="477" t="n"/>
      <c r="O755" s="477" t="n"/>
      <c r="P755" s="477" t="n"/>
      <c r="Q755" s="477" t="n"/>
      <c r="R755" s="477" t="n"/>
      <c r="S755" s="477" t="n"/>
      <c r="T755" s="477" t="n"/>
      <c r="U755" s="477" t="n"/>
      <c r="V755" s="477" t="n"/>
      <c r="W755" s="477" t="n"/>
      <c r="X755" s="477" t="n"/>
      <c r="Y755" s="477" t="n"/>
      <c r="Z755" s="477" t="n"/>
    </row>
    <row r="756" ht="15.75" customHeight="1">
      <c r="A756" s="477" t="n"/>
      <c r="B756" s="477" t="n"/>
      <c r="C756" s="477" t="n"/>
      <c r="D756" s="477" t="n"/>
      <c r="E756" s="477" t="n"/>
      <c r="F756" s="477" t="n"/>
      <c r="G756" s="477" t="n"/>
      <c r="H756" s="505" t="n"/>
      <c r="I756" s="477" t="n"/>
      <c r="J756" s="477" t="n"/>
      <c r="K756" s="477" t="n"/>
      <c r="L756" s="477" t="n"/>
      <c r="M756" s="477" t="n"/>
      <c r="N756" s="477" t="n"/>
      <c r="O756" s="477" t="n"/>
      <c r="P756" s="477" t="n"/>
      <c r="Q756" s="477" t="n"/>
      <c r="R756" s="477" t="n"/>
      <c r="S756" s="477" t="n"/>
      <c r="T756" s="477" t="n"/>
      <c r="U756" s="477" t="n"/>
      <c r="V756" s="477" t="n"/>
      <c r="W756" s="477" t="n"/>
      <c r="X756" s="477" t="n"/>
      <c r="Y756" s="477" t="n"/>
      <c r="Z756" s="477" t="n"/>
    </row>
    <row r="757" ht="15.75" customHeight="1">
      <c r="A757" s="477" t="n"/>
      <c r="B757" s="477" t="n"/>
      <c r="C757" s="477" t="n"/>
      <c r="D757" s="477" t="n"/>
      <c r="E757" s="477" t="n"/>
      <c r="F757" s="477" t="n"/>
      <c r="G757" s="477" t="n"/>
      <c r="H757" s="505" t="n"/>
      <c r="I757" s="477" t="n"/>
      <c r="J757" s="477" t="n"/>
      <c r="K757" s="477" t="n"/>
      <c r="L757" s="477" t="n"/>
      <c r="M757" s="477" t="n"/>
      <c r="N757" s="477" t="n"/>
      <c r="O757" s="477" t="n"/>
      <c r="P757" s="477" t="n"/>
      <c r="Q757" s="477" t="n"/>
      <c r="R757" s="477" t="n"/>
      <c r="S757" s="477" t="n"/>
      <c r="T757" s="477" t="n"/>
      <c r="U757" s="477" t="n"/>
      <c r="V757" s="477" t="n"/>
      <c r="W757" s="477" t="n"/>
      <c r="X757" s="477" t="n"/>
      <c r="Y757" s="477" t="n"/>
      <c r="Z757" s="477" t="n"/>
    </row>
    <row r="758" ht="15.75" customHeight="1">
      <c r="A758" s="477" t="n"/>
      <c r="B758" s="477" t="n"/>
      <c r="C758" s="477" t="n"/>
      <c r="D758" s="477" t="n"/>
      <c r="E758" s="477" t="n"/>
      <c r="F758" s="477" t="n"/>
      <c r="G758" s="477" t="n"/>
      <c r="H758" s="505" t="n"/>
      <c r="I758" s="477" t="n"/>
      <c r="J758" s="477" t="n"/>
      <c r="K758" s="477" t="n"/>
      <c r="L758" s="477" t="n"/>
      <c r="M758" s="477" t="n"/>
      <c r="N758" s="477" t="n"/>
      <c r="O758" s="477" t="n"/>
      <c r="P758" s="477" t="n"/>
      <c r="Q758" s="477" t="n"/>
      <c r="R758" s="477" t="n"/>
      <c r="S758" s="477" t="n"/>
      <c r="T758" s="477" t="n"/>
      <c r="U758" s="477" t="n"/>
      <c r="V758" s="477" t="n"/>
      <c r="W758" s="477" t="n"/>
      <c r="X758" s="477" t="n"/>
      <c r="Y758" s="477" t="n"/>
      <c r="Z758" s="477" t="n"/>
    </row>
    <row r="759" ht="15.75" customHeight="1">
      <c r="A759" s="477" t="n"/>
      <c r="B759" s="477" t="n"/>
      <c r="C759" s="477" t="n"/>
      <c r="D759" s="477" t="n"/>
      <c r="E759" s="477" t="n"/>
      <c r="F759" s="477" t="n"/>
      <c r="G759" s="477" t="n"/>
      <c r="H759" s="505" t="n"/>
      <c r="I759" s="477" t="n"/>
      <c r="J759" s="477" t="n"/>
      <c r="K759" s="477" t="n"/>
      <c r="L759" s="477" t="n"/>
      <c r="M759" s="477" t="n"/>
      <c r="N759" s="477" t="n"/>
      <c r="O759" s="477" t="n"/>
      <c r="P759" s="477" t="n"/>
      <c r="Q759" s="477" t="n"/>
      <c r="R759" s="477" t="n"/>
      <c r="S759" s="477" t="n"/>
      <c r="T759" s="477" t="n"/>
      <c r="U759" s="477" t="n"/>
      <c r="V759" s="477" t="n"/>
      <c r="W759" s="477" t="n"/>
      <c r="X759" s="477" t="n"/>
      <c r="Y759" s="477" t="n"/>
      <c r="Z759" s="477" t="n"/>
    </row>
    <row r="760" ht="15.75" customHeight="1">
      <c r="A760" s="477" t="n"/>
      <c r="B760" s="477" t="n"/>
      <c r="C760" s="477" t="n"/>
      <c r="D760" s="477" t="n"/>
      <c r="E760" s="477" t="n"/>
      <c r="F760" s="477" t="n"/>
      <c r="G760" s="477" t="n"/>
      <c r="H760" s="505" t="n"/>
      <c r="I760" s="477" t="n"/>
      <c r="J760" s="477" t="n"/>
      <c r="K760" s="477" t="n"/>
      <c r="L760" s="477" t="n"/>
      <c r="M760" s="477" t="n"/>
      <c r="N760" s="477" t="n"/>
      <c r="O760" s="477" t="n"/>
      <c r="P760" s="477" t="n"/>
      <c r="Q760" s="477" t="n"/>
      <c r="R760" s="477" t="n"/>
      <c r="S760" s="477" t="n"/>
      <c r="T760" s="477" t="n"/>
      <c r="U760" s="477" t="n"/>
      <c r="V760" s="477" t="n"/>
      <c r="W760" s="477" t="n"/>
      <c r="X760" s="477" t="n"/>
      <c r="Y760" s="477" t="n"/>
      <c r="Z760" s="477" t="n"/>
    </row>
    <row r="761" ht="15.75" customHeight="1">
      <c r="A761" s="477" t="n"/>
      <c r="B761" s="477" t="n"/>
      <c r="C761" s="477" t="n"/>
      <c r="D761" s="477" t="n"/>
      <c r="E761" s="477" t="n"/>
      <c r="F761" s="477" t="n"/>
      <c r="G761" s="477" t="n"/>
      <c r="H761" s="505" t="n"/>
      <c r="I761" s="477" t="n"/>
      <c r="J761" s="477" t="n"/>
      <c r="K761" s="477" t="n"/>
      <c r="L761" s="477" t="n"/>
      <c r="M761" s="477" t="n"/>
      <c r="N761" s="477" t="n"/>
      <c r="O761" s="477" t="n"/>
      <c r="P761" s="477" t="n"/>
      <c r="Q761" s="477" t="n"/>
      <c r="R761" s="477" t="n"/>
      <c r="S761" s="477" t="n"/>
      <c r="T761" s="477" t="n"/>
      <c r="U761" s="477" t="n"/>
      <c r="V761" s="477" t="n"/>
      <c r="W761" s="477" t="n"/>
      <c r="X761" s="477" t="n"/>
      <c r="Y761" s="477" t="n"/>
      <c r="Z761" s="477" t="n"/>
    </row>
    <row r="762" ht="15.75" customHeight="1">
      <c r="A762" s="477" t="n"/>
      <c r="B762" s="477" t="n"/>
      <c r="C762" s="477" t="n"/>
      <c r="D762" s="477" t="n"/>
      <c r="E762" s="477" t="n"/>
      <c r="F762" s="477" t="n"/>
      <c r="G762" s="477" t="n"/>
      <c r="H762" s="505" t="n"/>
      <c r="I762" s="477" t="n"/>
      <c r="J762" s="477" t="n"/>
      <c r="K762" s="477" t="n"/>
      <c r="L762" s="477" t="n"/>
      <c r="M762" s="477" t="n"/>
      <c r="N762" s="477" t="n"/>
      <c r="O762" s="477" t="n"/>
      <c r="P762" s="477" t="n"/>
      <c r="Q762" s="477" t="n"/>
      <c r="R762" s="477" t="n"/>
      <c r="S762" s="477" t="n"/>
      <c r="T762" s="477" t="n"/>
      <c r="U762" s="477" t="n"/>
      <c r="V762" s="477" t="n"/>
      <c r="W762" s="477" t="n"/>
      <c r="X762" s="477" t="n"/>
      <c r="Y762" s="477" t="n"/>
      <c r="Z762" s="477" t="n"/>
    </row>
    <row r="763" ht="15.75" customHeight="1">
      <c r="A763" s="477" t="n"/>
      <c r="B763" s="477" t="n"/>
      <c r="C763" s="477" t="n"/>
      <c r="D763" s="477" t="n"/>
      <c r="E763" s="477" t="n"/>
      <c r="F763" s="477" t="n"/>
      <c r="G763" s="477" t="n"/>
      <c r="H763" s="505" t="n"/>
      <c r="I763" s="477" t="n"/>
      <c r="J763" s="477" t="n"/>
      <c r="K763" s="477" t="n"/>
      <c r="L763" s="477" t="n"/>
      <c r="M763" s="477" t="n"/>
      <c r="N763" s="477" t="n"/>
      <c r="O763" s="477" t="n"/>
      <c r="P763" s="477" t="n"/>
      <c r="Q763" s="477" t="n"/>
      <c r="R763" s="477" t="n"/>
      <c r="S763" s="477" t="n"/>
      <c r="T763" s="477" t="n"/>
      <c r="U763" s="477" t="n"/>
      <c r="V763" s="477" t="n"/>
      <c r="W763" s="477" t="n"/>
      <c r="X763" s="477" t="n"/>
      <c r="Y763" s="477" t="n"/>
      <c r="Z763" s="477" t="n"/>
    </row>
    <row r="764" ht="15.75" customHeight="1">
      <c r="A764" s="477" t="n"/>
      <c r="B764" s="477" t="n"/>
      <c r="C764" s="477" t="n"/>
      <c r="D764" s="477" t="n"/>
      <c r="E764" s="477" t="n"/>
      <c r="F764" s="477" t="n"/>
      <c r="G764" s="477" t="n"/>
      <c r="H764" s="505" t="n"/>
      <c r="I764" s="477" t="n"/>
      <c r="J764" s="477" t="n"/>
      <c r="K764" s="477" t="n"/>
      <c r="L764" s="477" t="n"/>
      <c r="M764" s="477" t="n"/>
      <c r="N764" s="477" t="n"/>
      <c r="O764" s="477" t="n"/>
      <c r="P764" s="477" t="n"/>
      <c r="Q764" s="477" t="n"/>
      <c r="R764" s="477" t="n"/>
      <c r="S764" s="477" t="n"/>
      <c r="T764" s="477" t="n"/>
      <c r="U764" s="477" t="n"/>
      <c r="V764" s="477" t="n"/>
      <c r="W764" s="477" t="n"/>
      <c r="X764" s="477" t="n"/>
      <c r="Y764" s="477" t="n"/>
      <c r="Z764" s="477" t="n"/>
    </row>
    <row r="765" ht="15.75" customHeight="1">
      <c r="A765" s="477" t="n"/>
      <c r="B765" s="477" t="n"/>
      <c r="C765" s="477" t="n"/>
      <c r="D765" s="477" t="n"/>
      <c r="E765" s="477" t="n"/>
      <c r="F765" s="477" t="n"/>
      <c r="G765" s="477" t="n"/>
      <c r="H765" s="505" t="n"/>
      <c r="I765" s="477" t="n"/>
      <c r="J765" s="477" t="n"/>
      <c r="K765" s="477" t="n"/>
      <c r="L765" s="477" t="n"/>
      <c r="M765" s="477" t="n"/>
      <c r="N765" s="477" t="n"/>
      <c r="O765" s="477" t="n"/>
      <c r="P765" s="477" t="n"/>
      <c r="Q765" s="477" t="n"/>
      <c r="R765" s="477" t="n"/>
      <c r="S765" s="477" t="n"/>
      <c r="T765" s="477" t="n"/>
      <c r="U765" s="477" t="n"/>
      <c r="V765" s="477" t="n"/>
      <c r="W765" s="477" t="n"/>
      <c r="X765" s="477" t="n"/>
      <c r="Y765" s="477" t="n"/>
      <c r="Z765" s="477" t="n"/>
    </row>
    <row r="766" ht="15.75" customHeight="1">
      <c r="A766" s="477" t="n"/>
      <c r="B766" s="477" t="n"/>
      <c r="C766" s="477" t="n"/>
      <c r="D766" s="477" t="n"/>
      <c r="E766" s="477" t="n"/>
      <c r="F766" s="477" t="n"/>
      <c r="G766" s="477" t="n"/>
      <c r="H766" s="505" t="n"/>
      <c r="I766" s="477" t="n"/>
      <c r="J766" s="477" t="n"/>
      <c r="K766" s="477" t="n"/>
      <c r="L766" s="477" t="n"/>
      <c r="M766" s="477" t="n"/>
      <c r="N766" s="477" t="n"/>
      <c r="O766" s="477" t="n"/>
      <c r="P766" s="477" t="n"/>
      <c r="Q766" s="477" t="n"/>
      <c r="R766" s="477" t="n"/>
      <c r="S766" s="477" t="n"/>
      <c r="T766" s="477" t="n"/>
      <c r="U766" s="477" t="n"/>
      <c r="V766" s="477" t="n"/>
      <c r="W766" s="477" t="n"/>
      <c r="X766" s="477" t="n"/>
      <c r="Y766" s="477" t="n"/>
      <c r="Z766" s="477" t="n"/>
    </row>
    <row r="767" ht="15.75" customHeight="1">
      <c r="A767" s="477" t="n"/>
      <c r="B767" s="477" t="n"/>
      <c r="C767" s="477" t="n"/>
      <c r="D767" s="477" t="n"/>
      <c r="E767" s="477" t="n"/>
      <c r="F767" s="477" t="n"/>
      <c r="G767" s="477" t="n"/>
      <c r="H767" s="505" t="n"/>
      <c r="I767" s="477" t="n"/>
      <c r="J767" s="477" t="n"/>
      <c r="K767" s="477" t="n"/>
      <c r="L767" s="477" t="n"/>
      <c r="M767" s="477" t="n"/>
      <c r="N767" s="477" t="n"/>
      <c r="O767" s="477" t="n"/>
      <c r="P767" s="477" t="n"/>
      <c r="Q767" s="477" t="n"/>
      <c r="R767" s="477" t="n"/>
      <c r="S767" s="477" t="n"/>
      <c r="T767" s="477" t="n"/>
      <c r="U767" s="477" t="n"/>
      <c r="V767" s="477" t="n"/>
      <c r="W767" s="477" t="n"/>
      <c r="X767" s="477" t="n"/>
      <c r="Y767" s="477" t="n"/>
      <c r="Z767" s="477" t="n"/>
    </row>
    <row r="768" ht="15.75" customHeight="1">
      <c r="A768" s="477" t="n"/>
      <c r="B768" s="477" t="n"/>
      <c r="C768" s="477" t="n"/>
      <c r="D768" s="477" t="n"/>
      <c r="E768" s="477" t="n"/>
      <c r="F768" s="477" t="n"/>
      <c r="G768" s="477" t="n"/>
      <c r="H768" s="505" t="n"/>
      <c r="I768" s="477" t="n"/>
      <c r="J768" s="477" t="n"/>
      <c r="K768" s="477" t="n"/>
      <c r="L768" s="477" t="n"/>
      <c r="M768" s="477" t="n"/>
      <c r="N768" s="477" t="n"/>
      <c r="O768" s="477" t="n"/>
      <c r="P768" s="477" t="n"/>
      <c r="Q768" s="477" t="n"/>
      <c r="R768" s="477" t="n"/>
      <c r="S768" s="477" t="n"/>
      <c r="T768" s="477" t="n"/>
      <c r="U768" s="477" t="n"/>
      <c r="V768" s="477" t="n"/>
      <c r="W768" s="477" t="n"/>
      <c r="X768" s="477" t="n"/>
      <c r="Y768" s="477" t="n"/>
      <c r="Z768" s="477" t="n"/>
    </row>
    <row r="769" ht="15.75" customHeight="1">
      <c r="A769" s="477" t="n"/>
      <c r="B769" s="477" t="n"/>
      <c r="C769" s="477" t="n"/>
      <c r="D769" s="477" t="n"/>
      <c r="E769" s="477" t="n"/>
      <c r="F769" s="477" t="n"/>
      <c r="G769" s="477" t="n"/>
      <c r="H769" s="505" t="n"/>
      <c r="I769" s="477" t="n"/>
      <c r="J769" s="477" t="n"/>
      <c r="K769" s="477" t="n"/>
      <c r="L769" s="477" t="n"/>
      <c r="M769" s="477" t="n"/>
      <c r="N769" s="477" t="n"/>
      <c r="O769" s="477" t="n"/>
      <c r="P769" s="477" t="n"/>
      <c r="Q769" s="477" t="n"/>
      <c r="R769" s="477" t="n"/>
      <c r="S769" s="477" t="n"/>
      <c r="T769" s="477" t="n"/>
      <c r="U769" s="477" t="n"/>
      <c r="V769" s="477" t="n"/>
      <c r="W769" s="477" t="n"/>
      <c r="X769" s="477" t="n"/>
      <c r="Y769" s="477" t="n"/>
      <c r="Z769" s="477" t="n"/>
    </row>
    <row r="770" ht="15.75" customHeight="1">
      <c r="A770" s="477" t="n"/>
      <c r="B770" s="477" t="n"/>
      <c r="C770" s="477" t="n"/>
      <c r="D770" s="477" t="n"/>
      <c r="E770" s="477" t="n"/>
      <c r="F770" s="477" t="n"/>
      <c r="G770" s="477" t="n"/>
      <c r="H770" s="505" t="n"/>
      <c r="I770" s="477" t="n"/>
      <c r="J770" s="477" t="n"/>
      <c r="K770" s="477" t="n"/>
      <c r="L770" s="477" t="n"/>
      <c r="M770" s="477" t="n"/>
      <c r="N770" s="477" t="n"/>
      <c r="O770" s="477" t="n"/>
      <c r="P770" s="477" t="n"/>
      <c r="Q770" s="477" t="n"/>
      <c r="R770" s="477" t="n"/>
      <c r="S770" s="477" t="n"/>
      <c r="T770" s="477" t="n"/>
      <c r="U770" s="477" t="n"/>
      <c r="V770" s="477" t="n"/>
      <c r="W770" s="477" t="n"/>
      <c r="X770" s="477" t="n"/>
      <c r="Y770" s="477" t="n"/>
      <c r="Z770" s="477" t="n"/>
    </row>
    <row r="771" ht="15.75" customHeight="1">
      <c r="A771" s="477" t="n"/>
      <c r="B771" s="477" t="n"/>
      <c r="C771" s="477" t="n"/>
      <c r="D771" s="477" t="n"/>
      <c r="E771" s="477" t="n"/>
      <c r="F771" s="477" t="n"/>
      <c r="G771" s="477" t="n"/>
      <c r="H771" s="505" t="n"/>
      <c r="I771" s="477" t="n"/>
      <c r="J771" s="477" t="n"/>
      <c r="K771" s="477" t="n"/>
      <c r="L771" s="477" t="n"/>
      <c r="M771" s="477" t="n"/>
      <c r="N771" s="477" t="n"/>
      <c r="O771" s="477" t="n"/>
      <c r="P771" s="477" t="n"/>
      <c r="Q771" s="477" t="n"/>
      <c r="R771" s="477" t="n"/>
      <c r="S771" s="477" t="n"/>
      <c r="T771" s="477" t="n"/>
      <c r="U771" s="477" t="n"/>
      <c r="V771" s="477" t="n"/>
      <c r="W771" s="477" t="n"/>
      <c r="X771" s="477" t="n"/>
      <c r="Y771" s="477" t="n"/>
      <c r="Z771" s="477" t="n"/>
    </row>
    <row r="772" ht="15.75" customHeight="1">
      <c r="A772" s="477" t="n"/>
      <c r="B772" s="477" t="n"/>
      <c r="C772" s="477" t="n"/>
      <c r="D772" s="477" t="n"/>
      <c r="E772" s="477" t="n"/>
      <c r="F772" s="477" t="n"/>
      <c r="G772" s="477" t="n"/>
      <c r="H772" s="505" t="n"/>
      <c r="I772" s="477" t="n"/>
      <c r="J772" s="477" t="n"/>
      <c r="K772" s="477" t="n"/>
      <c r="L772" s="477" t="n"/>
      <c r="M772" s="477" t="n"/>
      <c r="N772" s="477" t="n"/>
      <c r="O772" s="477" t="n"/>
      <c r="P772" s="477" t="n"/>
      <c r="Q772" s="477" t="n"/>
      <c r="R772" s="477" t="n"/>
      <c r="S772" s="477" t="n"/>
      <c r="T772" s="477" t="n"/>
      <c r="U772" s="477" t="n"/>
      <c r="V772" s="477" t="n"/>
      <c r="W772" s="477" t="n"/>
      <c r="X772" s="477" t="n"/>
      <c r="Y772" s="477" t="n"/>
      <c r="Z772" s="477" t="n"/>
    </row>
    <row r="773" ht="15.75" customHeight="1">
      <c r="A773" s="477" t="n"/>
      <c r="B773" s="477" t="n"/>
      <c r="C773" s="477" t="n"/>
      <c r="D773" s="477" t="n"/>
      <c r="E773" s="477" t="n"/>
      <c r="F773" s="477" t="n"/>
      <c r="G773" s="477" t="n"/>
      <c r="H773" s="505" t="n"/>
      <c r="I773" s="477" t="n"/>
      <c r="J773" s="477" t="n"/>
      <c r="K773" s="477" t="n"/>
      <c r="L773" s="477" t="n"/>
      <c r="M773" s="477" t="n"/>
      <c r="N773" s="477" t="n"/>
      <c r="O773" s="477" t="n"/>
      <c r="P773" s="477" t="n"/>
      <c r="Q773" s="477" t="n"/>
      <c r="R773" s="477" t="n"/>
      <c r="S773" s="477" t="n"/>
      <c r="T773" s="477" t="n"/>
      <c r="U773" s="477" t="n"/>
      <c r="V773" s="477" t="n"/>
      <c r="W773" s="477" t="n"/>
      <c r="X773" s="477" t="n"/>
      <c r="Y773" s="477" t="n"/>
      <c r="Z773" s="477" t="n"/>
    </row>
    <row r="774" ht="15.75" customHeight="1">
      <c r="A774" s="477" t="n"/>
      <c r="B774" s="477" t="n"/>
      <c r="C774" s="477" t="n"/>
      <c r="D774" s="477" t="n"/>
      <c r="E774" s="477" t="n"/>
      <c r="F774" s="477" t="n"/>
      <c r="G774" s="477" t="n"/>
      <c r="H774" s="505" t="n"/>
      <c r="I774" s="477" t="n"/>
      <c r="J774" s="477" t="n"/>
      <c r="K774" s="477" t="n"/>
      <c r="L774" s="477" t="n"/>
      <c r="M774" s="477" t="n"/>
      <c r="N774" s="477" t="n"/>
      <c r="O774" s="477" t="n"/>
      <c r="P774" s="477" t="n"/>
      <c r="Q774" s="477" t="n"/>
      <c r="R774" s="477" t="n"/>
      <c r="S774" s="477" t="n"/>
      <c r="T774" s="477" t="n"/>
      <c r="U774" s="477" t="n"/>
      <c r="V774" s="477" t="n"/>
      <c r="W774" s="477" t="n"/>
      <c r="X774" s="477" t="n"/>
      <c r="Y774" s="477" t="n"/>
      <c r="Z774" s="477" t="n"/>
    </row>
    <row r="775" ht="15.75" customHeight="1">
      <c r="A775" s="477" t="n"/>
      <c r="B775" s="477" t="n"/>
      <c r="C775" s="477" t="n"/>
      <c r="D775" s="477" t="n"/>
      <c r="E775" s="477" t="n"/>
      <c r="F775" s="477" t="n"/>
      <c r="G775" s="477" t="n"/>
      <c r="H775" s="505" t="n"/>
      <c r="I775" s="477" t="n"/>
      <c r="J775" s="477" t="n"/>
      <c r="K775" s="477" t="n"/>
      <c r="L775" s="477" t="n"/>
      <c r="M775" s="477" t="n"/>
      <c r="N775" s="477" t="n"/>
      <c r="O775" s="477" t="n"/>
      <c r="P775" s="477" t="n"/>
      <c r="Q775" s="477" t="n"/>
      <c r="R775" s="477" t="n"/>
      <c r="S775" s="477" t="n"/>
      <c r="T775" s="477" t="n"/>
      <c r="U775" s="477" t="n"/>
      <c r="V775" s="477" t="n"/>
      <c r="W775" s="477" t="n"/>
      <c r="X775" s="477" t="n"/>
      <c r="Y775" s="477" t="n"/>
      <c r="Z775" s="477" t="n"/>
    </row>
    <row r="776" ht="15.75" customHeight="1">
      <c r="A776" s="477" t="n"/>
      <c r="B776" s="477" t="n"/>
      <c r="C776" s="477" t="n"/>
      <c r="D776" s="477" t="n"/>
      <c r="E776" s="477" t="n"/>
      <c r="F776" s="477" t="n"/>
      <c r="G776" s="477" t="n"/>
      <c r="H776" s="505" t="n"/>
      <c r="I776" s="477" t="n"/>
      <c r="J776" s="477" t="n"/>
      <c r="K776" s="477" t="n"/>
      <c r="L776" s="477" t="n"/>
      <c r="M776" s="477" t="n"/>
      <c r="N776" s="477" t="n"/>
      <c r="O776" s="477" t="n"/>
      <c r="P776" s="477" t="n"/>
      <c r="Q776" s="477" t="n"/>
      <c r="R776" s="477" t="n"/>
      <c r="S776" s="477" t="n"/>
      <c r="T776" s="477" t="n"/>
      <c r="U776" s="477" t="n"/>
      <c r="V776" s="477" t="n"/>
      <c r="W776" s="477" t="n"/>
      <c r="X776" s="477" t="n"/>
      <c r="Y776" s="477" t="n"/>
      <c r="Z776" s="477" t="n"/>
    </row>
    <row r="777" ht="15.75" customHeight="1">
      <c r="A777" s="477" t="n"/>
      <c r="B777" s="477" t="n"/>
      <c r="C777" s="477" t="n"/>
      <c r="D777" s="477" t="n"/>
      <c r="E777" s="477" t="n"/>
      <c r="F777" s="477" t="n"/>
      <c r="G777" s="477" t="n"/>
      <c r="H777" s="505" t="n"/>
      <c r="I777" s="477" t="n"/>
      <c r="J777" s="477" t="n"/>
      <c r="K777" s="477" t="n"/>
      <c r="L777" s="477" t="n"/>
      <c r="M777" s="477" t="n"/>
      <c r="N777" s="477" t="n"/>
      <c r="O777" s="477" t="n"/>
      <c r="P777" s="477" t="n"/>
      <c r="Q777" s="477" t="n"/>
      <c r="R777" s="477" t="n"/>
      <c r="S777" s="477" t="n"/>
      <c r="T777" s="477" t="n"/>
      <c r="U777" s="477" t="n"/>
      <c r="V777" s="477" t="n"/>
      <c r="W777" s="477" t="n"/>
      <c r="X777" s="477" t="n"/>
      <c r="Y777" s="477" t="n"/>
      <c r="Z777" s="477" t="n"/>
    </row>
    <row r="778" ht="15.75" customHeight="1">
      <c r="A778" s="477" t="n"/>
      <c r="B778" s="477" t="n"/>
      <c r="C778" s="477" t="n"/>
      <c r="D778" s="477" t="n"/>
      <c r="E778" s="477" t="n"/>
      <c r="F778" s="477" t="n"/>
      <c r="G778" s="477" t="n"/>
      <c r="H778" s="505" t="n"/>
      <c r="I778" s="477" t="n"/>
      <c r="J778" s="477" t="n"/>
      <c r="K778" s="477" t="n"/>
      <c r="L778" s="477" t="n"/>
      <c r="M778" s="477" t="n"/>
      <c r="N778" s="477" t="n"/>
      <c r="O778" s="477" t="n"/>
      <c r="P778" s="477" t="n"/>
      <c r="Q778" s="477" t="n"/>
      <c r="R778" s="477" t="n"/>
      <c r="S778" s="477" t="n"/>
      <c r="T778" s="477" t="n"/>
      <c r="U778" s="477" t="n"/>
      <c r="V778" s="477" t="n"/>
      <c r="W778" s="477" t="n"/>
      <c r="X778" s="477" t="n"/>
      <c r="Y778" s="477" t="n"/>
      <c r="Z778" s="477" t="n"/>
    </row>
    <row r="779" ht="15.75" customHeight="1">
      <c r="A779" s="477" t="n"/>
      <c r="B779" s="477" t="n"/>
      <c r="C779" s="477" t="n"/>
      <c r="D779" s="477" t="n"/>
      <c r="E779" s="477" t="n"/>
      <c r="F779" s="477" t="n"/>
      <c r="G779" s="477" t="n"/>
      <c r="H779" s="505" t="n"/>
      <c r="I779" s="477" t="n"/>
      <c r="J779" s="477" t="n"/>
      <c r="K779" s="477" t="n"/>
      <c r="L779" s="477" t="n"/>
      <c r="M779" s="477" t="n"/>
      <c r="N779" s="477" t="n"/>
      <c r="O779" s="477" t="n"/>
      <c r="P779" s="477" t="n"/>
      <c r="Q779" s="477" t="n"/>
      <c r="R779" s="477" t="n"/>
      <c r="S779" s="477" t="n"/>
      <c r="T779" s="477" t="n"/>
      <c r="U779" s="477" t="n"/>
      <c r="V779" s="477" t="n"/>
      <c r="W779" s="477" t="n"/>
      <c r="X779" s="477" t="n"/>
      <c r="Y779" s="477" t="n"/>
      <c r="Z779" s="477" t="n"/>
    </row>
    <row r="780" ht="15.75" customHeight="1">
      <c r="A780" s="477" t="n"/>
      <c r="B780" s="477" t="n"/>
      <c r="C780" s="477" t="n"/>
      <c r="D780" s="477" t="n"/>
      <c r="E780" s="477" t="n"/>
      <c r="F780" s="477" t="n"/>
      <c r="G780" s="477" t="n"/>
      <c r="H780" s="505" t="n"/>
      <c r="I780" s="477" t="n"/>
      <c r="J780" s="477" t="n"/>
      <c r="K780" s="477" t="n"/>
      <c r="L780" s="477" t="n"/>
      <c r="M780" s="477" t="n"/>
      <c r="N780" s="477" t="n"/>
      <c r="O780" s="477" t="n"/>
      <c r="P780" s="477" t="n"/>
      <c r="Q780" s="477" t="n"/>
      <c r="R780" s="477" t="n"/>
      <c r="S780" s="477" t="n"/>
      <c r="T780" s="477" t="n"/>
      <c r="U780" s="477" t="n"/>
      <c r="V780" s="477" t="n"/>
      <c r="W780" s="477" t="n"/>
      <c r="X780" s="477" t="n"/>
      <c r="Y780" s="477" t="n"/>
      <c r="Z780" s="477" t="n"/>
    </row>
    <row r="781" ht="15.75" customHeight="1">
      <c r="A781" s="477" t="n"/>
      <c r="B781" s="477" t="n"/>
      <c r="C781" s="477" t="n"/>
      <c r="D781" s="477" t="n"/>
      <c r="E781" s="477" t="n"/>
      <c r="F781" s="477" t="n"/>
      <c r="G781" s="477" t="n"/>
      <c r="H781" s="505" t="n"/>
      <c r="I781" s="477" t="n"/>
      <c r="J781" s="477" t="n"/>
      <c r="K781" s="477" t="n"/>
      <c r="L781" s="477" t="n"/>
      <c r="M781" s="477" t="n"/>
      <c r="N781" s="477" t="n"/>
      <c r="O781" s="477" t="n"/>
      <c r="P781" s="477" t="n"/>
      <c r="Q781" s="477" t="n"/>
      <c r="R781" s="477" t="n"/>
      <c r="S781" s="477" t="n"/>
      <c r="T781" s="477" t="n"/>
      <c r="U781" s="477" t="n"/>
      <c r="V781" s="477" t="n"/>
      <c r="W781" s="477" t="n"/>
      <c r="X781" s="477" t="n"/>
      <c r="Y781" s="477" t="n"/>
      <c r="Z781" s="477" t="n"/>
    </row>
    <row r="782" ht="15.75" customHeight="1">
      <c r="A782" s="477" t="n"/>
      <c r="B782" s="477" t="n"/>
      <c r="C782" s="477" t="n"/>
      <c r="D782" s="477" t="n"/>
      <c r="E782" s="477" t="n"/>
      <c r="F782" s="477" t="n"/>
      <c r="G782" s="477" t="n"/>
      <c r="H782" s="505" t="n"/>
      <c r="I782" s="477" t="n"/>
      <c r="J782" s="477" t="n"/>
      <c r="K782" s="477" t="n"/>
      <c r="L782" s="477" t="n"/>
      <c r="M782" s="477" t="n"/>
      <c r="N782" s="477" t="n"/>
      <c r="O782" s="477" t="n"/>
      <c r="P782" s="477" t="n"/>
      <c r="Q782" s="477" t="n"/>
      <c r="R782" s="477" t="n"/>
      <c r="S782" s="477" t="n"/>
      <c r="T782" s="477" t="n"/>
      <c r="U782" s="477" t="n"/>
      <c r="V782" s="477" t="n"/>
      <c r="W782" s="477" t="n"/>
      <c r="X782" s="477" t="n"/>
      <c r="Y782" s="477" t="n"/>
      <c r="Z782" s="477" t="n"/>
    </row>
    <row r="783" ht="15.75" customHeight="1">
      <c r="A783" s="477" t="n"/>
      <c r="B783" s="477" t="n"/>
      <c r="C783" s="477" t="n"/>
      <c r="D783" s="477" t="n"/>
      <c r="E783" s="477" t="n"/>
      <c r="F783" s="477" t="n"/>
      <c r="G783" s="477" t="n"/>
      <c r="H783" s="505" t="n"/>
      <c r="I783" s="477" t="n"/>
      <c r="J783" s="477" t="n"/>
      <c r="K783" s="477" t="n"/>
      <c r="L783" s="477" t="n"/>
      <c r="M783" s="477" t="n"/>
      <c r="N783" s="477" t="n"/>
      <c r="O783" s="477" t="n"/>
      <c r="P783" s="477" t="n"/>
      <c r="Q783" s="477" t="n"/>
      <c r="R783" s="477" t="n"/>
      <c r="S783" s="477" t="n"/>
      <c r="T783" s="477" t="n"/>
      <c r="U783" s="477" t="n"/>
      <c r="V783" s="477" t="n"/>
      <c r="W783" s="477" t="n"/>
      <c r="X783" s="477" t="n"/>
      <c r="Y783" s="477" t="n"/>
      <c r="Z783" s="477" t="n"/>
    </row>
    <row r="784" ht="15.75" customHeight="1">
      <c r="A784" s="477" t="n"/>
      <c r="B784" s="477" t="n"/>
      <c r="C784" s="477" t="n"/>
      <c r="D784" s="477" t="n"/>
      <c r="E784" s="477" t="n"/>
      <c r="F784" s="477" t="n"/>
      <c r="G784" s="477" t="n"/>
      <c r="H784" s="505" t="n"/>
      <c r="I784" s="477" t="n"/>
      <c r="J784" s="477" t="n"/>
      <c r="K784" s="477" t="n"/>
      <c r="L784" s="477" t="n"/>
      <c r="M784" s="477" t="n"/>
      <c r="N784" s="477" t="n"/>
      <c r="O784" s="477" t="n"/>
      <c r="P784" s="477" t="n"/>
      <c r="Q784" s="477" t="n"/>
      <c r="R784" s="477" t="n"/>
      <c r="S784" s="477" t="n"/>
      <c r="T784" s="477" t="n"/>
      <c r="U784" s="477" t="n"/>
      <c r="V784" s="477" t="n"/>
      <c r="W784" s="477" t="n"/>
      <c r="X784" s="477" t="n"/>
      <c r="Y784" s="477" t="n"/>
      <c r="Z784" s="477" t="n"/>
    </row>
    <row r="785" ht="15.75" customHeight="1">
      <c r="A785" s="477" t="n"/>
      <c r="B785" s="477" t="n"/>
      <c r="C785" s="477" t="n"/>
      <c r="D785" s="477" t="n"/>
      <c r="E785" s="477" t="n"/>
      <c r="F785" s="477" t="n"/>
      <c r="G785" s="477" t="n"/>
      <c r="H785" s="505" t="n"/>
      <c r="I785" s="477" t="n"/>
      <c r="J785" s="477" t="n"/>
      <c r="K785" s="477" t="n"/>
      <c r="L785" s="477" t="n"/>
      <c r="M785" s="477" t="n"/>
      <c r="N785" s="477" t="n"/>
      <c r="O785" s="477" t="n"/>
      <c r="P785" s="477" t="n"/>
      <c r="Q785" s="477" t="n"/>
      <c r="R785" s="477" t="n"/>
      <c r="S785" s="477" t="n"/>
      <c r="T785" s="477" t="n"/>
      <c r="U785" s="477" t="n"/>
      <c r="V785" s="477" t="n"/>
      <c r="W785" s="477" t="n"/>
      <c r="X785" s="477" t="n"/>
      <c r="Y785" s="477" t="n"/>
      <c r="Z785" s="477" t="n"/>
    </row>
    <row r="786" ht="15.75" customHeight="1">
      <c r="A786" s="477" t="n"/>
      <c r="B786" s="477" t="n"/>
      <c r="C786" s="477" t="n"/>
      <c r="D786" s="477" t="n"/>
      <c r="E786" s="477" t="n"/>
      <c r="F786" s="477" t="n"/>
      <c r="G786" s="477" t="n"/>
      <c r="H786" s="505" t="n"/>
      <c r="I786" s="477" t="n"/>
      <c r="J786" s="477" t="n"/>
      <c r="K786" s="477" t="n"/>
      <c r="L786" s="477" t="n"/>
      <c r="M786" s="477" t="n"/>
      <c r="N786" s="477" t="n"/>
      <c r="O786" s="477" t="n"/>
      <c r="P786" s="477" t="n"/>
      <c r="Q786" s="477" t="n"/>
      <c r="R786" s="477" t="n"/>
      <c r="S786" s="477" t="n"/>
      <c r="T786" s="477" t="n"/>
      <c r="U786" s="477" t="n"/>
      <c r="V786" s="477" t="n"/>
      <c r="W786" s="477" t="n"/>
      <c r="X786" s="477" t="n"/>
      <c r="Y786" s="477" t="n"/>
      <c r="Z786" s="477" t="n"/>
    </row>
    <row r="787" ht="15.75" customHeight="1">
      <c r="A787" s="477" t="n"/>
      <c r="B787" s="477" t="n"/>
      <c r="C787" s="477" t="n"/>
      <c r="D787" s="477" t="n"/>
      <c r="E787" s="477" t="n"/>
      <c r="F787" s="477" t="n"/>
      <c r="G787" s="477" t="n"/>
      <c r="H787" s="505" t="n"/>
      <c r="I787" s="477" t="n"/>
      <c r="J787" s="477" t="n"/>
      <c r="K787" s="477" t="n"/>
      <c r="L787" s="477" t="n"/>
      <c r="M787" s="477" t="n"/>
      <c r="N787" s="477" t="n"/>
      <c r="O787" s="477" t="n"/>
      <c r="P787" s="477" t="n"/>
      <c r="Q787" s="477" t="n"/>
      <c r="R787" s="477" t="n"/>
      <c r="S787" s="477" t="n"/>
      <c r="T787" s="477" t="n"/>
      <c r="U787" s="477" t="n"/>
      <c r="V787" s="477" t="n"/>
      <c r="W787" s="477" t="n"/>
      <c r="X787" s="477" t="n"/>
      <c r="Y787" s="477" t="n"/>
      <c r="Z787" s="477" t="n"/>
    </row>
    <row r="788" ht="15.75" customHeight="1">
      <c r="A788" s="477" t="n"/>
      <c r="B788" s="477" t="n"/>
      <c r="C788" s="477" t="n"/>
      <c r="D788" s="477" t="n"/>
      <c r="E788" s="477" t="n"/>
      <c r="F788" s="477" t="n"/>
      <c r="G788" s="477" t="n"/>
      <c r="H788" s="505" t="n"/>
      <c r="I788" s="477" t="n"/>
      <c r="J788" s="477" t="n"/>
      <c r="K788" s="477" t="n"/>
      <c r="L788" s="477" t="n"/>
      <c r="M788" s="477" t="n"/>
      <c r="N788" s="477" t="n"/>
      <c r="O788" s="477" t="n"/>
      <c r="P788" s="477" t="n"/>
      <c r="Q788" s="477" t="n"/>
      <c r="R788" s="477" t="n"/>
      <c r="S788" s="477" t="n"/>
      <c r="T788" s="477" t="n"/>
      <c r="U788" s="477" t="n"/>
      <c r="V788" s="477" t="n"/>
      <c r="W788" s="477" t="n"/>
      <c r="X788" s="477" t="n"/>
      <c r="Y788" s="477" t="n"/>
      <c r="Z788" s="477" t="n"/>
    </row>
    <row r="789" ht="15.75" customHeight="1">
      <c r="A789" s="477" t="n"/>
      <c r="B789" s="477" t="n"/>
      <c r="C789" s="477" t="n"/>
      <c r="D789" s="477" t="n"/>
      <c r="E789" s="477" t="n"/>
      <c r="F789" s="477" t="n"/>
      <c r="G789" s="477" t="n"/>
      <c r="H789" s="505" t="n"/>
      <c r="I789" s="477" t="n"/>
      <c r="J789" s="477" t="n"/>
      <c r="K789" s="477" t="n"/>
      <c r="L789" s="477" t="n"/>
      <c r="M789" s="477" t="n"/>
      <c r="N789" s="477" t="n"/>
      <c r="O789" s="477" t="n"/>
      <c r="P789" s="477" t="n"/>
      <c r="Q789" s="477" t="n"/>
      <c r="R789" s="477" t="n"/>
      <c r="S789" s="477" t="n"/>
      <c r="T789" s="477" t="n"/>
      <c r="U789" s="477" t="n"/>
      <c r="V789" s="477" t="n"/>
      <c r="W789" s="477" t="n"/>
      <c r="X789" s="477" t="n"/>
      <c r="Y789" s="477" t="n"/>
      <c r="Z789" s="477" t="n"/>
    </row>
    <row r="790" ht="15.75" customHeight="1">
      <c r="A790" s="477" t="n"/>
      <c r="B790" s="477" t="n"/>
      <c r="C790" s="477" t="n"/>
      <c r="D790" s="477" t="n"/>
      <c r="E790" s="477" t="n"/>
      <c r="F790" s="477" t="n"/>
      <c r="G790" s="477" t="n"/>
      <c r="H790" s="505" t="n"/>
      <c r="I790" s="477" t="n"/>
      <c r="J790" s="477" t="n"/>
      <c r="K790" s="477" t="n"/>
      <c r="L790" s="477" t="n"/>
      <c r="M790" s="477" t="n"/>
      <c r="N790" s="477" t="n"/>
      <c r="O790" s="477" t="n"/>
      <c r="P790" s="477" t="n"/>
      <c r="Q790" s="477" t="n"/>
      <c r="R790" s="477" t="n"/>
      <c r="S790" s="477" t="n"/>
      <c r="T790" s="477" t="n"/>
      <c r="U790" s="477" t="n"/>
      <c r="V790" s="477" t="n"/>
      <c r="W790" s="477" t="n"/>
      <c r="X790" s="477" t="n"/>
      <c r="Y790" s="477" t="n"/>
      <c r="Z790" s="477" t="n"/>
    </row>
    <row r="791" ht="15.75" customHeight="1">
      <c r="A791" s="477" t="n"/>
      <c r="B791" s="477" t="n"/>
      <c r="C791" s="477" t="n"/>
      <c r="D791" s="477" t="n"/>
      <c r="E791" s="477" t="n"/>
      <c r="F791" s="477" t="n"/>
      <c r="G791" s="477" t="n"/>
      <c r="H791" s="505" t="n"/>
      <c r="I791" s="477" t="n"/>
      <c r="J791" s="477" t="n"/>
      <c r="K791" s="477" t="n"/>
      <c r="L791" s="477" t="n"/>
      <c r="M791" s="477" t="n"/>
      <c r="N791" s="477" t="n"/>
      <c r="O791" s="477" t="n"/>
      <c r="P791" s="477" t="n"/>
      <c r="Q791" s="477" t="n"/>
      <c r="R791" s="477" t="n"/>
      <c r="S791" s="477" t="n"/>
      <c r="T791" s="477" t="n"/>
      <c r="U791" s="477" t="n"/>
      <c r="V791" s="477" t="n"/>
      <c r="W791" s="477" t="n"/>
      <c r="X791" s="477" t="n"/>
      <c r="Y791" s="477" t="n"/>
      <c r="Z791" s="477" t="n"/>
    </row>
    <row r="792" ht="15.75" customHeight="1">
      <c r="A792" s="477" t="n"/>
      <c r="B792" s="477" t="n"/>
      <c r="C792" s="477" t="n"/>
      <c r="D792" s="477" t="n"/>
      <c r="E792" s="477" t="n"/>
      <c r="F792" s="477" t="n"/>
      <c r="G792" s="477" t="n"/>
      <c r="H792" s="505" t="n"/>
      <c r="I792" s="477" t="n"/>
      <c r="J792" s="477" t="n"/>
      <c r="K792" s="477" t="n"/>
      <c r="L792" s="477" t="n"/>
      <c r="M792" s="477" t="n"/>
      <c r="N792" s="477" t="n"/>
      <c r="O792" s="477" t="n"/>
      <c r="P792" s="477" t="n"/>
      <c r="Q792" s="477" t="n"/>
      <c r="R792" s="477" t="n"/>
      <c r="S792" s="477" t="n"/>
      <c r="T792" s="477" t="n"/>
      <c r="U792" s="477" t="n"/>
      <c r="V792" s="477" t="n"/>
      <c r="W792" s="477" t="n"/>
      <c r="X792" s="477" t="n"/>
      <c r="Y792" s="477" t="n"/>
      <c r="Z792" s="477" t="n"/>
    </row>
    <row r="793" ht="15.75" customHeight="1">
      <c r="A793" s="477" t="n"/>
      <c r="B793" s="477" t="n"/>
      <c r="C793" s="477" t="n"/>
      <c r="D793" s="477" t="n"/>
      <c r="E793" s="477" t="n"/>
      <c r="F793" s="477" t="n"/>
      <c r="G793" s="477" t="n"/>
      <c r="H793" s="505" t="n"/>
      <c r="I793" s="477" t="n"/>
      <c r="J793" s="477" t="n"/>
      <c r="K793" s="477" t="n"/>
      <c r="L793" s="477" t="n"/>
      <c r="M793" s="477" t="n"/>
      <c r="N793" s="477" t="n"/>
      <c r="O793" s="477" t="n"/>
      <c r="P793" s="477" t="n"/>
      <c r="Q793" s="477" t="n"/>
      <c r="R793" s="477" t="n"/>
      <c r="S793" s="477" t="n"/>
      <c r="T793" s="477" t="n"/>
      <c r="U793" s="477" t="n"/>
      <c r="V793" s="477" t="n"/>
      <c r="W793" s="477" t="n"/>
      <c r="X793" s="477" t="n"/>
      <c r="Y793" s="477" t="n"/>
      <c r="Z793" s="477" t="n"/>
    </row>
    <row r="794" ht="15.75" customHeight="1">
      <c r="A794" s="477" t="n"/>
      <c r="B794" s="477" t="n"/>
      <c r="C794" s="477" t="n"/>
      <c r="D794" s="477" t="n"/>
      <c r="E794" s="477" t="n"/>
      <c r="F794" s="477" t="n"/>
      <c r="G794" s="477" t="n"/>
      <c r="H794" s="505" t="n"/>
      <c r="I794" s="477" t="n"/>
      <c r="J794" s="477" t="n"/>
      <c r="K794" s="477" t="n"/>
      <c r="L794" s="477" t="n"/>
      <c r="M794" s="477" t="n"/>
      <c r="N794" s="477" t="n"/>
      <c r="O794" s="477" t="n"/>
      <c r="P794" s="477" t="n"/>
      <c r="Q794" s="477" t="n"/>
      <c r="R794" s="477" t="n"/>
      <c r="S794" s="477" t="n"/>
      <c r="T794" s="477" t="n"/>
      <c r="U794" s="477" t="n"/>
      <c r="V794" s="477" t="n"/>
      <c r="W794" s="477" t="n"/>
      <c r="X794" s="477" t="n"/>
      <c r="Y794" s="477" t="n"/>
      <c r="Z794" s="477" t="n"/>
    </row>
    <row r="795" ht="15.75" customHeight="1">
      <c r="A795" s="477" t="n"/>
      <c r="B795" s="477" t="n"/>
      <c r="C795" s="477" t="n"/>
      <c r="D795" s="477" t="n"/>
      <c r="E795" s="477" t="n"/>
      <c r="F795" s="477" t="n"/>
      <c r="G795" s="477" t="n"/>
      <c r="H795" s="505" t="n"/>
      <c r="I795" s="477" t="n"/>
      <c r="J795" s="477" t="n"/>
      <c r="K795" s="477" t="n"/>
      <c r="L795" s="477" t="n"/>
      <c r="M795" s="477" t="n"/>
      <c r="N795" s="477" t="n"/>
      <c r="O795" s="477" t="n"/>
      <c r="P795" s="477" t="n"/>
      <c r="Q795" s="477" t="n"/>
      <c r="R795" s="477" t="n"/>
      <c r="S795" s="477" t="n"/>
      <c r="T795" s="477" t="n"/>
      <c r="U795" s="477" t="n"/>
      <c r="V795" s="477" t="n"/>
      <c r="W795" s="477" t="n"/>
      <c r="X795" s="477" t="n"/>
      <c r="Y795" s="477" t="n"/>
      <c r="Z795" s="477" t="n"/>
    </row>
    <row r="796" ht="15.75" customHeight="1">
      <c r="A796" s="477" t="n"/>
      <c r="B796" s="477" t="n"/>
      <c r="C796" s="477" t="n"/>
      <c r="D796" s="477" t="n"/>
      <c r="E796" s="477" t="n"/>
      <c r="F796" s="477" t="n"/>
      <c r="G796" s="477" t="n"/>
      <c r="H796" s="505" t="n"/>
      <c r="I796" s="477" t="n"/>
      <c r="J796" s="477" t="n"/>
      <c r="K796" s="477" t="n"/>
      <c r="L796" s="477" t="n"/>
      <c r="M796" s="477" t="n"/>
      <c r="N796" s="477" t="n"/>
      <c r="O796" s="477" t="n"/>
      <c r="P796" s="477" t="n"/>
      <c r="Q796" s="477" t="n"/>
      <c r="R796" s="477" t="n"/>
      <c r="S796" s="477" t="n"/>
      <c r="T796" s="477" t="n"/>
      <c r="U796" s="477" t="n"/>
      <c r="V796" s="477" t="n"/>
      <c r="W796" s="477" t="n"/>
      <c r="X796" s="477" t="n"/>
      <c r="Y796" s="477" t="n"/>
      <c r="Z796" s="477" t="n"/>
    </row>
    <row r="797" ht="15.75" customHeight="1">
      <c r="A797" s="477" t="n"/>
      <c r="B797" s="477" t="n"/>
      <c r="C797" s="477" t="n"/>
      <c r="D797" s="477" t="n"/>
      <c r="E797" s="477" t="n"/>
      <c r="F797" s="477" t="n"/>
      <c r="G797" s="477" t="n"/>
      <c r="H797" s="505" t="n"/>
      <c r="I797" s="477" t="n"/>
      <c r="J797" s="477" t="n"/>
      <c r="K797" s="477" t="n"/>
      <c r="L797" s="477" t="n"/>
      <c r="M797" s="477" t="n"/>
      <c r="N797" s="477" t="n"/>
      <c r="O797" s="477" t="n"/>
      <c r="P797" s="477" t="n"/>
      <c r="Q797" s="477" t="n"/>
      <c r="R797" s="477" t="n"/>
      <c r="S797" s="477" t="n"/>
      <c r="T797" s="477" t="n"/>
      <c r="U797" s="477" t="n"/>
      <c r="V797" s="477" t="n"/>
      <c r="W797" s="477" t="n"/>
      <c r="X797" s="477" t="n"/>
      <c r="Y797" s="477" t="n"/>
      <c r="Z797" s="477" t="n"/>
    </row>
    <row r="798" ht="15.75" customHeight="1">
      <c r="A798" s="477" t="n"/>
      <c r="B798" s="477" t="n"/>
      <c r="C798" s="477" t="n"/>
      <c r="D798" s="477" t="n"/>
      <c r="E798" s="477" t="n"/>
      <c r="F798" s="477" t="n"/>
      <c r="G798" s="477" t="n"/>
      <c r="H798" s="505" t="n"/>
      <c r="I798" s="477" t="n"/>
      <c r="J798" s="477" t="n"/>
      <c r="K798" s="477" t="n"/>
      <c r="L798" s="477" t="n"/>
      <c r="M798" s="477" t="n"/>
      <c r="N798" s="477" t="n"/>
      <c r="O798" s="477" t="n"/>
      <c r="P798" s="477" t="n"/>
      <c r="Q798" s="477" t="n"/>
      <c r="R798" s="477" t="n"/>
      <c r="S798" s="477" t="n"/>
      <c r="T798" s="477" t="n"/>
      <c r="U798" s="477" t="n"/>
      <c r="V798" s="477" t="n"/>
      <c r="W798" s="477" t="n"/>
      <c r="X798" s="477" t="n"/>
      <c r="Y798" s="477" t="n"/>
      <c r="Z798" s="477" t="n"/>
    </row>
    <row r="799" ht="15.75" customHeight="1">
      <c r="A799" s="477" t="n"/>
      <c r="B799" s="477" t="n"/>
      <c r="C799" s="477" t="n"/>
      <c r="D799" s="477" t="n"/>
      <c r="E799" s="477" t="n"/>
      <c r="F799" s="477" t="n"/>
      <c r="G799" s="477" t="n"/>
      <c r="H799" s="505" t="n"/>
      <c r="I799" s="477" t="n"/>
      <c r="J799" s="477" t="n"/>
      <c r="K799" s="477" t="n"/>
      <c r="L799" s="477" t="n"/>
      <c r="M799" s="477" t="n"/>
      <c r="N799" s="477" t="n"/>
      <c r="O799" s="477" t="n"/>
      <c r="P799" s="477" t="n"/>
      <c r="Q799" s="477" t="n"/>
      <c r="R799" s="477" t="n"/>
      <c r="S799" s="477" t="n"/>
      <c r="T799" s="477" t="n"/>
      <c r="U799" s="477" t="n"/>
      <c r="V799" s="477" t="n"/>
      <c r="W799" s="477" t="n"/>
      <c r="X799" s="477" t="n"/>
      <c r="Y799" s="477" t="n"/>
      <c r="Z799" s="477" t="n"/>
    </row>
    <row r="800" ht="15.75" customHeight="1">
      <c r="A800" s="477" t="n"/>
      <c r="B800" s="477" t="n"/>
      <c r="C800" s="477" t="n"/>
      <c r="D800" s="477" t="n"/>
      <c r="E800" s="477" t="n"/>
      <c r="F800" s="477" t="n"/>
      <c r="G800" s="477" t="n"/>
      <c r="H800" s="505" t="n"/>
      <c r="I800" s="477" t="n"/>
      <c r="J800" s="477" t="n"/>
      <c r="K800" s="477" t="n"/>
      <c r="L800" s="477" t="n"/>
      <c r="M800" s="477" t="n"/>
      <c r="N800" s="477" t="n"/>
      <c r="O800" s="477" t="n"/>
      <c r="P800" s="477" t="n"/>
      <c r="Q800" s="477" t="n"/>
      <c r="R800" s="477" t="n"/>
      <c r="S800" s="477" t="n"/>
      <c r="T800" s="477" t="n"/>
      <c r="U800" s="477" t="n"/>
      <c r="V800" s="477" t="n"/>
      <c r="W800" s="477" t="n"/>
      <c r="X800" s="477" t="n"/>
      <c r="Y800" s="477" t="n"/>
      <c r="Z800" s="477" t="n"/>
    </row>
    <row r="801" ht="15.75" customHeight="1">
      <c r="A801" s="477" t="n"/>
      <c r="B801" s="477" t="n"/>
      <c r="C801" s="477" t="n"/>
      <c r="D801" s="477" t="n"/>
      <c r="E801" s="477" t="n"/>
      <c r="F801" s="477" t="n"/>
      <c r="G801" s="477" t="n"/>
      <c r="H801" s="505" t="n"/>
      <c r="I801" s="477" t="n"/>
      <c r="J801" s="477" t="n"/>
      <c r="K801" s="477" t="n"/>
      <c r="L801" s="477" t="n"/>
      <c r="M801" s="477" t="n"/>
      <c r="N801" s="477" t="n"/>
      <c r="O801" s="477" t="n"/>
      <c r="P801" s="477" t="n"/>
      <c r="Q801" s="477" t="n"/>
      <c r="R801" s="477" t="n"/>
      <c r="S801" s="477" t="n"/>
      <c r="T801" s="477" t="n"/>
      <c r="U801" s="477" t="n"/>
      <c r="V801" s="477" t="n"/>
      <c r="W801" s="477" t="n"/>
      <c r="X801" s="477" t="n"/>
      <c r="Y801" s="477" t="n"/>
      <c r="Z801" s="477" t="n"/>
    </row>
    <row r="802" ht="15.75" customHeight="1">
      <c r="A802" s="477" t="n"/>
      <c r="B802" s="477" t="n"/>
      <c r="C802" s="477" t="n"/>
      <c r="D802" s="477" t="n"/>
      <c r="E802" s="477" t="n"/>
      <c r="F802" s="477" t="n"/>
      <c r="G802" s="477" t="n"/>
      <c r="H802" s="505" t="n"/>
      <c r="I802" s="477" t="n"/>
      <c r="J802" s="477" t="n"/>
      <c r="K802" s="477" t="n"/>
      <c r="L802" s="477" t="n"/>
      <c r="M802" s="477" t="n"/>
      <c r="N802" s="477" t="n"/>
      <c r="O802" s="477" t="n"/>
      <c r="P802" s="477" t="n"/>
      <c r="Q802" s="477" t="n"/>
      <c r="R802" s="477" t="n"/>
      <c r="S802" s="477" t="n"/>
      <c r="T802" s="477" t="n"/>
      <c r="U802" s="477" t="n"/>
      <c r="V802" s="477" t="n"/>
      <c r="W802" s="477" t="n"/>
      <c r="X802" s="477" t="n"/>
      <c r="Y802" s="477" t="n"/>
      <c r="Z802" s="477" t="n"/>
    </row>
    <row r="803" ht="15.75" customHeight="1">
      <c r="A803" s="477" t="n"/>
      <c r="B803" s="477" t="n"/>
      <c r="C803" s="477" t="n"/>
      <c r="D803" s="477" t="n"/>
      <c r="E803" s="477" t="n"/>
      <c r="F803" s="477" t="n"/>
      <c r="G803" s="477" t="n"/>
      <c r="H803" s="505" t="n"/>
      <c r="I803" s="477" t="n"/>
      <c r="J803" s="477" t="n"/>
      <c r="K803" s="477" t="n"/>
      <c r="L803" s="477" t="n"/>
      <c r="M803" s="477" t="n"/>
      <c r="N803" s="477" t="n"/>
      <c r="O803" s="477" t="n"/>
      <c r="P803" s="477" t="n"/>
      <c r="Q803" s="477" t="n"/>
      <c r="R803" s="477" t="n"/>
      <c r="S803" s="477" t="n"/>
      <c r="T803" s="477" t="n"/>
      <c r="U803" s="477" t="n"/>
      <c r="V803" s="477" t="n"/>
      <c r="W803" s="477" t="n"/>
      <c r="X803" s="477" t="n"/>
      <c r="Y803" s="477" t="n"/>
      <c r="Z803" s="477" t="n"/>
    </row>
    <row r="804" ht="15.75" customHeight="1">
      <c r="A804" s="477" t="n"/>
      <c r="B804" s="477" t="n"/>
      <c r="C804" s="477" t="n"/>
      <c r="D804" s="477" t="n"/>
      <c r="E804" s="477" t="n"/>
      <c r="F804" s="477" t="n"/>
      <c r="G804" s="477" t="n"/>
      <c r="H804" s="505" t="n"/>
      <c r="I804" s="477" t="n"/>
      <c r="J804" s="477" t="n"/>
      <c r="K804" s="477" t="n"/>
      <c r="L804" s="477" t="n"/>
      <c r="M804" s="477" t="n"/>
      <c r="N804" s="477" t="n"/>
      <c r="O804" s="477" t="n"/>
      <c r="P804" s="477" t="n"/>
      <c r="Q804" s="477" t="n"/>
      <c r="R804" s="477" t="n"/>
      <c r="S804" s="477" t="n"/>
      <c r="T804" s="477" t="n"/>
      <c r="U804" s="477" t="n"/>
      <c r="V804" s="477" t="n"/>
      <c r="W804" s="477" t="n"/>
      <c r="X804" s="477" t="n"/>
      <c r="Y804" s="477" t="n"/>
      <c r="Z804" s="477" t="n"/>
    </row>
    <row r="805" ht="15.75" customHeight="1">
      <c r="A805" s="477" t="n"/>
      <c r="B805" s="477" t="n"/>
      <c r="C805" s="477" t="n"/>
      <c r="D805" s="477" t="n"/>
      <c r="E805" s="477" t="n"/>
      <c r="F805" s="477" t="n"/>
      <c r="G805" s="477" t="n"/>
      <c r="H805" s="505" t="n"/>
      <c r="I805" s="477" t="n"/>
      <c r="J805" s="477" t="n"/>
      <c r="K805" s="477" t="n"/>
      <c r="L805" s="477" t="n"/>
      <c r="M805" s="477" t="n"/>
      <c r="N805" s="477" t="n"/>
      <c r="O805" s="477" t="n"/>
      <c r="P805" s="477" t="n"/>
      <c r="Q805" s="477" t="n"/>
      <c r="R805" s="477" t="n"/>
      <c r="S805" s="477" t="n"/>
      <c r="T805" s="477" t="n"/>
      <c r="U805" s="477" t="n"/>
      <c r="V805" s="477" t="n"/>
      <c r="W805" s="477" t="n"/>
      <c r="X805" s="477" t="n"/>
      <c r="Y805" s="477" t="n"/>
      <c r="Z805" s="477" t="n"/>
    </row>
    <row r="806" ht="15.75" customHeight="1">
      <c r="A806" s="477" t="n"/>
      <c r="B806" s="477" t="n"/>
      <c r="C806" s="477" t="n"/>
      <c r="D806" s="477" t="n"/>
      <c r="E806" s="477" t="n"/>
      <c r="F806" s="477" t="n"/>
      <c r="G806" s="477" t="n"/>
      <c r="H806" s="505" t="n"/>
      <c r="I806" s="477" t="n"/>
      <c r="J806" s="477" t="n"/>
      <c r="K806" s="477" t="n"/>
      <c r="L806" s="477" t="n"/>
      <c r="M806" s="477" t="n"/>
      <c r="N806" s="477" t="n"/>
      <c r="O806" s="477" t="n"/>
      <c r="P806" s="477" t="n"/>
      <c r="Q806" s="477" t="n"/>
      <c r="R806" s="477" t="n"/>
      <c r="S806" s="477" t="n"/>
      <c r="T806" s="477" t="n"/>
      <c r="U806" s="477" t="n"/>
      <c r="V806" s="477" t="n"/>
      <c r="W806" s="477" t="n"/>
      <c r="X806" s="477" t="n"/>
      <c r="Y806" s="477" t="n"/>
      <c r="Z806" s="477" t="n"/>
    </row>
    <row r="807" ht="15.75" customHeight="1">
      <c r="A807" s="477" t="n"/>
      <c r="B807" s="477" t="n"/>
      <c r="C807" s="477" t="n"/>
      <c r="D807" s="477" t="n"/>
      <c r="E807" s="477" t="n"/>
      <c r="F807" s="477" t="n"/>
      <c r="G807" s="477" t="n"/>
      <c r="H807" s="505" t="n"/>
      <c r="I807" s="477" t="n"/>
      <c r="J807" s="477" t="n"/>
      <c r="K807" s="477" t="n"/>
      <c r="L807" s="477" t="n"/>
      <c r="M807" s="477" t="n"/>
      <c r="N807" s="477" t="n"/>
      <c r="O807" s="477" t="n"/>
      <c r="P807" s="477" t="n"/>
      <c r="Q807" s="477" t="n"/>
      <c r="R807" s="477" t="n"/>
      <c r="S807" s="477" t="n"/>
      <c r="T807" s="477" t="n"/>
      <c r="U807" s="477" t="n"/>
      <c r="V807" s="477" t="n"/>
      <c r="W807" s="477" t="n"/>
      <c r="X807" s="477" t="n"/>
      <c r="Y807" s="477" t="n"/>
      <c r="Z807" s="477" t="n"/>
    </row>
    <row r="808" ht="15.75" customHeight="1">
      <c r="A808" s="477" t="n"/>
      <c r="B808" s="477" t="n"/>
      <c r="C808" s="477" t="n"/>
      <c r="D808" s="477" t="n"/>
      <c r="E808" s="477" t="n"/>
      <c r="F808" s="477" t="n"/>
      <c r="G808" s="477" t="n"/>
      <c r="H808" s="505" t="n"/>
      <c r="I808" s="477" t="n"/>
      <c r="J808" s="477" t="n"/>
      <c r="K808" s="477" t="n"/>
      <c r="L808" s="477" t="n"/>
      <c r="M808" s="477" t="n"/>
      <c r="N808" s="477" t="n"/>
      <c r="O808" s="477" t="n"/>
      <c r="P808" s="477" t="n"/>
      <c r="Q808" s="477" t="n"/>
      <c r="R808" s="477" t="n"/>
      <c r="S808" s="477" t="n"/>
      <c r="T808" s="477" t="n"/>
      <c r="U808" s="477" t="n"/>
      <c r="V808" s="477" t="n"/>
      <c r="W808" s="477" t="n"/>
      <c r="X808" s="477" t="n"/>
      <c r="Y808" s="477" t="n"/>
      <c r="Z808" s="477" t="n"/>
    </row>
    <row r="809" ht="15.75" customHeight="1">
      <c r="A809" s="477" t="n"/>
      <c r="B809" s="477" t="n"/>
      <c r="C809" s="477" t="n"/>
      <c r="D809" s="477" t="n"/>
      <c r="E809" s="477" t="n"/>
      <c r="F809" s="477" t="n"/>
      <c r="G809" s="477" t="n"/>
      <c r="H809" s="505" t="n"/>
      <c r="I809" s="477" t="n"/>
      <c r="J809" s="477" t="n"/>
      <c r="K809" s="477" t="n"/>
      <c r="L809" s="477" t="n"/>
      <c r="M809" s="477" t="n"/>
      <c r="N809" s="477" t="n"/>
      <c r="O809" s="477" t="n"/>
      <c r="P809" s="477" t="n"/>
      <c r="Q809" s="477" t="n"/>
      <c r="R809" s="477" t="n"/>
      <c r="S809" s="477" t="n"/>
      <c r="T809" s="477" t="n"/>
      <c r="U809" s="477" t="n"/>
      <c r="V809" s="477" t="n"/>
      <c r="W809" s="477" t="n"/>
      <c r="X809" s="477" t="n"/>
      <c r="Y809" s="477" t="n"/>
      <c r="Z809" s="477" t="n"/>
    </row>
    <row r="810" ht="15.75" customHeight="1">
      <c r="A810" s="477" t="n"/>
      <c r="B810" s="477" t="n"/>
      <c r="C810" s="477" t="n"/>
      <c r="D810" s="477" t="n"/>
      <c r="E810" s="477" t="n"/>
      <c r="F810" s="477" t="n"/>
      <c r="G810" s="477" t="n"/>
      <c r="H810" s="505" t="n"/>
      <c r="I810" s="477" t="n"/>
      <c r="J810" s="477" t="n"/>
      <c r="K810" s="477" t="n"/>
      <c r="L810" s="477" t="n"/>
      <c r="M810" s="477" t="n"/>
      <c r="N810" s="477" t="n"/>
      <c r="O810" s="477" t="n"/>
      <c r="P810" s="477" t="n"/>
      <c r="Q810" s="477" t="n"/>
      <c r="R810" s="477" t="n"/>
      <c r="S810" s="477" t="n"/>
      <c r="T810" s="477" t="n"/>
      <c r="U810" s="477" t="n"/>
      <c r="V810" s="477" t="n"/>
      <c r="W810" s="477" t="n"/>
      <c r="X810" s="477" t="n"/>
      <c r="Y810" s="477" t="n"/>
      <c r="Z810" s="477" t="n"/>
    </row>
    <row r="811" ht="15.75" customHeight="1">
      <c r="A811" s="477" t="n"/>
      <c r="B811" s="477" t="n"/>
      <c r="C811" s="477" t="n"/>
      <c r="D811" s="477" t="n"/>
      <c r="E811" s="477" t="n"/>
      <c r="F811" s="477" t="n"/>
      <c r="G811" s="477" t="n"/>
      <c r="H811" s="505" t="n"/>
      <c r="I811" s="477" t="n"/>
      <c r="J811" s="477" t="n"/>
      <c r="K811" s="477" t="n"/>
      <c r="L811" s="477" t="n"/>
      <c r="M811" s="477" t="n"/>
      <c r="N811" s="477" t="n"/>
      <c r="O811" s="477" t="n"/>
      <c r="P811" s="477" t="n"/>
      <c r="Q811" s="477" t="n"/>
      <c r="R811" s="477" t="n"/>
      <c r="S811" s="477" t="n"/>
      <c r="T811" s="477" t="n"/>
      <c r="U811" s="477" t="n"/>
      <c r="V811" s="477" t="n"/>
      <c r="W811" s="477" t="n"/>
      <c r="X811" s="477" t="n"/>
      <c r="Y811" s="477" t="n"/>
      <c r="Z811" s="477" t="n"/>
    </row>
    <row r="812" ht="15.75" customHeight="1">
      <c r="A812" s="477" t="n"/>
      <c r="B812" s="477" t="n"/>
      <c r="C812" s="477" t="n"/>
      <c r="D812" s="477" t="n"/>
      <c r="E812" s="477" t="n"/>
      <c r="F812" s="477" t="n"/>
      <c r="G812" s="477" t="n"/>
      <c r="H812" s="505" t="n"/>
      <c r="I812" s="477" t="n"/>
      <c r="J812" s="477" t="n"/>
      <c r="K812" s="477" t="n"/>
      <c r="L812" s="477" t="n"/>
      <c r="M812" s="477" t="n"/>
      <c r="N812" s="477" t="n"/>
      <c r="O812" s="477" t="n"/>
      <c r="P812" s="477" t="n"/>
      <c r="Q812" s="477" t="n"/>
      <c r="R812" s="477" t="n"/>
      <c r="S812" s="477" t="n"/>
      <c r="T812" s="477" t="n"/>
      <c r="U812" s="477" t="n"/>
      <c r="V812" s="477" t="n"/>
      <c r="W812" s="477" t="n"/>
      <c r="X812" s="477" t="n"/>
      <c r="Y812" s="477" t="n"/>
      <c r="Z812" s="477" t="n"/>
    </row>
    <row r="813" ht="15.75" customHeight="1">
      <c r="A813" s="477" t="n"/>
      <c r="B813" s="477" t="n"/>
      <c r="C813" s="477" t="n"/>
      <c r="D813" s="477" t="n"/>
      <c r="E813" s="477" t="n"/>
      <c r="F813" s="477" t="n"/>
      <c r="G813" s="477" t="n"/>
      <c r="H813" s="505" t="n"/>
      <c r="I813" s="477" t="n"/>
      <c r="J813" s="477" t="n"/>
      <c r="K813" s="477" t="n"/>
      <c r="L813" s="477" t="n"/>
      <c r="M813" s="477" t="n"/>
      <c r="N813" s="477" t="n"/>
      <c r="O813" s="477" t="n"/>
      <c r="P813" s="477" t="n"/>
      <c r="Q813" s="477" t="n"/>
      <c r="R813" s="477" t="n"/>
      <c r="S813" s="477" t="n"/>
      <c r="T813" s="477" t="n"/>
      <c r="U813" s="477" t="n"/>
      <c r="V813" s="477" t="n"/>
      <c r="W813" s="477" t="n"/>
      <c r="X813" s="477" t="n"/>
      <c r="Y813" s="477" t="n"/>
      <c r="Z813" s="477" t="n"/>
    </row>
    <row r="814" ht="15.75" customHeight="1">
      <c r="A814" s="477" t="n"/>
      <c r="B814" s="477" t="n"/>
      <c r="C814" s="477" t="n"/>
      <c r="D814" s="477" t="n"/>
      <c r="E814" s="477" t="n"/>
      <c r="F814" s="477" t="n"/>
      <c r="G814" s="477" t="n"/>
      <c r="H814" s="505" t="n"/>
      <c r="I814" s="477" t="n"/>
      <c r="J814" s="477" t="n"/>
      <c r="K814" s="477" t="n"/>
      <c r="L814" s="477" t="n"/>
      <c r="M814" s="477" t="n"/>
      <c r="N814" s="477" t="n"/>
      <c r="O814" s="477" t="n"/>
      <c r="P814" s="477" t="n"/>
      <c r="Q814" s="477" t="n"/>
      <c r="R814" s="477" t="n"/>
      <c r="S814" s="477" t="n"/>
      <c r="T814" s="477" t="n"/>
      <c r="U814" s="477" t="n"/>
      <c r="V814" s="477" t="n"/>
      <c r="W814" s="477" t="n"/>
      <c r="X814" s="477" t="n"/>
      <c r="Y814" s="477" t="n"/>
      <c r="Z814" s="477" t="n"/>
    </row>
    <row r="815" ht="15.75" customHeight="1">
      <c r="A815" s="477" t="n"/>
      <c r="B815" s="477" t="n"/>
      <c r="C815" s="477" t="n"/>
      <c r="D815" s="477" t="n"/>
      <c r="E815" s="477" t="n"/>
      <c r="F815" s="477" t="n"/>
      <c r="G815" s="477" t="n"/>
      <c r="H815" s="505" t="n"/>
      <c r="I815" s="477" t="n"/>
      <c r="J815" s="477" t="n"/>
      <c r="K815" s="477" t="n"/>
      <c r="L815" s="477" t="n"/>
      <c r="M815" s="477" t="n"/>
      <c r="N815" s="477" t="n"/>
      <c r="O815" s="477" t="n"/>
      <c r="P815" s="477" t="n"/>
      <c r="Q815" s="477" t="n"/>
      <c r="R815" s="477" t="n"/>
      <c r="S815" s="477" t="n"/>
      <c r="T815" s="477" t="n"/>
      <c r="U815" s="477" t="n"/>
      <c r="V815" s="477" t="n"/>
      <c r="W815" s="477" t="n"/>
      <c r="X815" s="477" t="n"/>
      <c r="Y815" s="477" t="n"/>
      <c r="Z815" s="477" t="n"/>
    </row>
    <row r="816" ht="15.75" customHeight="1">
      <c r="A816" s="477" t="n"/>
      <c r="B816" s="477" t="n"/>
      <c r="C816" s="477" t="n"/>
      <c r="D816" s="477" t="n"/>
      <c r="E816" s="477" t="n"/>
      <c r="F816" s="477" t="n"/>
      <c r="G816" s="477" t="n"/>
      <c r="H816" s="505" t="n"/>
      <c r="I816" s="477" t="n"/>
      <c r="J816" s="477" t="n"/>
      <c r="K816" s="477" t="n"/>
      <c r="L816" s="477" t="n"/>
      <c r="M816" s="477" t="n"/>
      <c r="N816" s="477" t="n"/>
      <c r="O816" s="477" t="n"/>
      <c r="P816" s="477" t="n"/>
      <c r="Q816" s="477" t="n"/>
      <c r="R816" s="477" t="n"/>
      <c r="S816" s="477" t="n"/>
      <c r="T816" s="477" t="n"/>
      <c r="U816" s="477" t="n"/>
      <c r="V816" s="477" t="n"/>
      <c r="W816" s="477" t="n"/>
      <c r="X816" s="477" t="n"/>
      <c r="Y816" s="477" t="n"/>
      <c r="Z816" s="477" t="n"/>
    </row>
    <row r="817" ht="15.75" customHeight="1">
      <c r="A817" s="477" t="n"/>
      <c r="B817" s="477" t="n"/>
      <c r="C817" s="477" t="n"/>
      <c r="D817" s="477" t="n"/>
      <c r="E817" s="477" t="n"/>
      <c r="F817" s="477" t="n"/>
      <c r="G817" s="477" t="n"/>
      <c r="H817" s="505" t="n"/>
      <c r="I817" s="477" t="n"/>
      <c r="J817" s="477" t="n"/>
      <c r="K817" s="477" t="n"/>
      <c r="L817" s="477" t="n"/>
      <c r="M817" s="477" t="n"/>
      <c r="N817" s="477" t="n"/>
      <c r="O817" s="477" t="n"/>
      <c r="P817" s="477" t="n"/>
      <c r="Q817" s="477" t="n"/>
      <c r="R817" s="477" t="n"/>
      <c r="S817" s="477" t="n"/>
      <c r="T817" s="477" t="n"/>
      <c r="U817" s="477" t="n"/>
      <c r="V817" s="477" t="n"/>
      <c r="W817" s="477" t="n"/>
      <c r="X817" s="477" t="n"/>
      <c r="Y817" s="477" t="n"/>
      <c r="Z817" s="477" t="n"/>
    </row>
    <row r="818" ht="15.75" customHeight="1">
      <c r="A818" s="477" t="n"/>
      <c r="B818" s="477" t="n"/>
      <c r="C818" s="477" t="n"/>
      <c r="D818" s="477" t="n"/>
      <c r="E818" s="477" t="n"/>
      <c r="F818" s="477" t="n"/>
      <c r="G818" s="477" t="n"/>
      <c r="H818" s="505" t="n"/>
      <c r="I818" s="477" t="n"/>
      <c r="J818" s="477" t="n"/>
      <c r="K818" s="477" t="n"/>
      <c r="L818" s="477" t="n"/>
      <c r="M818" s="477" t="n"/>
      <c r="N818" s="477" t="n"/>
      <c r="O818" s="477" t="n"/>
      <c r="P818" s="477" t="n"/>
      <c r="Q818" s="477" t="n"/>
      <c r="R818" s="477" t="n"/>
      <c r="S818" s="477" t="n"/>
      <c r="T818" s="477" t="n"/>
      <c r="U818" s="477" t="n"/>
      <c r="V818" s="477" t="n"/>
      <c r="W818" s="477" t="n"/>
      <c r="X818" s="477" t="n"/>
      <c r="Y818" s="477" t="n"/>
      <c r="Z818" s="477" t="n"/>
    </row>
    <row r="819" ht="15.75" customHeight="1">
      <c r="A819" s="477" t="n"/>
      <c r="B819" s="477" t="n"/>
      <c r="C819" s="477" t="n"/>
      <c r="D819" s="477" t="n"/>
      <c r="E819" s="477" t="n"/>
      <c r="F819" s="477" t="n"/>
      <c r="G819" s="477" t="n"/>
      <c r="H819" s="505" t="n"/>
      <c r="I819" s="477" t="n"/>
      <c r="J819" s="477" t="n"/>
      <c r="K819" s="477" t="n"/>
      <c r="L819" s="477" t="n"/>
      <c r="M819" s="477" t="n"/>
      <c r="N819" s="477" t="n"/>
      <c r="O819" s="477" t="n"/>
      <c r="P819" s="477" t="n"/>
      <c r="Q819" s="477" t="n"/>
      <c r="R819" s="477" t="n"/>
      <c r="S819" s="477" t="n"/>
      <c r="T819" s="477" t="n"/>
      <c r="U819" s="477" t="n"/>
      <c r="V819" s="477" t="n"/>
      <c r="W819" s="477" t="n"/>
      <c r="X819" s="477" t="n"/>
      <c r="Y819" s="477" t="n"/>
      <c r="Z819" s="477" t="n"/>
    </row>
    <row r="820" ht="15.75" customHeight="1">
      <c r="A820" s="477" t="n"/>
      <c r="B820" s="477" t="n"/>
      <c r="C820" s="477" t="n"/>
      <c r="D820" s="477" t="n"/>
      <c r="E820" s="477" t="n"/>
      <c r="F820" s="477" t="n"/>
      <c r="G820" s="477" t="n"/>
      <c r="H820" s="505" t="n"/>
      <c r="I820" s="477" t="n"/>
      <c r="J820" s="477" t="n"/>
      <c r="K820" s="477" t="n"/>
      <c r="L820" s="477" t="n"/>
      <c r="M820" s="477" t="n"/>
      <c r="N820" s="477" t="n"/>
      <c r="O820" s="477" t="n"/>
      <c r="P820" s="477" t="n"/>
      <c r="Q820" s="477" t="n"/>
      <c r="R820" s="477" t="n"/>
      <c r="S820" s="477" t="n"/>
      <c r="T820" s="477" t="n"/>
      <c r="U820" s="477" t="n"/>
      <c r="V820" s="477" t="n"/>
      <c r="W820" s="477" t="n"/>
      <c r="X820" s="477" t="n"/>
      <c r="Y820" s="477" t="n"/>
      <c r="Z820" s="477" t="n"/>
    </row>
    <row r="821" ht="15.75" customHeight="1">
      <c r="A821" s="477" t="n"/>
      <c r="B821" s="477" t="n"/>
      <c r="C821" s="477" t="n"/>
      <c r="D821" s="477" t="n"/>
      <c r="E821" s="477" t="n"/>
      <c r="F821" s="477" t="n"/>
      <c r="G821" s="477" t="n"/>
      <c r="H821" s="505" t="n"/>
      <c r="I821" s="477" t="n"/>
      <c r="J821" s="477" t="n"/>
      <c r="K821" s="477" t="n"/>
      <c r="L821" s="477" t="n"/>
      <c r="M821" s="477" t="n"/>
      <c r="N821" s="477" t="n"/>
      <c r="O821" s="477" t="n"/>
      <c r="P821" s="477" t="n"/>
      <c r="Q821" s="477" t="n"/>
      <c r="R821" s="477" t="n"/>
      <c r="S821" s="477" t="n"/>
      <c r="T821" s="477" t="n"/>
      <c r="U821" s="477" t="n"/>
      <c r="V821" s="477" t="n"/>
      <c r="W821" s="477" t="n"/>
      <c r="X821" s="477" t="n"/>
      <c r="Y821" s="477" t="n"/>
      <c r="Z821" s="477" t="n"/>
    </row>
    <row r="822" ht="15.75" customHeight="1">
      <c r="A822" s="477" t="n"/>
      <c r="B822" s="477" t="n"/>
      <c r="C822" s="477" t="n"/>
      <c r="D822" s="477" t="n"/>
      <c r="E822" s="477" t="n"/>
      <c r="F822" s="477" t="n"/>
      <c r="G822" s="477" t="n"/>
      <c r="H822" s="505" t="n"/>
      <c r="I822" s="477" t="n"/>
      <c r="J822" s="477" t="n"/>
      <c r="K822" s="477" t="n"/>
      <c r="L822" s="477" t="n"/>
      <c r="M822" s="477" t="n"/>
      <c r="N822" s="477" t="n"/>
      <c r="O822" s="477" t="n"/>
      <c r="P822" s="477" t="n"/>
      <c r="Q822" s="477" t="n"/>
      <c r="R822" s="477" t="n"/>
      <c r="S822" s="477" t="n"/>
      <c r="T822" s="477" t="n"/>
      <c r="U822" s="477" t="n"/>
      <c r="V822" s="477" t="n"/>
      <c r="W822" s="477" t="n"/>
      <c r="X822" s="477" t="n"/>
      <c r="Y822" s="477" t="n"/>
      <c r="Z822" s="477" t="n"/>
    </row>
    <row r="823" ht="15.75" customHeight="1">
      <c r="A823" s="477" t="n"/>
      <c r="B823" s="477" t="n"/>
      <c r="C823" s="477" t="n"/>
      <c r="D823" s="477" t="n"/>
      <c r="E823" s="477" t="n"/>
      <c r="F823" s="477" t="n"/>
      <c r="G823" s="477" t="n"/>
      <c r="H823" s="505" t="n"/>
      <c r="I823" s="477" t="n"/>
      <c r="J823" s="477" t="n"/>
      <c r="K823" s="477" t="n"/>
      <c r="L823" s="477" t="n"/>
      <c r="M823" s="477" t="n"/>
      <c r="N823" s="477" t="n"/>
      <c r="O823" s="477" t="n"/>
      <c r="P823" s="477" t="n"/>
      <c r="Q823" s="477" t="n"/>
      <c r="R823" s="477" t="n"/>
      <c r="S823" s="477" t="n"/>
      <c r="T823" s="477" t="n"/>
      <c r="U823" s="477" t="n"/>
      <c r="V823" s="477" t="n"/>
      <c r="W823" s="477" t="n"/>
      <c r="X823" s="477" t="n"/>
      <c r="Y823" s="477" t="n"/>
      <c r="Z823" s="477" t="n"/>
    </row>
    <row r="824" ht="15.75" customHeight="1">
      <c r="A824" s="477" t="n"/>
      <c r="B824" s="477" t="n"/>
      <c r="C824" s="477" t="n"/>
      <c r="D824" s="477" t="n"/>
      <c r="E824" s="477" t="n"/>
      <c r="F824" s="477" t="n"/>
      <c r="G824" s="477" t="n"/>
      <c r="H824" s="505" t="n"/>
      <c r="I824" s="477" t="n"/>
      <c r="J824" s="477" t="n"/>
      <c r="K824" s="477" t="n"/>
      <c r="L824" s="477" t="n"/>
      <c r="M824" s="477" t="n"/>
      <c r="N824" s="477" t="n"/>
      <c r="O824" s="477" t="n"/>
      <c r="P824" s="477" t="n"/>
      <c r="Q824" s="477" t="n"/>
      <c r="R824" s="477" t="n"/>
      <c r="S824" s="477" t="n"/>
      <c r="T824" s="477" t="n"/>
      <c r="U824" s="477" t="n"/>
      <c r="V824" s="477" t="n"/>
      <c r="W824" s="477" t="n"/>
      <c r="X824" s="477" t="n"/>
      <c r="Y824" s="477" t="n"/>
      <c r="Z824" s="477" t="n"/>
    </row>
    <row r="825" ht="15.75" customHeight="1">
      <c r="A825" s="477" t="n"/>
      <c r="B825" s="477" t="n"/>
      <c r="C825" s="477" t="n"/>
      <c r="D825" s="477" t="n"/>
      <c r="E825" s="477" t="n"/>
      <c r="F825" s="477" t="n"/>
      <c r="G825" s="477" t="n"/>
      <c r="H825" s="505" t="n"/>
      <c r="I825" s="477" t="n"/>
      <c r="J825" s="477" t="n"/>
      <c r="K825" s="477" t="n"/>
      <c r="L825" s="477" t="n"/>
      <c r="M825" s="477" t="n"/>
      <c r="N825" s="477" t="n"/>
      <c r="O825" s="477" t="n"/>
      <c r="P825" s="477" t="n"/>
      <c r="Q825" s="477" t="n"/>
      <c r="R825" s="477" t="n"/>
      <c r="S825" s="477" t="n"/>
      <c r="T825" s="477" t="n"/>
      <c r="U825" s="477" t="n"/>
      <c r="V825" s="477" t="n"/>
      <c r="W825" s="477" t="n"/>
      <c r="X825" s="477" t="n"/>
      <c r="Y825" s="477" t="n"/>
      <c r="Z825" s="477" t="n"/>
    </row>
    <row r="826" ht="15.75" customHeight="1">
      <c r="A826" s="477" t="n"/>
      <c r="B826" s="477" t="n"/>
      <c r="C826" s="477" t="n"/>
      <c r="D826" s="477" t="n"/>
      <c r="E826" s="477" t="n"/>
      <c r="F826" s="477" t="n"/>
      <c r="G826" s="477" t="n"/>
      <c r="H826" s="505" t="n"/>
      <c r="I826" s="477" t="n"/>
      <c r="J826" s="477" t="n"/>
      <c r="K826" s="477" t="n"/>
      <c r="L826" s="477" t="n"/>
      <c r="M826" s="477" t="n"/>
      <c r="N826" s="477" t="n"/>
      <c r="O826" s="477" t="n"/>
      <c r="P826" s="477" t="n"/>
      <c r="Q826" s="477" t="n"/>
      <c r="R826" s="477" t="n"/>
      <c r="S826" s="477" t="n"/>
      <c r="T826" s="477" t="n"/>
      <c r="U826" s="477" t="n"/>
      <c r="V826" s="477" t="n"/>
      <c r="W826" s="477" t="n"/>
      <c r="X826" s="477" t="n"/>
      <c r="Y826" s="477" t="n"/>
      <c r="Z826" s="477" t="n"/>
    </row>
    <row r="827" ht="15.75" customHeight="1">
      <c r="A827" s="477" t="n"/>
      <c r="B827" s="477" t="n"/>
      <c r="C827" s="477" t="n"/>
      <c r="D827" s="477" t="n"/>
      <c r="E827" s="477" t="n"/>
      <c r="F827" s="477" t="n"/>
      <c r="G827" s="477" t="n"/>
      <c r="H827" s="505" t="n"/>
      <c r="I827" s="477" t="n"/>
      <c r="J827" s="477" t="n"/>
      <c r="K827" s="477" t="n"/>
      <c r="L827" s="477" t="n"/>
      <c r="M827" s="477" t="n"/>
      <c r="N827" s="477" t="n"/>
      <c r="O827" s="477" t="n"/>
      <c r="P827" s="477" t="n"/>
      <c r="Q827" s="477" t="n"/>
      <c r="R827" s="477" t="n"/>
      <c r="S827" s="477" t="n"/>
      <c r="T827" s="477" t="n"/>
      <c r="U827" s="477" t="n"/>
      <c r="V827" s="477" t="n"/>
      <c r="W827" s="477" t="n"/>
      <c r="X827" s="477" t="n"/>
      <c r="Y827" s="477" t="n"/>
      <c r="Z827" s="477" t="n"/>
    </row>
    <row r="828" ht="15.75" customHeight="1">
      <c r="A828" s="477" t="n"/>
      <c r="B828" s="477" t="n"/>
      <c r="C828" s="477" t="n"/>
      <c r="D828" s="477" t="n"/>
      <c r="E828" s="477" t="n"/>
      <c r="F828" s="477" t="n"/>
      <c r="G828" s="477" t="n"/>
      <c r="H828" s="505" t="n"/>
      <c r="I828" s="477" t="n"/>
      <c r="J828" s="477" t="n"/>
      <c r="K828" s="477" t="n"/>
      <c r="L828" s="477" t="n"/>
      <c r="M828" s="477" t="n"/>
      <c r="N828" s="477" t="n"/>
      <c r="O828" s="477" t="n"/>
      <c r="P828" s="477" t="n"/>
      <c r="Q828" s="477" t="n"/>
      <c r="R828" s="477" t="n"/>
      <c r="S828" s="477" t="n"/>
      <c r="T828" s="477" t="n"/>
      <c r="U828" s="477" t="n"/>
      <c r="V828" s="477" t="n"/>
      <c r="W828" s="477" t="n"/>
      <c r="X828" s="477" t="n"/>
      <c r="Y828" s="477" t="n"/>
      <c r="Z828" s="477" t="n"/>
    </row>
    <row r="829" ht="15.75" customHeight="1">
      <c r="A829" s="477" t="n"/>
      <c r="B829" s="477" t="n"/>
      <c r="C829" s="477" t="n"/>
      <c r="D829" s="477" t="n"/>
      <c r="E829" s="477" t="n"/>
      <c r="F829" s="477" t="n"/>
      <c r="G829" s="477" t="n"/>
      <c r="H829" s="505" t="n"/>
      <c r="I829" s="477" t="n"/>
      <c r="J829" s="477" t="n"/>
      <c r="K829" s="477" t="n"/>
      <c r="L829" s="477" t="n"/>
      <c r="M829" s="477" t="n"/>
      <c r="N829" s="477" t="n"/>
      <c r="O829" s="477" t="n"/>
      <c r="P829" s="477" t="n"/>
      <c r="Q829" s="477" t="n"/>
      <c r="R829" s="477" t="n"/>
      <c r="S829" s="477" t="n"/>
      <c r="T829" s="477" t="n"/>
      <c r="U829" s="477" t="n"/>
      <c r="V829" s="477" t="n"/>
      <c r="W829" s="477" t="n"/>
      <c r="X829" s="477" t="n"/>
      <c r="Y829" s="477" t="n"/>
      <c r="Z829" s="477" t="n"/>
    </row>
    <row r="830" ht="15.75" customHeight="1">
      <c r="A830" s="477" t="n"/>
      <c r="B830" s="477" t="n"/>
      <c r="C830" s="477" t="n"/>
      <c r="D830" s="477" t="n"/>
      <c r="E830" s="477" t="n"/>
      <c r="F830" s="477" t="n"/>
      <c r="G830" s="477" t="n"/>
      <c r="H830" s="505" t="n"/>
      <c r="I830" s="477" t="n"/>
      <c r="J830" s="477" t="n"/>
      <c r="K830" s="477" t="n"/>
      <c r="L830" s="477" t="n"/>
      <c r="M830" s="477" t="n"/>
      <c r="N830" s="477" t="n"/>
      <c r="O830" s="477" t="n"/>
      <c r="P830" s="477" t="n"/>
      <c r="Q830" s="477" t="n"/>
      <c r="R830" s="477" t="n"/>
      <c r="S830" s="477" t="n"/>
      <c r="T830" s="477" t="n"/>
      <c r="U830" s="477" t="n"/>
      <c r="V830" s="477" t="n"/>
      <c r="W830" s="477" t="n"/>
      <c r="X830" s="477" t="n"/>
      <c r="Y830" s="477" t="n"/>
      <c r="Z830" s="477" t="n"/>
    </row>
    <row r="831" ht="15.75" customHeight="1">
      <c r="A831" s="477" t="n"/>
      <c r="B831" s="477" t="n"/>
      <c r="C831" s="477" t="n"/>
      <c r="D831" s="477" t="n"/>
      <c r="E831" s="477" t="n"/>
      <c r="F831" s="477" t="n"/>
      <c r="G831" s="477" t="n"/>
      <c r="H831" s="505" t="n"/>
      <c r="I831" s="477" t="n"/>
      <c r="J831" s="477" t="n"/>
      <c r="K831" s="477" t="n"/>
      <c r="L831" s="477" t="n"/>
      <c r="M831" s="477" t="n"/>
      <c r="N831" s="477" t="n"/>
      <c r="O831" s="477" t="n"/>
      <c r="P831" s="477" t="n"/>
      <c r="Q831" s="477" t="n"/>
      <c r="R831" s="477" t="n"/>
      <c r="S831" s="477" t="n"/>
      <c r="T831" s="477" t="n"/>
      <c r="U831" s="477" t="n"/>
      <c r="V831" s="477" t="n"/>
      <c r="W831" s="477" t="n"/>
      <c r="X831" s="477" t="n"/>
      <c r="Y831" s="477" t="n"/>
      <c r="Z831" s="477" t="n"/>
    </row>
    <row r="832" ht="15.75" customHeight="1">
      <c r="A832" s="477" t="n"/>
      <c r="B832" s="477" t="n"/>
      <c r="C832" s="477" t="n"/>
      <c r="D832" s="477" t="n"/>
      <c r="E832" s="477" t="n"/>
      <c r="F832" s="477" t="n"/>
      <c r="G832" s="477" t="n"/>
      <c r="H832" s="505" t="n"/>
      <c r="I832" s="477" t="n"/>
      <c r="J832" s="477" t="n"/>
      <c r="K832" s="477" t="n"/>
      <c r="L832" s="477" t="n"/>
      <c r="M832" s="477" t="n"/>
      <c r="N832" s="477" t="n"/>
      <c r="O832" s="477" t="n"/>
      <c r="P832" s="477" t="n"/>
      <c r="Q832" s="477" t="n"/>
      <c r="R832" s="477" t="n"/>
      <c r="S832" s="477" t="n"/>
      <c r="T832" s="477" t="n"/>
      <c r="U832" s="477" t="n"/>
      <c r="V832" s="477" t="n"/>
      <c r="W832" s="477" t="n"/>
      <c r="X832" s="477" t="n"/>
      <c r="Y832" s="477" t="n"/>
      <c r="Z832" s="477" t="n"/>
    </row>
    <row r="833" ht="15.75" customHeight="1">
      <c r="A833" s="477" t="n"/>
      <c r="B833" s="477" t="n"/>
      <c r="C833" s="477" t="n"/>
      <c r="D833" s="477" t="n"/>
      <c r="E833" s="477" t="n"/>
      <c r="F833" s="477" t="n"/>
      <c r="G833" s="477" t="n"/>
      <c r="H833" s="505" t="n"/>
      <c r="I833" s="477" t="n"/>
      <c r="J833" s="477" t="n"/>
      <c r="K833" s="477" t="n"/>
      <c r="L833" s="477" t="n"/>
      <c r="M833" s="477" t="n"/>
      <c r="N833" s="477" t="n"/>
      <c r="O833" s="477" t="n"/>
      <c r="P833" s="477" t="n"/>
      <c r="Q833" s="477" t="n"/>
      <c r="R833" s="477" t="n"/>
      <c r="S833" s="477" t="n"/>
      <c r="T833" s="477" t="n"/>
      <c r="U833" s="477" t="n"/>
      <c r="V833" s="477" t="n"/>
      <c r="W833" s="477" t="n"/>
      <c r="X833" s="477" t="n"/>
      <c r="Y833" s="477" t="n"/>
      <c r="Z833" s="477" t="n"/>
    </row>
    <row r="834" ht="15.75" customHeight="1">
      <c r="A834" s="477" t="n"/>
      <c r="B834" s="477" t="n"/>
      <c r="C834" s="477" t="n"/>
      <c r="D834" s="477" t="n"/>
      <c r="E834" s="477" t="n"/>
      <c r="F834" s="477" t="n"/>
      <c r="G834" s="477" t="n"/>
      <c r="H834" s="505" t="n"/>
      <c r="I834" s="477" t="n"/>
      <c r="J834" s="477" t="n"/>
      <c r="K834" s="477" t="n"/>
      <c r="L834" s="477" t="n"/>
      <c r="M834" s="477" t="n"/>
      <c r="N834" s="477" t="n"/>
      <c r="O834" s="477" t="n"/>
      <c r="P834" s="477" t="n"/>
      <c r="Q834" s="477" t="n"/>
      <c r="R834" s="477" t="n"/>
      <c r="S834" s="477" t="n"/>
      <c r="T834" s="477" t="n"/>
      <c r="U834" s="477" t="n"/>
      <c r="V834" s="477" t="n"/>
      <c r="W834" s="477" t="n"/>
      <c r="X834" s="477" t="n"/>
      <c r="Y834" s="477" t="n"/>
      <c r="Z834" s="477" t="n"/>
    </row>
    <row r="835" ht="15.75" customHeight="1">
      <c r="A835" s="477" t="n"/>
      <c r="B835" s="477" t="n"/>
      <c r="C835" s="477" t="n"/>
      <c r="D835" s="477" t="n"/>
      <c r="E835" s="477" t="n"/>
      <c r="F835" s="477" t="n"/>
      <c r="G835" s="477" t="n"/>
      <c r="H835" s="505" t="n"/>
      <c r="I835" s="477" t="n"/>
      <c r="J835" s="477" t="n"/>
      <c r="K835" s="477" t="n"/>
      <c r="L835" s="477" t="n"/>
      <c r="M835" s="477" t="n"/>
      <c r="N835" s="477" t="n"/>
      <c r="O835" s="477" t="n"/>
      <c r="P835" s="477" t="n"/>
      <c r="Q835" s="477" t="n"/>
      <c r="R835" s="477" t="n"/>
      <c r="S835" s="477" t="n"/>
      <c r="T835" s="477" t="n"/>
      <c r="U835" s="477" t="n"/>
      <c r="V835" s="477" t="n"/>
      <c r="W835" s="477" t="n"/>
      <c r="X835" s="477" t="n"/>
      <c r="Y835" s="477" t="n"/>
      <c r="Z835" s="477" t="n"/>
    </row>
    <row r="836" ht="15.75" customHeight="1">
      <c r="A836" s="477" t="n"/>
      <c r="B836" s="477" t="n"/>
      <c r="C836" s="477" t="n"/>
      <c r="D836" s="477" t="n"/>
      <c r="E836" s="477" t="n"/>
      <c r="F836" s="477" t="n"/>
      <c r="G836" s="477" t="n"/>
      <c r="H836" s="505" t="n"/>
      <c r="I836" s="477" t="n"/>
      <c r="J836" s="477" t="n"/>
      <c r="K836" s="477" t="n"/>
      <c r="L836" s="477" t="n"/>
      <c r="M836" s="477" t="n"/>
      <c r="N836" s="477" t="n"/>
      <c r="O836" s="477" t="n"/>
      <c r="P836" s="477" t="n"/>
      <c r="Q836" s="477" t="n"/>
      <c r="R836" s="477" t="n"/>
      <c r="S836" s="477" t="n"/>
      <c r="T836" s="477" t="n"/>
      <c r="U836" s="477" t="n"/>
      <c r="V836" s="477" t="n"/>
      <c r="W836" s="477" t="n"/>
      <c r="X836" s="477" t="n"/>
      <c r="Y836" s="477" t="n"/>
      <c r="Z836" s="477" t="n"/>
    </row>
    <row r="837" ht="15.75" customHeight="1">
      <c r="A837" s="477" t="n"/>
      <c r="B837" s="477" t="n"/>
      <c r="C837" s="477" t="n"/>
      <c r="D837" s="477" t="n"/>
      <c r="E837" s="477" t="n"/>
      <c r="F837" s="477" t="n"/>
      <c r="G837" s="477" t="n"/>
      <c r="H837" s="505" t="n"/>
      <c r="I837" s="477" t="n"/>
      <c r="J837" s="477" t="n"/>
      <c r="K837" s="477" t="n"/>
      <c r="L837" s="477" t="n"/>
      <c r="M837" s="477" t="n"/>
      <c r="N837" s="477" t="n"/>
      <c r="O837" s="477" t="n"/>
      <c r="P837" s="477" t="n"/>
      <c r="Q837" s="477" t="n"/>
      <c r="R837" s="477" t="n"/>
      <c r="S837" s="477" t="n"/>
      <c r="T837" s="477" t="n"/>
      <c r="U837" s="477" t="n"/>
      <c r="V837" s="477" t="n"/>
      <c r="W837" s="477" t="n"/>
      <c r="X837" s="477" t="n"/>
      <c r="Y837" s="477" t="n"/>
      <c r="Z837" s="477" t="n"/>
    </row>
    <row r="838" ht="15.75" customHeight="1">
      <c r="A838" s="477" t="n"/>
      <c r="B838" s="477" t="n"/>
      <c r="C838" s="477" t="n"/>
      <c r="D838" s="477" t="n"/>
      <c r="E838" s="477" t="n"/>
      <c r="F838" s="477" t="n"/>
      <c r="G838" s="477" t="n"/>
      <c r="H838" s="505" t="n"/>
      <c r="I838" s="477" t="n"/>
      <c r="J838" s="477" t="n"/>
      <c r="K838" s="477" t="n"/>
      <c r="L838" s="477" t="n"/>
      <c r="M838" s="477" t="n"/>
      <c r="N838" s="477" t="n"/>
      <c r="O838" s="477" t="n"/>
      <c r="P838" s="477" t="n"/>
      <c r="Q838" s="477" t="n"/>
      <c r="R838" s="477" t="n"/>
      <c r="S838" s="477" t="n"/>
      <c r="T838" s="477" t="n"/>
      <c r="U838" s="477" t="n"/>
      <c r="V838" s="477" t="n"/>
      <c r="W838" s="477" t="n"/>
      <c r="X838" s="477" t="n"/>
      <c r="Y838" s="477" t="n"/>
      <c r="Z838" s="477" t="n"/>
    </row>
    <row r="839" ht="15.75" customHeight="1">
      <c r="A839" s="477" t="n"/>
      <c r="B839" s="477" t="n"/>
      <c r="C839" s="477" t="n"/>
      <c r="D839" s="477" t="n"/>
      <c r="E839" s="477" t="n"/>
      <c r="F839" s="477" t="n"/>
      <c r="G839" s="477" t="n"/>
      <c r="H839" s="505" t="n"/>
      <c r="I839" s="477" t="n"/>
      <c r="J839" s="477" t="n"/>
      <c r="K839" s="477" t="n"/>
      <c r="L839" s="477" t="n"/>
      <c r="M839" s="477" t="n"/>
      <c r="N839" s="477" t="n"/>
      <c r="O839" s="477" t="n"/>
      <c r="P839" s="477" t="n"/>
      <c r="Q839" s="477" t="n"/>
      <c r="R839" s="477" t="n"/>
      <c r="S839" s="477" t="n"/>
      <c r="T839" s="477" t="n"/>
      <c r="U839" s="477" t="n"/>
      <c r="V839" s="477" t="n"/>
      <c r="W839" s="477" t="n"/>
      <c r="X839" s="477" t="n"/>
      <c r="Y839" s="477" t="n"/>
      <c r="Z839" s="477" t="n"/>
    </row>
    <row r="840" ht="15.75" customHeight="1">
      <c r="A840" s="477" t="n"/>
      <c r="B840" s="477" t="n"/>
      <c r="C840" s="477" t="n"/>
      <c r="D840" s="477" t="n"/>
      <c r="E840" s="477" t="n"/>
      <c r="F840" s="477" t="n"/>
      <c r="G840" s="477" t="n"/>
      <c r="H840" s="505" t="n"/>
      <c r="I840" s="477" t="n"/>
      <c r="J840" s="477" t="n"/>
      <c r="K840" s="477" t="n"/>
      <c r="L840" s="477" t="n"/>
      <c r="M840" s="477" t="n"/>
      <c r="N840" s="477" t="n"/>
      <c r="O840" s="477" t="n"/>
      <c r="P840" s="477" t="n"/>
      <c r="Q840" s="477" t="n"/>
      <c r="R840" s="477" t="n"/>
      <c r="S840" s="477" t="n"/>
      <c r="T840" s="477" t="n"/>
      <c r="U840" s="477" t="n"/>
      <c r="V840" s="477" t="n"/>
      <c r="W840" s="477" t="n"/>
      <c r="X840" s="477" t="n"/>
      <c r="Y840" s="477" t="n"/>
      <c r="Z840" s="477" t="n"/>
    </row>
    <row r="841" ht="15.75" customHeight="1">
      <c r="A841" s="477" t="n"/>
      <c r="B841" s="477" t="n"/>
      <c r="C841" s="477" t="n"/>
      <c r="D841" s="477" t="n"/>
      <c r="E841" s="477" t="n"/>
      <c r="F841" s="477" t="n"/>
      <c r="G841" s="477" t="n"/>
      <c r="H841" s="505" t="n"/>
      <c r="I841" s="477" t="n"/>
      <c r="J841" s="477" t="n"/>
      <c r="K841" s="477" t="n"/>
      <c r="L841" s="477" t="n"/>
      <c r="M841" s="477" t="n"/>
      <c r="N841" s="477" t="n"/>
      <c r="O841" s="477" t="n"/>
      <c r="P841" s="477" t="n"/>
      <c r="Q841" s="477" t="n"/>
      <c r="R841" s="477" t="n"/>
      <c r="S841" s="477" t="n"/>
      <c r="T841" s="477" t="n"/>
      <c r="U841" s="477" t="n"/>
      <c r="V841" s="477" t="n"/>
      <c r="W841" s="477" t="n"/>
      <c r="X841" s="477" t="n"/>
      <c r="Y841" s="477" t="n"/>
      <c r="Z841" s="477" t="n"/>
    </row>
    <row r="842" ht="15.75" customHeight="1">
      <c r="A842" s="477" t="n"/>
      <c r="B842" s="477" t="n"/>
      <c r="C842" s="477" t="n"/>
      <c r="D842" s="477" t="n"/>
      <c r="E842" s="477" t="n"/>
      <c r="F842" s="477" t="n"/>
      <c r="G842" s="477" t="n"/>
      <c r="H842" s="505" t="n"/>
      <c r="I842" s="477" t="n"/>
      <c r="J842" s="477" t="n"/>
      <c r="K842" s="477" t="n"/>
      <c r="L842" s="477" t="n"/>
      <c r="M842" s="477" t="n"/>
      <c r="N842" s="477" t="n"/>
      <c r="O842" s="477" t="n"/>
      <c r="P842" s="477" t="n"/>
      <c r="Q842" s="477" t="n"/>
      <c r="R842" s="477" t="n"/>
      <c r="S842" s="477" t="n"/>
      <c r="T842" s="477" t="n"/>
      <c r="U842" s="477" t="n"/>
      <c r="V842" s="477" t="n"/>
      <c r="W842" s="477" t="n"/>
      <c r="X842" s="477" t="n"/>
      <c r="Y842" s="477" t="n"/>
      <c r="Z842" s="477" t="n"/>
    </row>
    <row r="843" ht="15.75" customHeight="1">
      <c r="A843" s="477" t="n"/>
      <c r="B843" s="477" t="n"/>
      <c r="C843" s="477" t="n"/>
      <c r="D843" s="477" t="n"/>
      <c r="E843" s="477" t="n"/>
      <c r="F843" s="477" t="n"/>
      <c r="G843" s="477" t="n"/>
      <c r="H843" s="505" t="n"/>
      <c r="I843" s="477" t="n"/>
      <c r="J843" s="477" t="n"/>
      <c r="K843" s="477" t="n"/>
      <c r="L843" s="477" t="n"/>
      <c r="M843" s="477" t="n"/>
      <c r="N843" s="477" t="n"/>
      <c r="O843" s="477" t="n"/>
      <c r="P843" s="477" t="n"/>
      <c r="Q843" s="477" t="n"/>
      <c r="R843" s="477" t="n"/>
      <c r="S843" s="477" t="n"/>
      <c r="T843" s="477" t="n"/>
      <c r="U843" s="477" t="n"/>
      <c r="V843" s="477" t="n"/>
      <c r="W843" s="477" t="n"/>
      <c r="X843" s="477" t="n"/>
      <c r="Y843" s="477" t="n"/>
      <c r="Z843" s="477" t="n"/>
    </row>
    <row r="844" ht="15.75" customHeight="1">
      <c r="A844" s="477" t="n"/>
      <c r="B844" s="477" t="n"/>
      <c r="C844" s="477" t="n"/>
      <c r="D844" s="477" t="n"/>
      <c r="E844" s="477" t="n"/>
      <c r="F844" s="477" t="n"/>
      <c r="G844" s="477" t="n"/>
      <c r="H844" s="505" t="n"/>
      <c r="I844" s="477" t="n"/>
      <c r="J844" s="477" t="n"/>
      <c r="K844" s="477" t="n"/>
      <c r="L844" s="477" t="n"/>
      <c r="M844" s="477" t="n"/>
      <c r="N844" s="477" t="n"/>
      <c r="O844" s="477" t="n"/>
      <c r="P844" s="477" t="n"/>
      <c r="Q844" s="477" t="n"/>
      <c r="R844" s="477" t="n"/>
      <c r="S844" s="477" t="n"/>
      <c r="T844" s="477" t="n"/>
      <c r="U844" s="477" t="n"/>
      <c r="V844" s="477" t="n"/>
      <c r="W844" s="477" t="n"/>
      <c r="X844" s="477" t="n"/>
      <c r="Y844" s="477" t="n"/>
      <c r="Z844" s="477" t="n"/>
    </row>
    <row r="845" ht="15.75" customHeight="1">
      <c r="A845" s="477" t="n"/>
      <c r="B845" s="477" t="n"/>
      <c r="C845" s="477" t="n"/>
      <c r="D845" s="477" t="n"/>
      <c r="E845" s="477" t="n"/>
      <c r="F845" s="477" t="n"/>
      <c r="G845" s="477" t="n"/>
      <c r="H845" s="505" t="n"/>
      <c r="I845" s="477" t="n"/>
      <c r="J845" s="477" t="n"/>
      <c r="K845" s="477" t="n"/>
      <c r="L845" s="477" t="n"/>
      <c r="M845" s="477" t="n"/>
      <c r="N845" s="477" t="n"/>
      <c r="O845" s="477" t="n"/>
      <c r="P845" s="477" t="n"/>
      <c r="Q845" s="477" t="n"/>
      <c r="R845" s="477" t="n"/>
      <c r="S845" s="477" t="n"/>
      <c r="T845" s="477" t="n"/>
      <c r="U845" s="477" t="n"/>
      <c r="V845" s="477" t="n"/>
      <c r="W845" s="477" t="n"/>
      <c r="X845" s="477" t="n"/>
      <c r="Y845" s="477" t="n"/>
      <c r="Z845" s="477" t="n"/>
    </row>
    <row r="846" ht="15.75" customHeight="1">
      <c r="A846" s="477" t="n"/>
      <c r="B846" s="477" t="n"/>
      <c r="C846" s="477" t="n"/>
      <c r="D846" s="477" t="n"/>
      <c r="E846" s="477" t="n"/>
      <c r="F846" s="477" t="n"/>
      <c r="G846" s="477" t="n"/>
      <c r="H846" s="505" t="n"/>
      <c r="I846" s="477" t="n"/>
      <c r="J846" s="477" t="n"/>
      <c r="K846" s="477" t="n"/>
      <c r="L846" s="477" t="n"/>
      <c r="M846" s="477" t="n"/>
      <c r="N846" s="477" t="n"/>
      <c r="O846" s="477" t="n"/>
      <c r="P846" s="477" t="n"/>
      <c r="Q846" s="477" t="n"/>
      <c r="R846" s="477" t="n"/>
      <c r="S846" s="477" t="n"/>
      <c r="T846" s="477" t="n"/>
      <c r="U846" s="477" t="n"/>
      <c r="V846" s="477" t="n"/>
      <c r="W846" s="477" t="n"/>
      <c r="X846" s="477" t="n"/>
      <c r="Y846" s="477" t="n"/>
      <c r="Z846" s="477" t="n"/>
    </row>
    <row r="847" ht="15.75" customHeight="1">
      <c r="A847" s="477" t="n"/>
      <c r="B847" s="477" t="n"/>
      <c r="C847" s="477" t="n"/>
      <c r="D847" s="477" t="n"/>
      <c r="E847" s="477" t="n"/>
      <c r="F847" s="477" t="n"/>
      <c r="G847" s="477" t="n"/>
      <c r="H847" s="505" t="n"/>
      <c r="I847" s="477" t="n"/>
      <c r="J847" s="477" t="n"/>
      <c r="K847" s="477" t="n"/>
      <c r="L847" s="477" t="n"/>
      <c r="M847" s="477" t="n"/>
      <c r="N847" s="477" t="n"/>
      <c r="O847" s="477" t="n"/>
      <c r="P847" s="477" t="n"/>
      <c r="Q847" s="477" t="n"/>
      <c r="R847" s="477" t="n"/>
      <c r="S847" s="477" t="n"/>
      <c r="T847" s="477" t="n"/>
      <c r="U847" s="477" t="n"/>
      <c r="V847" s="477" t="n"/>
      <c r="W847" s="477" t="n"/>
      <c r="X847" s="477" t="n"/>
      <c r="Y847" s="477" t="n"/>
      <c r="Z847" s="477" t="n"/>
    </row>
    <row r="848" ht="15.75" customHeight="1">
      <c r="A848" s="477" t="n"/>
      <c r="B848" s="477" t="n"/>
      <c r="C848" s="477" t="n"/>
      <c r="D848" s="477" t="n"/>
      <c r="E848" s="477" t="n"/>
      <c r="F848" s="477" t="n"/>
      <c r="G848" s="477" t="n"/>
      <c r="H848" s="505" t="n"/>
      <c r="I848" s="477" t="n"/>
      <c r="J848" s="477" t="n"/>
      <c r="K848" s="477" t="n"/>
      <c r="L848" s="477" t="n"/>
      <c r="M848" s="477" t="n"/>
      <c r="N848" s="477" t="n"/>
      <c r="O848" s="477" t="n"/>
      <c r="P848" s="477" t="n"/>
      <c r="Q848" s="477" t="n"/>
      <c r="R848" s="477" t="n"/>
      <c r="S848" s="477" t="n"/>
      <c r="T848" s="477" t="n"/>
      <c r="U848" s="477" t="n"/>
      <c r="V848" s="477" t="n"/>
      <c r="W848" s="477" t="n"/>
      <c r="X848" s="477" t="n"/>
      <c r="Y848" s="477" t="n"/>
      <c r="Z848" s="477" t="n"/>
    </row>
    <row r="849" ht="15.75" customHeight="1">
      <c r="A849" s="477" t="n"/>
      <c r="B849" s="477" t="n"/>
      <c r="C849" s="477" t="n"/>
      <c r="D849" s="477" t="n"/>
      <c r="E849" s="477" t="n"/>
      <c r="F849" s="477" t="n"/>
      <c r="G849" s="477" t="n"/>
      <c r="H849" s="505" t="n"/>
      <c r="I849" s="477" t="n"/>
      <c r="J849" s="477" t="n"/>
      <c r="K849" s="477" t="n"/>
      <c r="L849" s="477" t="n"/>
      <c r="M849" s="477" t="n"/>
      <c r="N849" s="477" t="n"/>
      <c r="O849" s="477" t="n"/>
      <c r="P849" s="477" t="n"/>
      <c r="Q849" s="477" t="n"/>
      <c r="R849" s="477" t="n"/>
      <c r="S849" s="477" t="n"/>
      <c r="T849" s="477" t="n"/>
      <c r="U849" s="477" t="n"/>
      <c r="V849" s="477" t="n"/>
      <c r="W849" s="477" t="n"/>
      <c r="X849" s="477" t="n"/>
      <c r="Y849" s="477" t="n"/>
      <c r="Z849" s="477" t="n"/>
    </row>
    <row r="850" ht="15.75" customHeight="1">
      <c r="A850" s="477" t="n"/>
      <c r="B850" s="477" t="n"/>
      <c r="C850" s="477" t="n"/>
      <c r="D850" s="477" t="n"/>
      <c r="E850" s="477" t="n"/>
      <c r="F850" s="477" t="n"/>
      <c r="G850" s="477" t="n"/>
      <c r="H850" s="505" t="n"/>
      <c r="I850" s="477" t="n"/>
      <c r="J850" s="477" t="n"/>
      <c r="K850" s="477" t="n"/>
      <c r="L850" s="477" t="n"/>
      <c r="M850" s="477" t="n"/>
      <c r="N850" s="477" t="n"/>
      <c r="O850" s="477" t="n"/>
      <c r="P850" s="477" t="n"/>
      <c r="Q850" s="477" t="n"/>
      <c r="R850" s="477" t="n"/>
      <c r="S850" s="477" t="n"/>
      <c r="T850" s="477" t="n"/>
      <c r="U850" s="477" t="n"/>
      <c r="V850" s="477" t="n"/>
      <c r="W850" s="477" t="n"/>
      <c r="X850" s="477" t="n"/>
      <c r="Y850" s="477" t="n"/>
      <c r="Z850" s="477" t="n"/>
    </row>
    <row r="851" ht="15.75" customHeight="1">
      <c r="A851" s="477" t="n"/>
      <c r="B851" s="477" t="n"/>
      <c r="C851" s="477" t="n"/>
      <c r="D851" s="477" t="n"/>
      <c r="E851" s="477" t="n"/>
      <c r="F851" s="477" t="n"/>
      <c r="G851" s="477" t="n"/>
      <c r="H851" s="505" t="n"/>
      <c r="I851" s="477" t="n"/>
      <c r="J851" s="477" t="n"/>
      <c r="K851" s="477" t="n"/>
      <c r="L851" s="477" t="n"/>
      <c r="M851" s="477" t="n"/>
      <c r="N851" s="477" t="n"/>
      <c r="O851" s="477" t="n"/>
      <c r="P851" s="477" t="n"/>
      <c r="Q851" s="477" t="n"/>
      <c r="R851" s="477" t="n"/>
      <c r="S851" s="477" t="n"/>
      <c r="T851" s="477" t="n"/>
      <c r="U851" s="477" t="n"/>
      <c r="V851" s="477" t="n"/>
      <c r="W851" s="477" t="n"/>
      <c r="X851" s="477" t="n"/>
      <c r="Y851" s="477" t="n"/>
      <c r="Z851" s="477" t="n"/>
    </row>
    <row r="852" ht="15.75" customHeight="1">
      <c r="A852" s="477" t="n"/>
      <c r="B852" s="477" t="n"/>
      <c r="C852" s="477" t="n"/>
      <c r="D852" s="477" t="n"/>
      <c r="E852" s="477" t="n"/>
      <c r="F852" s="477" t="n"/>
      <c r="G852" s="477" t="n"/>
      <c r="H852" s="505" t="n"/>
      <c r="I852" s="477" t="n"/>
      <c r="J852" s="477" t="n"/>
      <c r="K852" s="477" t="n"/>
      <c r="L852" s="477" t="n"/>
      <c r="M852" s="477" t="n"/>
      <c r="N852" s="477" t="n"/>
      <c r="O852" s="477" t="n"/>
      <c r="P852" s="477" t="n"/>
      <c r="Q852" s="477" t="n"/>
      <c r="R852" s="477" t="n"/>
      <c r="S852" s="477" t="n"/>
      <c r="T852" s="477" t="n"/>
      <c r="U852" s="477" t="n"/>
      <c r="V852" s="477" t="n"/>
      <c r="W852" s="477" t="n"/>
      <c r="X852" s="477" t="n"/>
      <c r="Y852" s="477" t="n"/>
      <c r="Z852" s="477" t="n"/>
    </row>
    <row r="853" ht="15.75" customHeight="1">
      <c r="A853" s="477" t="n"/>
      <c r="B853" s="477" t="n"/>
      <c r="C853" s="477" t="n"/>
      <c r="D853" s="477" t="n"/>
      <c r="E853" s="477" t="n"/>
      <c r="F853" s="477" t="n"/>
      <c r="G853" s="477" t="n"/>
      <c r="H853" s="505" t="n"/>
      <c r="I853" s="477" t="n"/>
      <c r="J853" s="477" t="n"/>
      <c r="K853" s="477" t="n"/>
      <c r="L853" s="477" t="n"/>
      <c r="M853" s="477" t="n"/>
      <c r="N853" s="477" t="n"/>
      <c r="O853" s="477" t="n"/>
      <c r="P853" s="477" t="n"/>
      <c r="Q853" s="477" t="n"/>
      <c r="R853" s="477" t="n"/>
      <c r="S853" s="477" t="n"/>
      <c r="T853" s="477" t="n"/>
      <c r="U853" s="477" t="n"/>
      <c r="V853" s="477" t="n"/>
      <c r="W853" s="477" t="n"/>
      <c r="X853" s="477" t="n"/>
      <c r="Y853" s="477" t="n"/>
      <c r="Z853" s="477" t="n"/>
    </row>
    <row r="854" ht="15.75" customHeight="1">
      <c r="A854" s="477" t="n"/>
      <c r="B854" s="477" t="n"/>
      <c r="C854" s="477" t="n"/>
      <c r="D854" s="477" t="n"/>
      <c r="E854" s="477" t="n"/>
      <c r="F854" s="477" t="n"/>
      <c r="G854" s="477" t="n"/>
      <c r="H854" s="505" t="n"/>
      <c r="I854" s="477" t="n"/>
      <c r="J854" s="477" t="n"/>
      <c r="K854" s="477" t="n"/>
      <c r="L854" s="477" t="n"/>
      <c r="M854" s="477" t="n"/>
      <c r="N854" s="477" t="n"/>
      <c r="O854" s="477" t="n"/>
      <c r="P854" s="477" t="n"/>
      <c r="Q854" s="477" t="n"/>
      <c r="R854" s="477" t="n"/>
      <c r="S854" s="477" t="n"/>
      <c r="T854" s="477" t="n"/>
      <c r="U854" s="477" t="n"/>
      <c r="V854" s="477" t="n"/>
      <c r="W854" s="477" t="n"/>
      <c r="X854" s="477" t="n"/>
      <c r="Y854" s="477" t="n"/>
      <c r="Z854" s="477" t="n"/>
    </row>
    <row r="855" ht="15.75" customHeight="1">
      <c r="A855" s="477" t="n"/>
      <c r="B855" s="477" t="n"/>
      <c r="C855" s="477" t="n"/>
      <c r="D855" s="477" t="n"/>
      <c r="E855" s="477" t="n"/>
      <c r="F855" s="477" t="n"/>
      <c r="G855" s="477" t="n"/>
      <c r="H855" s="505" t="n"/>
      <c r="I855" s="477" t="n"/>
      <c r="J855" s="477" t="n"/>
      <c r="K855" s="477" t="n"/>
      <c r="L855" s="477" t="n"/>
      <c r="M855" s="477" t="n"/>
      <c r="N855" s="477" t="n"/>
      <c r="O855" s="477" t="n"/>
      <c r="P855" s="477" t="n"/>
      <c r="Q855" s="477" t="n"/>
      <c r="R855" s="477" t="n"/>
      <c r="S855" s="477" t="n"/>
      <c r="T855" s="477" t="n"/>
      <c r="U855" s="477" t="n"/>
      <c r="V855" s="477" t="n"/>
      <c r="W855" s="477" t="n"/>
      <c r="X855" s="477" t="n"/>
      <c r="Y855" s="477" t="n"/>
      <c r="Z855" s="477" t="n"/>
    </row>
    <row r="856" ht="15.75" customHeight="1">
      <c r="A856" s="477" t="n"/>
      <c r="B856" s="477" t="n"/>
      <c r="C856" s="477" t="n"/>
      <c r="D856" s="477" t="n"/>
      <c r="E856" s="477" t="n"/>
      <c r="F856" s="477" t="n"/>
      <c r="G856" s="477" t="n"/>
      <c r="H856" s="505" t="n"/>
      <c r="I856" s="477" t="n"/>
      <c r="J856" s="477" t="n"/>
      <c r="K856" s="477" t="n"/>
      <c r="L856" s="477" t="n"/>
      <c r="M856" s="477" t="n"/>
      <c r="N856" s="477" t="n"/>
      <c r="O856" s="477" t="n"/>
      <c r="P856" s="477" t="n"/>
      <c r="Q856" s="477" t="n"/>
      <c r="R856" s="477" t="n"/>
      <c r="S856" s="477" t="n"/>
      <c r="T856" s="477" t="n"/>
      <c r="U856" s="477" t="n"/>
      <c r="V856" s="477" t="n"/>
      <c r="W856" s="477" t="n"/>
      <c r="X856" s="477" t="n"/>
      <c r="Y856" s="477" t="n"/>
      <c r="Z856" s="477" t="n"/>
    </row>
    <row r="857" ht="15.75" customHeight="1">
      <c r="A857" s="477" t="n"/>
      <c r="B857" s="477" t="n"/>
      <c r="C857" s="477" t="n"/>
      <c r="D857" s="477" t="n"/>
      <c r="E857" s="477" t="n"/>
      <c r="F857" s="477" t="n"/>
      <c r="G857" s="477" t="n"/>
      <c r="H857" s="505" t="n"/>
      <c r="I857" s="477" t="n"/>
      <c r="J857" s="477" t="n"/>
      <c r="K857" s="477" t="n"/>
      <c r="L857" s="477" t="n"/>
      <c r="M857" s="477" t="n"/>
      <c r="N857" s="477" t="n"/>
      <c r="O857" s="477" t="n"/>
      <c r="P857" s="477" t="n"/>
      <c r="Q857" s="477" t="n"/>
      <c r="R857" s="477" t="n"/>
      <c r="S857" s="477" t="n"/>
      <c r="T857" s="477" t="n"/>
      <c r="U857" s="477" t="n"/>
      <c r="V857" s="477" t="n"/>
      <c r="W857" s="477" t="n"/>
      <c r="X857" s="477" t="n"/>
      <c r="Y857" s="477" t="n"/>
      <c r="Z857" s="477" t="n"/>
    </row>
    <row r="858" ht="15.75" customHeight="1">
      <c r="A858" s="477" t="n"/>
      <c r="B858" s="477" t="n"/>
      <c r="C858" s="477" t="n"/>
      <c r="D858" s="477" t="n"/>
      <c r="E858" s="477" t="n"/>
      <c r="F858" s="477" t="n"/>
      <c r="G858" s="477" t="n"/>
      <c r="H858" s="505" t="n"/>
      <c r="I858" s="477" t="n"/>
      <c r="J858" s="477" t="n"/>
      <c r="K858" s="477" t="n"/>
      <c r="L858" s="477" t="n"/>
      <c r="M858" s="477" t="n"/>
      <c r="N858" s="477" t="n"/>
      <c r="O858" s="477" t="n"/>
      <c r="P858" s="477" t="n"/>
      <c r="Q858" s="477" t="n"/>
      <c r="R858" s="477" t="n"/>
      <c r="S858" s="477" t="n"/>
      <c r="T858" s="477" t="n"/>
      <c r="U858" s="477" t="n"/>
      <c r="V858" s="477" t="n"/>
      <c r="W858" s="477" t="n"/>
      <c r="X858" s="477" t="n"/>
      <c r="Y858" s="477" t="n"/>
      <c r="Z858" s="477" t="n"/>
    </row>
    <row r="859" ht="15.75" customHeight="1">
      <c r="A859" s="477" t="n"/>
      <c r="B859" s="477" t="n"/>
      <c r="C859" s="477" t="n"/>
      <c r="D859" s="477" t="n"/>
      <c r="E859" s="477" t="n"/>
      <c r="F859" s="477" t="n"/>
      <c r="G859" s="477" t="n"/>
      <c r="H859" s="505" t="n"/>
      <c r="I859" s="477" t="n"/>
      <c r="J859" s="477" t="n"/>
      <c r="K859" s="477" t="n"/>
      <c r="L859" s="477" t="n"/>
      <c r="M859" s="477" t="n"/>
      <c r="N859" s="477" t="n"/>
      <c r="O859" s="477" t="n"/>
      <c r="P859" s="477" t="n"/>
      <c r="Q859" s="477" t="n"/>
      <c r="R859" s="477" t="n"/>
      <c r="S859" s="477" t="n"/>
      <c r="T859" s="477" t="n"/>
      <c r="U859" s="477" t="n"/>
      <c r="V859" s="477" t="n"/>
      <c r="W859" s="477" t="n"/>
      <c r="X859" s="477" t="n"/>
      <c r="Y859" s="477" t="n"/>
      <c r="Z859" s="477" t="n"/>
    </row>
    <row r="860" ht="15.75" customHeight="1">
      <c r="A860" s="477" t="n"/>
      <c r="B860" s="477" t="n"/>
      <c r="C860" s="477" t="n"/>
      <c r="D860" s="477" t="n"/>
      <c r="E860" s="477" t="n"/>
      <c r="F860" s="477" t="n"/>
      <c r="G860" s="477" t="n"/>
      <c r="H860" s="505" t="n"/>
      <c r="I860" s="477" t="n"/>
      <c r="J860" s="477" t="n"/>
      <c r="K860" s="477" t="n"/>
      <c r="L860" s="477" t="n"/>
      <c r="M860" s="477" t="n"/>
      <c r="N860" s="477" t="n"/>
      <c r="O860" s="477" t="n"/>
      <c r="P860" s="477" t="n"/>
      <c r="Q860" s="477" t="n"/>
      <c r="R860" s="477" t="n"/>
      <c r="S860" s="477" t="n"/>
      <c r="T860" s="477" t="n"/>
      <c r="U860" s="477" t="n"/>
      <c r="V860" s="477" t="n"/>
      <c r="W860" s="477" t="n"/>
      <c r="X860" s="477" t="n"/>
      <c r="Y860" s="477" t="n"/>
      <c r="Z860" s="477" t="n"/>
    </row>
    <row r="861" ht="15.75" customHeight="1">
      <c r="A861" s="477" t="n"/>
      <c r="B861" s="477" t="n"/>
      <c r="C861" s="477" t="n"/>
      <c r="D861" s="477" t="n"/>
      <c r="E861" s="477" t="n"/>
      <c r="F861" s="477" t="n"/>
      <c r="G861" s="477" t="n"/>
      <c r="H861" s="505" t="n"/>
      <c r="I861" s="477" t="n"/>
      <c r="J861" s="477" t="n"/>
      <c r="K861" s="477" t="n"/>
      <c r="L861" s="477" t="n"/>
      <c r="M861" s="477" t="n"/>
      <c r="N861" s="477" t="n"/>
      <c r="O861" s="477" t="n"/>
      <c r="P861" s="477" t="n"/>
      <c r="Q861" s="477" t="n"/>
      <c r="R861" s="477" t="n"/>
      <c r="S861" s="477" t="n"/>
      <c r="T861" s="477" t="n"/>
      <c r="U861" s="477" t="n"/>
      <c r="V861" s="477" t="n"/>
      <c r="W861" s="477" t="n"/>
      <c r="X861" s="477" t="n"/>
      <c r="Y861" s="477" t="n"/>
      <c r="Z861" s="477" t="n"/>
    </row>
    <row r="862" ht="15.75" customHeight="1">
      <c r="A862" s="477" t="n"/>
      <c r="B862" s="477" t="n"/>
      <c r="C862" s="477" t="n"/>
      <c r="D862" s="477" t="n"/>
      <c r="E862" s="477" t="n"/>
      <c r="F862" s="477" t="n"/>
      <c r="G862" s="477" t="n"/>
      <c r="H862" s="505" t="n"/>
      <c r="I862" s="477" t="n"/>
      <c r="J862" s="477" t="n"/>
      <c r="K862" s="477" t="n"/>
      <c r="L862" s="477" t="n"/>
      <c r="M862" s="477" t="n"/>
      <c r="N862" s="477" t="n"/>
      <c r="O862" s="477" t="n"/>
      <c r="P862" s="477" t="n"/>
      <c r="Q862" s="477" t="n"/>
      <c r="R862" s="477" t="n"/>
      <c r="S862" s="477" t="n"/>
      <c r="T862" s="477" t="n"/>
      <c r="U862" s="477" t="n"/>
      <c r="V862" s="477" t="n"/>
      <c r="W862" s="477" t="n"/>
      <c r="X862" s="477" t="n"/>
      <c r="Y862" s="477" t="n"/>
      <c r="Z862" s="477" t="n"/>
    </row>
    <row r="863" ht="15.75" customHeight="1">
      <c r="A863" s="477" t="n"/>
      <c r="B863" s="477" t="n"/>
      <c r="C863" s="477" t="n"/>
      <c r="D863" s="477" t="n"/>
      <c r="E863" s="477" t="n"/>
      <c r="F863" s="477" t="n"/>
      <c r="G863" s="477" t="n"/>
      <c r="H863" s="505" t="n"/>
      <c r="I863" s="477" t="n"/>
      <c r="J863" s="477" t="n"/>
      <c r="K863" s="477" t="n"/>
      <c r="L863" s="477" t="n"/>
      <c r="M863" s="477" t="n"/>
      <c r="N863" s="477" t="n"/>
      <c r="O863" s="477" t="n"/>
      <c r="P863" s="477" t="n"/>
      <c r="Q863" s="477" t="n"/>
      <c r="R863" s="477" t="n"/>
      <c r="S863" s="477" t="n"/>
      <c r="T863" s="477" t="n"/>
      <c r="U863" s="477" t="n"/>
      <c r="V863" s="477" t="n"/>
      <c r="W863" s="477" t="n"/>
      <c r="X863" s="477" t="n"/>
      <c r="Y863" s="477" t="n"/>
      <c r="Z863" s="477" t="n"/>
    </row>
    <row r="864" ht="15.75" customHeight="1">
      <c r="A864" s="477" t="n"/>
      <c r="B864" s="477" t="n"/>
      <c r="C864" s="477" t="n"/>
      <c r="D864" s="477" t="n"/>
      <c r="E864" s="477" t="n"/>
      <c r="F864" s="477" t="n"/>
      <c r="G864" s="477" t="n"/>
      <c r="H864" s="505" t="n"/>
      <c r="I864" s="477" t="n"/>
      <c r="J864" s="477" t="n"/>
      <c r="K864" s="477" t="n"/>
      <c r="L864" s="477" t="n"/>
      <c r="M864" s="477" t="n"/>
      <c r="N864" s="477" t="n"/>
      <c r="O864" s="477" t="n"/>
      <c r="P864" s="477" t="n"/>
      <c r="Q864" s="477" t="n"/>
      <c r="R864" s="477" t="n"/>
      <c r="S864" s="477" t="n"/>
      <c r="T864" s="477" t="n"/>
      <c r="U864" s="477" t="n"/>
      <c r="V864" s="477" t="n"/>
      <c r="W864" s="477" t="n"/>
      <c r="X864" s="477" t="n"/>
      <c r="Y864" s="477" t="n"/>
      <c r="Z864" s="477" t="n"/>
    </row>
    <row r="865" ht="15.75" customHeight="1">
      <c r="A865" s="477" t="n"/>
      <c r="B865" s="477" t="n"/>
      <c r="C865" s="477" t="n"/>
      <c r="D865" s="477" t="n"/>
      <c r="E865" s="477" t="n"/>
      <c r="F865" s="477" t="n"/>
      <c r="G865" s="477" t="n"/>
      <c r="H865" s="505" t="n"/>
      <c r="I865" s="477" t="n"/>
      <c r="J865" s="477" t="n"/>
      <c r="K865" s="477" t="n"/>
      <c r="L865" s="477" t="n"/>
      <c r="M865" s="477" t="n"/>
      <c r="N865" s="477" t="n"/>
      <c r="O865" s="477" t="n"/>
      <c r="P865" s="477" t="n"/>
      <c r="Q865" s="477" t="n"/>
      <c r="R865" s="477" t="n"/>
      <c r="S865" s="477" t="n"/>
      <c r="T865" s="477" t="n"/>
      <c r="U865" s="477" t="n"/>
      <c r="V865" s="477" t="n"/>
      <c r="W865" s="477" t="n"/>
      <c r="X865" s="477" t="n"/>
      <c r="Y865" s="477" t="n"/>
      <c r="Z865" s="477" t="n"/>
    </row>
    <row r="866" ht="15.75" customHeight="1">
      <c r="A866" s="477" t="n"/>
      <c r="B866" s="477" t="n"/>
      <c r="C866" s="477" t="n"/>
      <c r="D866" s="477" t="n"/>
      <c r="E866" s="477" t="n"/>
      <c r="F866" s="477" t="n"/>
      <c r="G866" s="477" t="n"/>
      <c r="H866" s="505" t="n"/>
      <c r="I866" s="477" t="n"/>
      <c r="J866" s="477" t="n"/>
      <c r="K866" s="477" t="n"/>
      <c r="L866" s="477" t="n"/>
      <c r="M866" s="477" t="n"/>
      <c r="N866" s="477" t="n"/>
      <c r="O866" s="477" t="n"/>
      <c r="P866" s="477" t="n"/>
      <c r="Q866" s="477" t="n"/>
      <c r="R866" s="477" t="n"/>
      <c r="S866" s="477" t="n"/>
      <c r="T866" s="477" t="n"/>
      <c r="U866" s="477" t="n"/>
      <c r="V866" s="477" t="n"/>
      <c r="W866" s="477" t="n"/>
      <c r="X866" s="477" t="n"/>
      <c r="Y866" s="477" t="n"/>
      <c r="Z866" s="477" t="n"/>
    </row>
    <row r="867" ht="15.75" customHeight="1">
      <c r="A867" s="477" t="n"/>
      <c r="B867" s="477" t="n"/>
      <c r="C867" s="477" t="n"/>
      <c r="D867" s="477" t="n"/>
      <c r="E867" s="477" t="n"/>
      <c r="F867" s="477" t="n"/>
      <c r="G867" s="477" t="n"/>
      <c r="H867" s="505" t="n"/>
      <c r="I867" s="477" t="n"/>
      <c r="J867" s="477" t="n"/>
      <c r="K867" s="477" t="n"/>
      <c r="L867" s="477" t="n"/>
      <c r="M867" s="477" t="n"/>
      <c r="N867" s="477" t="n"/>
      <c r="O867" s="477" t="n"/>
      <c r="P867" s="477" t="n"/>
      <c r="Q867" s="477" t="n"/>
      <c r="R867" s="477" t="n"/>
      <c r="S867" s="477" t="n"/>
      <c r="T867" s="477" t="n"/>
      <c r="U867" s="477" t="n"/>
      <c r="V867" s="477" t="n"/>
      <c r="W867" s="477" t="n"/>
      <c r="X867" s="477" t="n"/>
      <c r="Y867" s="477" t="n"/>
      <c r="Z867" s="477" t="n"/>
    </row>
    <row r="868" ht="15.75" customHeight="1">
      <c r="A868" s="477" t="n"/>
      <c r="B868" s="477" t="n"/>
      <c r="C868" s="477" t="n"/>
      <c r="D868" s="477" t="n"/>
      <c r="E868" s="477" t="n"/>
      <c r="F868" s="477" t="n"/>
      <c r="G868" s="477" t="n"/>
      <c r="H868" s="505" t="n"/>
      <c r="I868" s="477" t="n"/>
      <c r="J868" s="477" t="n"/>
      <c r="K868" s="477" t="n"/>
      <c r="L868" s="477" t="n"/>
      <c r="M868" s="477" t="n"/>
      <c r="N868" s="477" t="n"/>
      <c r="O868" s="477" t="n"/>
      <c r="P868" s="477" t="n"/>
      <c r="Q868" s="477" t="n"/>
      <c r="R868" s="477" t="n"/>
      <c r="S868" s="477" t="n"/>
      <c r="T868" s="477" t="n"/>
      <c r="U868" s="477" t="n"/>
      <c r="V868" s="477" t="n"/>
      <c r="W868" s="477" t="n"/>
      <c r="X868" s="477" t="n"/>
      <c r="Y868" s="477" t="n"/>
      <c r="Z868" s="477" t="n"/>
    </row>
    <row r="869" ht="15.75" customHeight="1">
      <c r="A869" s="477" t="n"/>
      <c r="B869" s="477" t="n"/>
      <c r="C869" s="477" t="n"/>
      <c r="D869" s="477" t="n"/>
      <c r="E869" s="477" t="n"/>
      <c r="F869" s="477" t="n"/>
      <c r="G869" s="477" t="n"/>
      <c r="H869" s="505" t="n"/>
      <c r="I869" s="477" t="n"/>
      <c r="J869" s="477" t="n"/>
      <c r="K869" s="477" t="n"/>
      <c r="L869" s="477" t="n"/>
      <c r="M869" s="477" t="n"/>
      <c r="N869" s="477" t="n"/>
      <c r="O869" s="477" t="n"/>
      <c r="P869" s="477" t="n"/>
      <c r="Q869" s="477" t="n"/>
      <c r="R869" s="477" t="n"/>
      <c r="S869" s="477" t="n"/>
      <c r="T869" s="477" t="n"/>
      <c r="U869" s="477" t="n"/>
      <c r="V869" s="477" t="n"/>
      <c r="W869" s="477" t="n"/>
      <c r="X869" s="477" t="n"/>
      <c r="Y869" s="477" t="n"/>
      <c r="Z869" s="477" t="n"/>
    </row>
    <row r="870" ht="15.75" customHeight="1">
      <c r="A870" s="477" t="n"/>
      <c r="B870" s="477" t="n"/>
      <c r="C870" s="477" t="n"/>
      <c r="D870" s="477" t="n"/>
      <c r="E870" s="477" t="n"/>
      <c r="F870" s="477" t="n"/>
      <c r="G870" s="477" t="n"/>
      <c r="H870" s="505" t="n"/>
      <c r="I870" s="477" t="n"/>
      <c r="J870" s="477" t="n"/>
      <c r="K870" s="477" t="n"/>
      <c r="L870" s="477" t="n"/>
      <c r="M870" s="477" t="n"/>
      <c r="N870" s="477" t="n"/>
      <c r="O870" s="477" t="n"/>
      <c r="P870" s="477" t="n"/>
      <c r="Q870" s="477" t="n"/>
      <c r="R870" s="477" t="n"/>
      <c r="S870" s="477" t="n"/>
      <c r="T870" s="477" t="n"/>
      <c r="U870" s="477" t="n"/>
      <c r="V870" s="477" t="n"/>
      <c r="W870" s="477" t="n"/>
      <c r="X870" s="477" t="n"/>
      <c r="Y870" s="477" t="n"/>
      <c r="Z870" s="477" t="n"/>
    </row>
    <row r="871" ht="15.75" customHeight="1">
      <c r="A871" s="477" t="n"/>
      <c r="B871" s="477" t="n"/>
      <c r="C871" s="477" t="n"/>
      <c r="D871" s="477" t="n"/>
      <c r="E871" s="477" t="n"/>
      <c r="F871" s="477" t="n"/>
      <c r="G871" s="477" t="n"/>
      <c r="H871" s="505" t="n"/>
      <c r="I871" s="477" t="n"/>
      <c r="J871" s="477" t="n"/>
      <c r="K871" s="477" t="n"/>
      <c r="L871" s="477" t="n"/>
      <c r="M871" s="477" t="n"/>
      <c r="N871" s="477" t="n"/>
      <c r="O871" s="477" t="n"/>
      <c r="P871" s="477" t="n"/>
      <c r="Q871" s="477" t="n"/>
      <c r="R871" s="477" t="n"/>
      <c r="S871" s="477" t="n"/>
      <c r="T871" s="477" t="n"/>
      <c r="U871" s="477" t="n"/>
      <c r="V871" s="477" t="n"/>
      <c r="W871" s="477" t="n"/>
      <c r="X871" s="477" t="n"/>
      <c r="Y871" s="477" t="n"/>
      <c r="Z871" s="477" t="n"/>
    </row>
    <row r="872" ht="15.75" customHeight="1">
      <c r="A872" s="477" t="n"/>
      <c r="B872" s="477" t="n"/>
      <c r="C872" s="477" t="n"/>
      <c r="D872" s="477" t="n"/>
      <c r="E872" s="477" t="n"/>
      <c r="F872" s="477" t="n"/>
      <c r="G872" s="477" t="n"/>
      <c r="H872" s="505" t="n"/>
      <c r="I872" s="477" t="n"/>
      <c r="J872" s="477" t="n"/>
      <c r="K872" s="477" t="n"/>
      <c r="L872" s="477" t="n"/>
      <c r="M872" s="477" t="n"/>
      <c r="N872" s="477" t="n"/>
      <c r="O872" s="477" t="n"/>
      <c r="P872" s="477" t="n"/>
      <c r="Q872" s="477" t="n"/>
      <c r="R872" s="477" t="n"/>
      <c r="S872" s="477" t="n"/>
      <c r="T872" s="477" t="n"/>
      <c r="U872" s="477" t="n"/>
      <c r="V872" s="477" t="n"/>
      <c r="W872" s="477" t="n"/>
      <c r="X872" s="477" t="n"/>
      <c r="Y872" s="477" t="n"/>
      <c r="Z872" s="477" t="n"/>
    </row>
    <row r="873" ht="15.75" customHeight="1">
      <c r="A873" s="477" t="n"/>
      <c r="B873" s="477" t="n"/>
      <c r="C873" s="477" t="n"/>
      <c r="D873" s="477" t="n"/>
      <c r="E873" s="477" t="n"/>
      <c r="F873" s="477" t="n"/>
      <c r="G873" s="477" t="n"/>
      <c r="H873" s="505" t="n"/>
      <c r="I873" s="477" t="n"/>
      <c r="J873" s="477" t="n"/>
      <c r="K873" s="477" t="n"/>
      <c r="L873" s="477" t="n"/>
      <c r="M873" s="477" t="n"/>
      <c r="N873" s="477" t="n"/>
      <c r="O873" s="477" t="n"/>
      <c r="P873" s="477" t="n"/>
      <c r="Q873" s="477" t="n"/>
      <c r="R873" s="477" t="n"/>
      <c r="S873" s="477" t="n"/>
      <c r="T873" s="477" t="n"/>
      <c r="U873" s="477" t="n"/>
      <c r="V873" s="477" t="n"/>
      <c r="W873" s="477" t="n"/>
      <c r="X873" s="477" t="n"/>
      <c r="Y873" s="477" t="n"/>
      <c r="Z873" s="477" t="n"/>
    </row>
    <row r="874" ht="15.75" customHeight="1">
      <c r="A874" s="477" t="n"/>
      <c r="B874" s="477" t="n"/>
      <c r="C874" s="477" t="n"/>
      <c r="D874" s="477" t="n"/>
      <c r="E874" s="477" t="n"/>
      <c r="F874" s="477" t="n"/>
      <c r="G874" s="477" t="n"/>
      <c r="H874" s="505" t="n"/>
      <c r="I874" s="477" t="n"/>
      <c r="J874" s="477" t="n"/>
      <c r="K874" s="477" t="n"/>
      <c r="L874" s="477" t="n"/>
      <c r="M874" s="477" t="n"/>
      <c r="N874" s="477" t="n"/>
      <c r="O874" s="477" t="n"/>
      <c r="P874" s="477" t="n"/>
      <c r="Q874" s="477" t="n"/>
      <c r="R874" s="477" t="n"/>
      <c r="S874" s="477" t="n"/>
      <c r="T874" s="477" t="n"/>
      <c r="U874" s="477" t="n"/>
      <c r="V874" s="477" t="n"/>
      <c r="W874" s="477" t="n"/>
      <c r="X874" s="477" t="n"/>
      <c r="Y874" s="477" t="n"/>
      <c r="Z874" s="477" t="n"/>
    </row>
    <row r="875" ht="15.75" customHeight="1">
      <c r="A875" s="477" t="n"/>
      <c r="B875" s="477" t="n"/>
      <c r="C875" s="477" t="n"/>
      <c r="D875" s="477" t="n"/>
      <c r="E875" s="477" t="n"/>
      <c r="F875" s="477" t="n"/>
      <c r="G875" s="477" t="n"/>
      <c r="H875" s="505" t="n"/>
      <c r="I875" s="477" t="n"/>
      <c r="J875" s="477" t="n"/>
      <c r="K875" s="477" t="n"/>
      <c r="L875" s="477" t="n"/>
      <c r="M875" s="477" t="n"/>
      <c r="N875" s="477" t="n"/>
      <c r="O875" s="477" t="n"/>
      <c r="P875" s="477" t="n"/>
      <c r="Q875" s="477" t="n"/>
      <c r="R875" s="477" t="n"/>
      <c r="S875" s="477" t="n"/>
      <c r="T875" s="477" t="n"/>
      <c r="U875" s="477" t="n"/>
      <c r="V875" s="477" t="n"/>
      <c r="W875" s="477" t="n"/>
      <c r="X875" s="477" t="n"/>
      <c r="Y875" s="477" t="n"/>
      <c r="Z875" s="477" t="n"/>
    </row>
    <row r="876" ht="15.75" customHeight="1">
      <c r="A876" s="477" t="n"/>
      <c r="B876" s="477" t="n"/>
      <c r="C876" s="477" t="n"/>
      <c r="D876" s="477" t="n"/>
      <c r="E876" s="477" t="n"/>
      <c r="F876" s="477" t="n"/>
      <c r="G876" s="477" t="n"/>
      <c r="H876" s="505" t="n"/>
      <c r="I876" s="477" t="n"/>
      <c r="J876" s="477" t="n"/>
      <c r="K876" s="477" t="n"/>
      <c r="L876" s="477" t="n"/>
      <c r="M876" s="477" t="n"/>
      <c r="N876" s="477" t="n"/>
      <c r="O876" s="477" t="n"/>
      <c r="P876" s="477" t="n"/>
      <c r="Q876" s="477" t="n"/>
      <c r="R876" s="477" t="n"/>
      <c r="S876" s="477" t="n"/>
      <c r="T876" s="477" t="n"/>
      <c r="U876" s="477" t="n"/>
      <c r="V876" s="477" t="n"/>
      <c r="W876" s="477" t="n"/>
      <c r="X876" s="477" t="n"/>
      <c r="Y876" s="477" t="n"/>
      <c r="Z876" s="477" t="n"/>
    </row>
    <row r="877" ht="15.75" customHeight="1">
      <c r="A877" s="477" t="n"/>
      <c r="B877" s="477" t="n"/>
      <c r="C877" s="477" t="n"/>
      <c r="D877" s="477" t="n"/>
      <c r="E877" s="477" t="n"/>
      <c r="F877" s="477" t="n"/>
      <c r="G877" s="477" t="n"/>
      <c r="H877" s="505" t="n"/>
      <c r="I877" s="477" t="n"/>
      <c r="J877" s="477" t="n"/>
      <c r="K877" s="477" t="n"/>
      <c r="L877" s="477" t="n"/>
      <c r="M877" s="477" t="n"/>
      <c r="N877" s="477" t="n"/>
      <c r="O877" s="477" t="n"/>
      <c r="P877" s="477" t="n"/>
      <c r="Q877" s="477" t="n"/>
      <c r="R877" s="477" t="n"/>
      <c r="S877" s="477" t="n"/>
      <c r="T877" s="477" t="n"/>
      <c r="U877" s="477" t="n"/>
      <c r="V877" s="477" t="n"/>
      <c r="W877" s="477" t="n"/>
      <c r="X877" s="477" t="n"/>
      <c r="Y877" s="477" t="n"/>
      <c r="Z877" s="477" t="n"/>
    </row>
    <row r="878" ht="15.75" customHeight="1">
      <c r="A878" s="477" t="n"/>
      <c r="B878" s="477" t="n"/>
      <c r="C878" s="477" t="n"/>
      <c r="D878" s="477" t="n"/>
      <c r="E878" s="477" t="n"/>
      <c r="F878" s="477" t="n"/>
      <c r="G878" s="477" t="n"/>
      <c r="H878" s="505" t="n"/>
      <c r="I878" s="477" t="n"/>
      <c r="J878" s="477" t="n"/>
      <c r="K878" s="477" t="n"/>
      <c r="L878" s="477" t="n"/>
      <c r="M878" s="477" t="n"/>
      <c r="N878" s="477" t="n"/>
      <c r="O878" s="477" t="n"/>
      <c r="P878" s="477" t="n"/>
      <c r="Q878" s="477" t="n"/>
      <c r="R878" s="477" t="n"/>
      <c r="S878" s="477" t="n"/>
      <c r="T878" s="477" t="n"/>
      <c r="U878" s="477" t="n"/>
      <c r="V878" s="477" t="n"/>
      <c r="W878" s="477" t="n"/>
      <c r="X878" s="477" t="n"/>
      <c r="Y878" s="477" t="n"/>
      <c r="Z878" s="477" t="n"/>
    </row>
    <row r="879" ht="15.75" customHeight="1">
      <c r="A879" s="477" t="n"/>
      <c r="B879" s="477" t="n"/>
      <c r="C879" s="477" t="n"/>
      <c r="D879" s="477" t="n"/>
      <c r="E879" s="477" t="n"/>
      <c r="F879" s="477" t="n"/>
      <c r="G879" s="477" t="n"/>
      <c r="H879" s="505" t="n"/>
      <c r="I879" s="477" t="n"/>
      <c r="J879" s="477" t="n"/>
      <c r="K879" s="477" t="n"/>
      <c r="L879" s="477" t="n"/>
      <c r="M879" s="477" t="n"/>
      <c r="N879" s="477" t="n"/>
      <c r="O879" s="477" t="n"/>
      <c r="P879" s="477" t="n"/>
      <c r="Q879" s="477" t="n"/>
      <c r="R879" s="477" t="n"/>
      <c r="S879" s="477" t="n"/>
      <c r="T879" s="477" t="n"/>
      <c r="U879" s="477" t="n"/>
      <c r="V879" s="477" t="n"/>
      <c r="W879" s="477" t="n"/>
      <c r="X879" s="477" t="n"/>
      <c r="Y879" s="477" t="n"/>
      <c r="Z879" s="477" t="n"/>
    </row>
    <row r="880" ht="15.75" customHeight="1">
      <c r="A880" s="477" t="n"/>
      <c r="B880" s="477" t="n"/>
      <c r="C880" s="477" t="n"/>
      <c r="D880" s="477" t="n"/>
      <c r="E880" s="477" t="n"/>
      <c r="F880" s="477" t="n"/>
      <c r="G880" s="477" t="n"/>
      <c r="H880" s="505" t="n"/>
      <c r="I880" s="477" t="n"/>
      <c r="J880" s="477" t="n"/>
      <c r="K880" s="477" t="n"/>
      <c r="L880" s="477" t="n"/>
      <c r="M880" s="477" t="n"/>
      <c r="N880" s="477" t="n"/>
      <c r="O880" s="477" t="n"/>
      <c r="P880" s="477" t="n"/>
      <c r="Q880" s="477" t="n"/>
      <c r="R880" s="477" t="n"/>
      <c r="S880" s="477" t="n"/>
      <c r="T880" s="477" t="n"/>
      <c r="U880" s="477" t="n"/>
      <c r="V880" s="477" t="n"/>
      <c r="W880" s="477" t="n"/>
      <c r="X880" s="477" t="n"/>
      <c r="Y880" s="477" t="n"/>
      <c r="Z880" s="477" t="n"/>
    </row>
    <row r="881" ht="15.75" customHeight="1">
      <c r="A881" s="477" t="n"/>
      <c r="B881" s="477" t="n"/>
      <c r="C881" s="477" t="n"/>
      <c r="D881" s="477" t="n"/>
      <c r="E881" s="477" t="n"/>
      <c r="F881" s="477" t="n"/>
      <c r="G881" s="477" t="n"/>
      <c r="H881" s="505" t="n"/>
      <c r="I881" s="477" t="n"/>
      <c r="J881" s="477" t="n"/>
      <c r="K881" s="477" t="n"/>
      <c r="L881" s="477" t="n"/>
      <c r="M881" s="477" t="n"/>
      <c r="N881" s="477" t="n"/>
      <c r="O881" s="477" t="n"/>
      <c r="P881" s="477" t="n"/>
      <c r="Q881" s="477" t="n"/>
      <c r="R881" s="477" t="n"/>
      <c r="S881" s="477" t="n"/>
      <c r="T881" s="477" t="n"/>
      <c r="U881" s="477" t="n"/>
      <c r="V881" s="477" t="n"/>
      <c r="W881" s="477" t="n"/>
      <c r="X881" s="477" t="n"/>
      <c r="Y881" s="477" t="n"/>
      <c r="Z881" s="477" t="n"/>
    </row>
    <row r="882" ht="15.75" customHeight="1">
      <c r="A882" s="477" t="n"/>
      <c r="B882" s="477" t="n"/>
      <c r="C882" s="477" t="n"/>
      <c r="D882" s="477" t="n"/>
      <c r="E882" s="477" t="n"/>
      <c r="F882" s="477" t="n"/>
      <c r="G882" s="477" t="n"/>
      <c r="H882" s="505" t="n"/>
      <c r="I882" s="477" t="n"/>
      <c r="J882" s="477" t="n"/>
      <c r="K882" s="477" t="n"/>
      <c r="L882" s="477" t="n"/>
      <c r="M882" s="477" t="n"/>
      <c r="N882" s="477" t="n"/>
      <c r="O882" s="477" t="n"/>
      <c r="P882" s="477" t="n"/>
      <c r="Q882" s="477" t="n"/>
      <c r="R882" s="477" t="n"/>
      <c r="S882" s="477" t="n"/>
      <c r="T882" s="477" t="n"/>
      <c r="U882" s="477" t="n"/>
      <c r="V882" s="477" t="n"/>
      <c r="W882" s="477" t="n"/>
      <c r="X882" s="477" t="n"/>
      <c r="Y882" s="477" t="n"/>
      <c r="Z882" s="477" t="n"/>
    </row>
    <row r="883" ht="15.75" customHeight="1">
      <c r="A883" s="477" t="n"/>
      <c r="B883" s="477" t="n"/>
      <c r="C883" s="477" t="n"/>
      <c r="D883" s="477" t="n"/>
      <c r="E883" s="477" t="n"/>
      <c r="F883" s="477" t="n"/>
      <c r="G883" s="477" t="n"/>
      <c r="H883" s="505" t="n"/>
      <c r="I883" s="477" t="n"/>
      <c r="J883" s="477" t="n"/>
      <c r="K883" s="477" t="n"/>
      <c r="L883" s="477" t="n"/>
      <c r="M883" s="477" t="n"/>
      <c r="N883" s="477" t="n"/>
      <c r="O883" s="477" t="n"/>
      <c r="P883" s="477" t="n"/>
      <c r="Q883" s="477" t="n"/>
      <c r="R883" s="477" t="n"/>
      <c r="S883" s="477" t="n"/>
      <c r="T883" s="477" t="n"/>
      <c r="U883" s="477" t="n"/>
      <c r="V883" s="477" t="n"/>
      <c r="W883" s="477" t="n"/>
      <c r="X883" s="477" t="n"/>
      <c r="Y883" s="477" t="n"/>
      <c r="Z883" s="477" t="n"/>
    </row>
    <row r="884" ht="15.75" customHeight="1">
      <c r="A884" s="477" t="n"/>
      <c r="B884" s="477" t="n"/>
      <c r="C884" s="477" t="n"/>
      <c r="D884" s="477" t="n"/>
      <c r="E884" s="477" t="n"/>
      <c r="F884" s="477" t="n"/>
      <c r="G884" s="477" t="n"/>
      <c r="H884" s="505" t="n"/>
      <c r="I884" s="477" t="n"/>
      <c r="J884" s="477" t="n"/>
      <c r="K884" s="477" t="n"/>
      <c r="L884" s="477" t="n"/>
      <c r="M884" s="477" t="n"/>
      <c r="N884" s="477" t="n"/>
      <c r="O884" s="477" t="n"/>
      <c r="P884" s="477" t="n"/>
      <c r="Q884" s="477" t="n"/>
      <c r="R884" s="477" t="n"/>
      <c r="S884" s="477" t="n"/>
      <c r="T884" s="477" t="n"/>
      <c r="U884" s="477" t="n"/>
      <c r="V884" s="477" t="n"/>
      <c r="W884" s="477" t="n"/>
      <c r="X884" s="477" t="n"/>
      <c r="Y884" s="477" t="n"/>
      <c r="Z884" s="477" t="n"/>
    </row>
    <row r="885" ht="15.75" customHeight="1">
      <c r="A885" s="477" t="n"/>
      <c r="B885" s="477" t="n"/>
      <c r="C885" s="477" t="n"/>
      <c r="D885" s="477" t="n"/>
      <c r="E885" s="477" t="n"/>
      <c r="F885" s="477" t="n"/>
      <c r="G885" s="477" t="n"/>
      <c r="H885" s="505" t="n"/>
      <c r="I885" s="477" t="n"/>
      <c r="J885" s="477" t="n"/>
      <c r="K885" s="477" t="n"/>
      <c r="L885" s="477" t="n"/>
      <c r="M885" s="477" t="n"/>
      <c r="N885" s="477" t="n"/>
      <c r="O885" s="477" t="n"/>
      <c r="P885" s="477" t="n"/>
      <c r="Q885" s="477" t="n"/>
      <c r="R885" s="477" t="n"/>
      <c r="S885" s="477" t="n"/>
      <c r="T885" s="477" t="n"/>
      <c r="U885" s="477" t="n"/>
      <c r="V885" s="477" t="n"/>
      <c r="W885" s="477" t="n"/>
      <c r="X885" s="477" t="n"/>
      <c r="Y885" s="477" t="n"/>
      <c r="Z885" s="477" t="n"/>
    </row>
    <row r="886" ht="15.75" customHeight="1">
      <c r="A886" s="477" t="n"/>
      <c r="B886" s="477" t="n"/>
      <c r="C886" s="477" t="n"/>
      <c r="D886" s="477" t="n"/>
      <c r="E886" s="477" t="n"/>
      <c r="F886" s="477" t="n"/>
      <c r="G886" s="477" t="n"/>
      <c r="H886" s="505" t="n"/>
      <c r="I886" s="477" t="n"/>
      <c r="J886" s="477" t="n"/>
      <c r="K886" s="477" t="n"/>
      <c r="L886" s="477" t="n"/>
      <c r="M886" s="477" t="n"/>
      <c r="N886" s="477" t="n"/>
      <c r="O886" s="477" t="n"/>
      <c r="P886" s="477" t="n"/>
      <c r="Q886" s="477" t="n"/>
      <c r="R886" s="477" t="n"/>
      <c r="S886" s="477" t="n"/>
      <c r="T886" s="477" t="n"/>
      <c r="U886" s="477" t="n"/>
      <c r="V886" s="477" t="n"/>
      <c r="W886" s="477" t="n"/>
      <c r="X886" s="477" t="n"/>
      <c r="Y886" s="477" t="n"/>
      <c r="Z886" s="477" t="n"/>
    </row>
    <row r="887" ht="15.75" customHeight="1">
      <c r="A887" s="477" t="n"/>
      <c r="B887" s="477" t="n"/>
      <c r="C887" s="477" t="n"/>
      <c r="D887" s="477" t="n"/>
      <c r="E887" s="477" t="n"/>
      <c r="F887" s="477" t="n"/>
      <c r="G887" s="477" t="n"/>
      <c r="H887" s="505" t="n"/>
      <c r="I887" s="477" t="n"/>
      <c r="J887" s="477" t="n"/>
      <c r="K887" s="477" t="n"/>
      <c r="L887" s="477" t="n"/>
      <c r="M887" s="477" t="n"/>
      <c r="N887" s="477" t="n"/>
      <c r="O887" s="477" t="n"/>
      <c r="P887" s="477" t="n"/>
      <c r="Q887" s="477" t="n"/>
      <c r="R887" s="477" t="n"/>
      <c r="S887" s="477" t="n"/>
      <c r="T887" s="477" t="n"/>
      <c r="U887" s="477" t="n"/>
      <c r="V887" s="477" t="n"/>
      <c r="W887" s="477" t="n"/>
      <c r="X887" s="477" t="n"/>
      <c r="Y887" s="477" t="n"/>
      <c r="Z887" s="477" t="n"/>
    </row>
    <row r="888" ht="15.75" customHeight="1">
      <c r="A888" s="477" t="n"/>
      <c r="B888" s="477" t="n"/>
      <c r="C888" s="477" t="n"/>
      <c r="D888" s="477" t="n"/>
      <c r="E888" s="477" t="n"/>
      <c r="F888" s="477" t="n"/>
      <c r="G888" s="477" t="n"/>
      <c r="H888" s="505" t="n"/>
      <c r="I888" s="477" t="n"/>
      <c r="J888" s="477" t="n"/>
      <c r="K888" s="477" t="n"/>
      <c r="L888" s="477" t="n"/>
      <c r="M888" s="477" t="n"/>
      <c r="N888" s="477" t="n"/>
      <c r="O888" s="477" t="n"/>
      <c r="P888" s="477" t="n"/>
      <c r="Q888" s="477" t="n"/>
      <c r="R888" s="477" t="n"/>
      <c r="S888" s="477" t="n"/>
      <c r="T888" s="477" t="n"/>
      <c r="U888" s="477" t="n"/>
      <c r="V888" s="477" t="n"/>
      <c r="W888" s="477" t="n"/>
      <c r="X888" s="477" t="n"/>
      <c r="Y888" s="477" t="n"/>
      <c r="Z888" s="477" t="n"/>
    </row>
    <row r="889" ht="15.75" customHeight="1">
      <c r="A889" s="477" t="n"/>
      <c r="B889" s="477" t="n"/>
      <c r="C889" s="477" t="n"/>
      <c r="D889" s="477" t="n"/>
      <c r="E889" s="477" t="n"/>
      <c r="F889" s="477" t="n"/>
      <c r="G889" s="477" t="n"/>
      <c r="H889" s="505" t="n"/>
      <c r="I889" s="477" t="n"/>
      <c r="J889" s="477" t="n"/>
      <c r="K889" s="477" t="n"/>
      <c r="L889" s="477" t="n"/>
      <c r="M889" s="477" t="n"/>
      <c r="N889" s="477" t="n"/>
      <c r="O889" s="477" t="n"/>
      <c r="P889" s="477" t="n"/>
      <c r="Q889" s="477" t="n"/>
      <c r="R889" s="477" t="n"/>
      <c r="S889" s="477" t="n"/>
      <c r="T889" s="477" t="n"/>
      <c r="U889" s="477" t="n"/>
      <c r="V889" s="477" t="n"/>
      <c r="W889" s="477" t="n"/>
      <c r="X889" s="477" t="n"/>
      <c r="Y889" s="477" t="n"/>
      <c r="Z889" s="477" t="n"/>
    </row>
    <row r="890" ht="15.75" customHeight="1">
      <c r="A890" s="477" t="n"/>
      <c r="B890" s="477" t="n"/>
      <c r="C890" s="477" t="n"/>
      <c r="D890" s="477" t="n"/>
      <c r="E890" s="477" t="n"/>
      <c r="F890" s="477" t="n"/>
      <c r="G890" s="477" t="n"/>
      <c r="H890" s="505" t="n"/>
      <c r="I890" s="477" t="n"/>
      <c r="J890" s="477" t="n"/>
      <c r="K890" s="477" t="n"/>
      <c r="L890" s="477" t="n"/>
      <c r="M890" s="477" t="n"/>
      <c r="N890" s="477" t="n"/>
      <c r="O890" s="477" t="n"/>
      <c r="P890" s="477" t="n"/>
      <c r="Q890" s="477" t="n"/>
      <c r="R890" s="477" t="n"/>
      <c r="S890" s="477" t="n"/>
      <c r="T890" s="477" t="n"/>
      <c r="U890" s="477" t="n"/>
      <c r="V890" s="477" t="n"/>
      <c r="W890" s="477" t="n"/>
      <c r="X890" s="477" t="n"/>
      <c r="Y890" s="477" t="n"/>
      <c r="Z890" s="477" t="n"/>
    </row>
    <row r="891" ht="15.75" customHeight="1">
      <c r="A891" s="477" t="n"/>
      <c r="B891" s="477" t="n"/>
      <c r="C891" s="477" t="n"/>
      <c r="D891" s="477" t="n"/>
      <c r="E891" s="477" t="n"/>
      <c r="F891" s="477" t="n"/>
      <c r="G891" s="477" t="n"/>
      <c r="H891" s="505" t="n"/>
      <c r="I891" s="477" t="n"/>
      <c r="J891" s="477" t="n"/>
      <c r="K891" s="477" t="n"/>
      <c r="L891" s="477" t="n"/>
      <c r="M891" s="477" t="n"/>
      <c r="N891" s="477" t="n"/>
      <c r="O891" s="477" t="n"/>
      <c r="P891" s="477" t="n"/>
      <c r="Q891" s="477" t="n"/>
      <c r="R891" s="477" t="n"/>
      <c r="S891" s="477" t="n"/>
      <c r="T891" s="477" t="n"/>
      <c r="U891" s="477" t="n"/>
      <c r="V891" s="477" t="n"/>
      <c r="W891" s="477" t="n"/>
      <c r="X891" s="477" t="n"/>
      <c r="Y891" s="477" t="n"/>
      <c r="Z891" s="477" t="n"/>
    </row>
    <row r="892" ht="15.75" customHeight="1">
      <c r="A892" s="477" t="n"/>
      <c r="B892" s="477" t="n"/>
      <c r="C892" s="477" t="n"/>
      <c r="D892" s="477" t="n"/>
      <c r="E892" s="477" t="n"/>
      <c r="F892" s="477" t="n"/>
      <c r="G892" s="477" t="n"/>
      <c r="H892" s="505" t="n"/>
      <c r="I892" s="477" t="n"/>
      <c r="J892" s="477" t="n"/>
      <c r="K892" s="477" t="n"/>
      <c r="L892" s="477" t="n"/>
      <c r="M892" s="477" t="n"/>
      <c r="N892" s="477" t="n"/>
      <c r="O892" s="477" t="n"/>
      <c r="P892" s="477" t="n"/>
      <c r="Q892" s="477" t="n"/>
      <c r="R892" s="477" t="n"/>
      <c r="S892" s="477" t="n"/>
      <c r="T892" s="477" t="n"/>
      <c r="U892" s="477" t="n"/>
      <c r="V892" s="477" t="n"/>
      <c r="W892" s="477" t="n"/>
      <c r="X892" s="477" t="n"/>
      <c r="Y892" s="477" t="n"/>
      <c r="Z892" s="477" t="n"/>
    </row>
    <row r="893" ht="15.75" customHeight="1">
      <c r="A893" s="477" t="n"/>
      <c r="B893" s="477" t="n"/>
      <c r="C893" s="477" t="n"/>
      <c r="D893" s="477" t="n"/>
      <c r="E893" s="477" t="n"/>
      <c r="F893" s="477" t="n"/>
      <c r="G893" s="477" t="n"/>
      <c r="H893" s="505" t="n"/>
      <c r="I893" s="477" t="n"/>
      <c r="J893" s="477" t="n"/>
      <c r="K893" s="477" t="n"/>
      <c r="L893" s="477" t="n"/>
      <c r="M893" s="477" t="n"/>
      <c r="N893" s="477" t="n"/>
      <c r="O893" s="477" t="n"/>
      <c r="P893" s="477" t="n"/>
      <c r="Q893" s="477" t="n"/>
      <c r="R893" s="477" t="n"/>
      <c r="S893" s="477" t="n"/>
      <c r="T893" s="477" t="n"/>
      <c r="U893" s="477" t="n"/>
      <c r="V893" s="477" t="n"/>
      <c r="W893" s="477" t="n"/>
      <c r="X893" s="477" t="n"/>
      <c r="Y893" s="477" t="n"/>
      <c r="Z893" s="477" t="n"/>
    </row>
    <row r="894" ht="15.75" customHeight="1">
      <c r="A894" s="477" t="n"/>
      <c r="B894" s="477" t="n"/>
      <c r="C894" s="477" t="n"/>
      <c r="D894" s="477" t="n"/>
      <c r="E894" s="477" t="n"/>
      <c r="F894" s="477" t="n"/>
      <c r="G894" s="477" t="n"/>
      <c r="H894" s="505" t="n"/>
      <c r="I894" s="477" t="n"/>
      <c r="J894" s="477" t="n"/>
      <c r="K894" s="477" t="n"/>
      <c r="L894" s="477" t="n"/>
      <c r="M894" s="477" t="n"/>
      <c r="N894" s="477" t="n"/>
      <c r="O894" s="477" t="n"/>
      <c r="P894" s="477" t="n"/>
      <c r="Q894" s="477" t="n"/>
      <c r="R894" s="477" t="n"/>
      <c r="S894" s="477" t="n"/>
      <c r="T894" s="477" t="n"/>
      <c r="U894" s="477" t="n"/>
      <c r="V894" s="477" t="n"/>
      <c r="W894" s="477" t="n"/>
      <c r="X894" s="477" t="n"/>
      <c r="Y894" s="477" t="n"/>
      <c r="Z894" s="477" t="n"/>
    </row>
    <row r="895" ht="15.75" customHeight="1">
      <c r="A895" s="477" t="n"/>
      <c r="B895" s="477" t="n"/>
      <c r="C895" s="477" t="n"/>
      <c r="D895" s="477" t="n"/>
      <c r="E895" s="477" t="n"/>
      <c r="F895" s="477" t="n"/>
      <c r="G895" s="477" t="n"/>
      <c r="H895" s="505" t="n"/>
      <c r="I895" s="477" t="n"/>
      <c r="J895" s="477" t="n"/>
      <c r="K895" s="477" t="n"/>
      <c r="L895" s="477" t="n"/>
      <c r="M895" s="477" t="n"/>
      <c r="N895" s="477" t="n"/>
      <c r="O895" s="477" t="n"/>
      <c r="P895" s="477" t="n"/>
      <c r="Q895" s="477" t="n"/>
      <c r="R895" s="477" t="n"/>
      <c r="S895" s="477" t="n"/>
      <c r="T895" s="477" t="n"/>
      <c r="U895" s="477" t="n"/>
      <c r="V895" s="477" t="n"/>
      <c r="W895" s="477" t="n"/>
      <c r="X895" s="477" t="n"/>
      <c r="Y895" s="477" t="n"/>
      <c r="Z895" s="477" t="n"/>
    </row>
    <row r="896" ht="15.75" customHeight="1">
      <c r="A896" s="477" t="n"/>
      <c r="B896" s="477" t="n"/>
      <c r="C896" s="477" t="n"/>
      <c r="D896" s="477" t="n"/>
      <c r="E896" s="477" t="n"/>
      <c r="F896" s="477" t="n"/>
      <c r="G896" s="477" t="n"/>
      <c r="H896" s="505" t="n"/>
      <c r="I896" s="477" t="n"/>
      <c r="J896" s="477" t="n"/>
      <c r="K896" s="477" t="n"/>
      <c r="L896" s="477" t="n"/>
      <c r="M896" s="477" t="n"/>
      <c r="N896" s="477" t="n"/>
      <c r="O896" s="477" t="n"/>
      <c r="P896" s="477" t="n"/>
      <c r="Q896" s="477" t="n"/>
      <c r="R896" s="477" t="n"/>
      <c r="S896" s="477" t="n"/>
      <c r="T896" s="477" t="n"/>
      <c r="U896" s="477" t="n"/>
      <c r="V896" s="477" t="n"/>
      <c r="W896" s="477" t="n"/>
      <c r="X896" s="477" t="n"/>
      <c r="Y896" s="477" t="n"/>
      <c r="Z896" s="477" t="n"/>
    </row>
    <row r="897" ht="15.75" customHeight="1">
      <c r="A897" s="477" t="n"/>
      <c r="B897" s="477" t="n"/>
      <c r="C897" s="477" t="n"/>
      <c r="D897" s="477" t="n"/>
      <c r="E897" s="477" t="n"/>
      <c r="F897" s="477" t="n"/>
      <c r="G897" s="477" t="n"/>
      <c r="H897" s="505" t="n"/>
      <c r="I897" s="477" t="n"/>
      <c r="J897" s="477" t="n"/>
      <c r="K897" s="477" t="n"/>
      <c r="L897" s="477" t="n"/>
      <c r="M897" s="477" t="n"/>
      <c r="N897" s="477" t="n"/>
      <c r="O897" s="477" t="n"/>
      <c r="P897" s="477" t="n"/>
      <c r="Q897" s="477" t="n"/>
      <c r="R897" s="477" t="n"/>
      <c r="S897" s="477" t="n"/>
      <c r="T897" s="477" t="n"/>
      <c r="U897" s="477" t="n"/>
      <c r="V897" s="477" t="n"/>
      <c r="W897" s="477" t="n"/>
      <c r="X897" s="477" t="n"/>
      <c r="Y897" s="477" t="n"/>
      <c r="Z897" s="477" t="n"/>
    </row>
    <row r="898" ht="15.75" customHeight="1">
      <c r="A898" s="477" t="n"/>
      <c r="B898" s="477" t="n"/>
      <c r="C898" s="477" t="n"/>
      <c r="D898" s="477" t="n"/>
      <c r="E898" s="477" t="n"/>
      <c r="F898" s="477" t="n"/>
      <c r="G898" s="477" t="n"/>
      <c r="H898" s="505" t="n"/>
      <c r="I898" s="477" t="n"/>
      <c r="J898" s="477" t="n"/>
      <c r="K898" s="477" t="n"/>
      <c r="L898" s="477" t="n"/>
      <c r="M898" s="477" t="n"/>
      <c r="N898" s="477" t="n"/>
      <c r="O898" s="477" t="n"/>
      <c r="P898" s="477" t="n"/>
      <c r="Q898" s="477" t="n"/>
      <c r="R898" s="477" t="n"/>
      <c r="S898" s="477" t="n"/>
      <c r="T898" s="477" t="n"/>
      <c r="U898" s="477" t="n"/>
      <c r="V898" s="477" t="n"/>
      <c r="W898" s="477" t="n"/>
      <c r="X898" s="477" t="n"/>
      <c r="Y898" s="477" t="n"/>
      <c r="Z898" s="477" t="n"/>
    </row>
    <row r="899" ht="15.75" customHeight="1">
      <c r="A899" s="477" t="n"/>
      <c r="B899" s="477" t="n"/>
      <c r="C899" s="477" t="n"/>
      <c r="D899" s="477" t="n"/>
      <c r="E899" s="477" t="n"/>
      <c r="F899" s="477" t="n"/>
      <c r="G899" s="477" t="n"/>
      <c r="H899" s="505" t="n"/>
      <c r="I899" s="477" t="n"/>
      <c r="J899" s="477" t="n"/>
      <c r="K899" s="477" t="n"/>
      <c r="L899" s="477" t="n"/>
      <c r="M899" s="477" t="n"/>
      <c r="N899" s="477" t="n"/>
      <c r="O899" s="477" t="n"/>
      <c r="P899" s="477" t="n"/>
      <c r="Q899" s="477" t="n"/>
      <c r="R899" s="477" t="n"/>
      <c r="S899" s="477" t="n"/>
      <c r="T899" s="477" t="n"/>
      <c r="U899" s="477" t="n"/>
      <c r="V899" s="477" t="n"/>
      <c r="W899" s="477" t="n"/>
      <c r="X899" s="477" t="n"/>
      <c r="Y899" s="477" t="n"/>
      <c r="Z899" s="477" t="n"/>
    </row>
    <row r="900" ht="15.75" customHeight="1">
      <c r="A900" s="477" t="n"/>
      <c r="B900" s="477" t="n"/>
      <c r="C900" s="477" t="n"/>
      <c r="D900" s="477" t="n"/>
      <c r="E900" s="477" t="n"/>
      <c r="F900" s="477" t="n"/>
      <c r="G900" s="477" t="n"/>
      <c r="H900" s="505" t="n"/>
      <c r="I900" s="477" t="n"/>
      <c r="J900" s="477" t="n"/>
      <c r="K900" s="477" t="n"/>
      <c r="L900" s="477" t="n"/>
      <c r="M900" s="477" t="n"/>
      <c r="N900" s="477" t="n"/>
      <c r="O900" s="477" t="n"/>
      <c r="P900" s="477" t="n"/>
      <c r="Q900" s="477" t="n"/>
      <c r="R900" s="477" t="n"/>
      <c r="S900" s="477" t="n"/>
      <c r="T900" s="477" t="n"/>
      <c r="U900" s="477" t="n"/>
      <c r="V900" s="477" t="n"/>
      <c r="W900" s="477" t="n"/>
      <c r="X900" s="477" t="n"/>
      <c r="Y900" s="477" t="n"/>
      <c r="Z900" s="477" t="n"/>
    </row>
    <row r="901" ht="15.75" customHeight="1">
      <c r="A901" s="477" t="n"/>
      <c r="B901" s="477" t="n"/>
      <c r="C901" s="477" t="n"/>
      <c r="D901" s="477" t="n"/>
      <c r="E901" s="477" t="n"/>
      <c r="F901" s="477" t="n"/>
      <c r="G901" s="477" t="n"/>
      <c r="H901" s="505" t="n"/>
      <c r="I901" s="477" t="n"/>
      <c r="J901" s="477" t="n"/>
      <c r="K901" s="477" t="n"/>
      <c r="L901" s="477" t="n"/>
      <c r="M901" s="477" t="n"/>
      <c r="N901" s="477" t="n"/>
      <c r="O901" s="477" t="n"/>
      <c r="P901" s="477" t="n"/>
      <c r="Q901" s="477" t="n"/>
      <c r="R901" s="477" t="n"/>
      <c r="S901" s="477" t="n"/>
      <c r="T901" s="477" t="n"/>
      <c r="U901" s="477" t="n"/>
      <c r="V901" s="477" t="n"/>
      <c r="W901" s="477" t="n"/>
      <c r="X901" s="477" t="n"/>
      <c r="Y901" s="477" t="n"/>
      <c r="Z901" s="477" t="n"/>
    </row>
    <row r="902" ht="15.75" customHeight="1">
      <c r="A902" s="477" t="n"/>
      <c r="B902" s="477" t="n"/>
      <c r="C902" s="477" t="n"/>
      <c r="D902" s="477" t="n"/>
      <c r="E902" s="477" t="n"/>
      <c r="F902" s="477" t="n"/>
      <c r="G902" s="477" t="n"/>
      <c r="H902" s="505" t="n"/>
      <c r="I902" s="477" t="n"/>
      <c r="J902" s="477" t="n"/>
      <c r="K902" s="477" t="n"/>
      <c r="L902" s="477" t="n"/>
      <c r="M902" s="477" t="n"/>
      <c r="N902" s="477" t="n"/>
      <c r="O902" s="477" t="n"/>
      <c r="P902" s="477" t="n"/>
      <c r="Q902" s="477" t="n"/>
      <c r="R902" s="477" t="n"/>
      <c r="S902" s="477" t="n"/>
      <c r="T902" s="477" t="n"/>
      <c r="U902" s="477" t="n"/>
      <c r="V902" s="477" t="n"/>
      <c r="W902" s="477" t="n"/>
      <c r="X902" s="477" t="n"/>
      <c r="Y902" s="477" t="n"/>
      <c r="Z902" s="477" t="n"/>
    </row>
    <row r="903" ht="15.75" customHeight="1">
      <c r="A903" s="477" t="n"/>
      <c r="B903" s="477" t="n"/>
      <c r="C903" s="477" t="n"/>
      <c r="D903" s="477" t="n"/>
      <c r="E903" s="477" t="n"/>
      <c r="F903" s="477" t="n"/>
      <c r="G903" s="477" t="n"/>
      <c r="H903" s="505" t="n"/>
      <c r="I903" s="477" t="n"/>
      <c r="J903" s="477" t="n"/>
      <c r="K903" s="477" t="n"/>
      <c r="L903" s="477" t="n"/>
      <c r="M903" s="477" t="n"/>
      <c r="N903" s="477" t="n"/>
      <c r="O903" s="477" t="n"/>
      <c r="P903" s="477" t="n"/>
      <c r="Q903" s="477" t="n"/>
      <c r="R903" s="477" t="n"/>
      <c r="S903" s="477" t="n"/>
      <c r="T903" s="477" t="n"/>
      <c r="U903" s="477" t="n"/>
      <c r="V903" s="477" t="n"/>
      <c r="W903" s="477" t="n"/>
      <c r="X903" s="477" t="n"/>
      <c r="Y903" s="477" t="n"/>
      <c r="Z903" s="477" t="n"/>
    </row>
    <row r="904" ht="15.75" customHeight="1">
      <c r="A904" s="477" t="n"/>
      <c r="B904" s="477" t="n"/>
      <c r="C904" s="477" t="n"/>
      <c r="D904" s="477" t="n"/>
      <c r="E904" s="477" t="n"/>
      <c r="F904" s="477" t="n"/>
      <c r="G904" s="477" t="n"/>
      <c r="H904" s="505" t="n"/>
      <c r="I904" s="477" t="n"/>
      <c r="J904" s="477" t="n"/>
      <c r="K904" s="477" t="n"/>
      <c r="L904" s="477" t="n"/>
      <c r="M904" s="477" t="n"/>
      <c r="N904" s="477" t="n"/>
      <c r="O904" s="477" t="n"/>
      <c r="P904" s="477" t="n"/>
      <c r="Q904" s="477" t="n"/>
      <c r="R904" s="477" t="n"/>
      <c r="S904" s="477" t="n"/>
      <c r="T904" s="477" t="n"/>
      <c r="U904" s="477" t="n"/>
      <c r="V904" s="477" t="n"/>
      <c r="W904" s="477" t="n"/>
      <c r="X904" s="477" t="n"/>
      <c r="Y904" s="477" t="n"/>
      <c r="Z904" s="477" t="n"/>
    </row>
    <row r="905" ht="15.75" customHeight="1">
      <c r="A905" s="477" t="n"/>
      <c r="B905" s="477" t="n"/>
      <c r="C905" s="477" t="n"/>
      <c r="D905" s="477" t="n"/>
      <c r="E905" s="477" t="n"/>
      <c r="F905" s="477" t="n"/>
      <c r="G905" s="477" t="n"/>
      <c r="H905" s="505" t="n"/>
      <c r="I905" s="477" t="n"/>
      <c r="J905" s="477" t="n"/>
      <c r="K905" s="477" t="n"/>
      <c r="L905" s="477" t="n"/>
      <c r="M905" s="477" t="n"/>
      <c r="N905" s="477" t="n"/>
      <c r="O905" s="477" t="n"/>
      <c r="P905" s="477" t="n"/>
      <c r="Q905" s="477" t="n"/>
      <c r="R905" s="477" t="n"/>
      <c r="S905" s="477" t="n"/>
      <c r="T905" s="477" t="n"/>
      <c r="U905" s="477" t="n"/>
      <c r="V905" s="477" t="n"/>
      <c r="W905" s="477" t="n"/>
      <c r="X905" s="477" t="n"/>
      <c r="Y905" s="477" t="n"/>
      <c r="Z905" s="477" t="n"/>
    </row>
    <row r="906" ht="15.75" customHeight="1">
      <c r="A906" s="477" t="n"/>
      <c r="B906" s="477" t="n"/>
      <c r="C906" s="477" t="n"/>
      <c r="D906" s="477" t="n"/>
      <c r="E906" s="477" t="n"/>
      <c r="F906" s="477" t="n"/>
      <c r="G906" s="477" t="n"/>
      <c r="H906" s="505" t="n"/>
      <c r="I906" s="477" t="n"/>
      <c r="J906" s="477" t="n"/>
      <c r="K906" s="477" t="n"/>
      <c r="L906" s="477" t="n"/>
      <c r="M906" s="477" t="n"/>
      <c r="N906" s="477" t="n"/>
      <c r="O906" s="477" t="n"/>
      <c r="P906" s="477" t="n"/>
      <c r="Q906" s="477" t="n"/>
      <c r="R906" s="477" t="n"/>
      <c r="S906" s="477" t="n"/>
      <c r="T906" s="477" t="n"/>
      <c r="U906" s="477" t="n"/>
      <c r="V906" s="477" t="n"/>
      <c r="W906" s="477" t="n"/>
      <c r="X906" s="477" t="n"/>
      <c r="Y906" s="477" t="n"/>
      <c r="Z906" s="477" t="n"/>
    </row>
    <row r="907" ht="15.75" customHeight="1">
      <c r="A907" s="477" t="n"/>
      <c r="B907" s="477" t="n"/>
      <c r="C907" s="477" t="n"/>
      <c r="D907" s="477" t="n"/>
      <c r="E907" s="477" t="n"/>
      <c r="F907" s="477" t="n"/>
      <c r="G907" s="477" t="n"/>
      <c r="H907" s="505" t="n"/>
      <c r="I907" s="477" t="n"/>
      <c r="J907" s="477" t="n"/>
      <c r="K907" s="477" t="n"/>
      <c r="L907" s="477" t="n"/>
      <c r="M907" s="477" t="n"/>
      <c r="N907" s="477" t="n"/>
      <c r="O907" s="477" t="n"/>
      <c r="P907" s="477" t="n"/>
      <c r="Q907" s="477" t="n"/>
      <c r="R907" s="477" t="n"/>
      <c r="S907" s="477" t="n"/>
      <c r="T907" s="477" t="n"/>
      <c r="U907" s="477" t="n"/>
      <c r="V907" s="477" t="n"/>
      <c r="W907" s="477" t="n"/>
      <c r="X907" s="477" t="n"/>
      <c r="Y907" s="477" t="n"/>
      <c r="Z907" s="477" t="n"/>
    </row>
    <row r="908" ht="15.75" customHeight="1">
      <c r="A908" s="477" t="n"/>
      <c r="B908" s="477" t="n"/>
      <c r="C908" s="477" t="n"/>
      <c r="D908" s="477" t="n"/>
      <c r="E908" s="477" t="n"/>
      <c r="F908" s="477" t="n"/>
      <c r="G908" s="477" t="n"/>
      <c r="H908" s="505" t="n"/>
      <c r="I908" s="477" t="n"/>
      <c r="J908" s="477" t="n"/>
      <c r="K908" s="477" t="n"/>
      <c r="L908" s="477" t="n"/>
      <c r="M908" s="477" t="n"/>
      <c r="N908" s="477" t="n"/>
      <c r="O908" s="477" t="n"/>
      <c r="P908" s="477" t="n"/>
      <c r="Q908" s="477" t="n"/>
      <c r="R908" s="477" t="n"/>
      <c r="S908" s="477" t="n"/>
      <c r="T908" s="477" t="n"/>
      <c r="U908" s="477" t="n"/>
      <c r="V908" s="477" t="n"/>
      <c r="W908" s="477" t="n"/>
      <c r="X908" s="477" t="n"/>
      <c r="Y908" s="477" t="n"/>
      <c r="Z908" s="477" t="n"/>
    </row>
    <row r="909" ht="15.75" customHeight="1">
      <c r="A909" s="477" t="n"/>
      <c r="B909" s="477" t="n"/>
      <c r="C909" s="477" t="n"/>
      <c r="D909" s="477" t="n"/>
      <c r="E909" s="477" t="n"/>
      <c r="F909" s="477" t="n"/>
      <c r="G909" s="477" t="n"/>
      <c r="H909" s="505" t="n"/>
      <c r="I909" s="477" t="n"/>
      <c r="J909" s="477" t="n"/>
      <c r="K909" s="477" t="n"/>
      <c r="L909" s="477" t="n"/>
      <c r="M909" s="477" t="n"/>
      <c r="N909" s="477" t="n"/>
      <c r="O909" s="477" t="n"/>
      <c r="P909" s="477" t="n"/>
      <c r="Q909" s="477" t="n"/>
      <c r="R909" s="477" t="n"/>
      <c r="S909" s="477" t="n"/>
      <c r="T909" s="477" t="n"/>
      <c r="U909" s="477" t="n"/>
      <c r="V909" s="477" t="n"/>
      <c r="W909" s="477" t="n"/>
      <c r="X909" s="477" t="n"/>
      <c r="Y909" s="477" t="n"/>
      <c r="Z909" s="477" t="n"/>
    </row>
    <row r="910" ht="15.75" customHeight="1">
      <c r="A910" s="477" t="n"/>
      <c r="B910" s="477" t="n"/>
      <c r="C910" s="477" t="n"/>
      <c r="D910" s="477" t="n"/>
      <c r="E910" s="477" t="n"/>
      <c r="F910" s="477" t="n"/>
      <c r="G910" s="477" t="n"/>
      <c r="H910" s="505" t="n"/>
      <c r="I910" s="477" t="n"/>
      <c r="J910" s="477" t="n"/>
      <c r="K910" s="477" t="n"/>
      <c r="L910" s="477" t="n"/>
      <c r="M910" s="477" t="n"/>
      <c r="N910" s="477" t="n"/>
      <c r="O910" s="477" t="n"/>
      <c r="P910" s="477" t="n"/>
      <c r="Q910" s="477" t="n"/>
      <c r="R910" s="477" t="n"/>
      <c r="S910" s="477" t="n"/>
      <c r="T910" s="477" t="n"/>
      <c r="U910" s="477" t="n"/>
      <c r="V910" s="477" t="n"/>
      <c r="W910" s="477" t="n"/>
      <c r="X910" s="477" t="n"/>
      <c r="Y910" s="477" t="n"/>
      <c r="Z910" s="477" t="n"/>
    </row>
    <row r="911" ht="15.75" customHeight="1">
      <c r="A911" s="477" t="n"/>
      <c r="B911" s="477" t="n"/>
      <c r="C911" s="477" t="n"/>
      <c r="D911" s="477" t="n"/>
      <c r="E911" s="477" t="n"/>
      <c r="F911" s="477" t="n"/>
      <c r="G911" s="477" t="n"/>
      <c r="H911" s="505" t="n"/>
      <c r="I911" s="477" t="n"/>
      <c r="J911" s="477" t="n"/>
      <c r="K911" s="477" t="n"/>
      <c r="L911" s="477" t="n"/>
      <c r="M911" s="477" t="n"/>
      <c r="N911" s="477" t="n"/>
      <c r="O911" s="477" t="n"/>
      <c r="P911" s="477" t="n"/>
      <c r="Q911" s="477" t="n"/>
      <c r="R911" s="477" t="n"/>
      <c r="S911" s="477" t="n"/>
      <c r="T911" s="477" t="n"/>
      <c r="U911" s="477" t="n"/>
      <c r="V911" s="477" t="n"/>
      <c r="W911" s="477" t="n"/>
      <c r="X911" s="477" t="n"/>
      <c r="Y911" s="477" t="n"/>
      <c r="Z911" s="477" t="n"/>
    </row>
    <row r="912" ht="15.75" customHeight="1">
      <c r="A912" s="477" t="n"/>
      <c r="B912" s="477" t="n"/>
      <c r="C912" s="477" t="n"/>
      <c r="D912" s="477" t="n"/>
      <c r="E912" s="477" t="n"/>
      <c r="F912" s="477" t="n"/>
      <c r="G912" s="477" t="n"/>
      <c r="H912" s="505" t="n"/>
      <c r="I912" s="477" t="n"/>
      <c r="J912" s="477" t="n"/>
      <c r="K912" s="477" t="n"/>
      <c r="L912" s="477" t="n"/>
      <c r="M912" s="477" t="n"/>
      <c r="N912" s="477" t="n"/>
      <c r="O912" s="477" t="n"/>
      <c r="P912" s="477" t="n"/>
      <c r="Q912" s="477" t="n"/>
      <c r="R912" s="477" t="n"/>
      <c r="S912" s="477" t="n"/>
      <c r="T912" s="477" t="n"/>
      <c r="U912" s="477" t="n"/>
      <c r="V912" s="477" t="n"/>
      <c r="W912" s="477" t="n"/>
      <c r="X912" s="477" t="n"/>
      <c r="Y912" s="477" t="n"/>
      <c r="Z912" s="477" t="n"/>
    </row>
    <row r="913" ht="15.75" customHeight="1">
      <c r="A913" s="477" t="n"/>
      <c r="B913" s="477" t="n"/>
      <c r="C913" s="477" t="n"/>
      <c r="D913" s="477" t="n"/>
      <c r="E913" s="477" t="n"/>
      <c r="F913" s="477" t="n"/>
      <c r="G913" s="477" t="n"/>
      <c r="H913" s="505" t="n"/>
      <c r="I913" s="477" t="n"/>
      <c r="J913" s="477" t="n"/>
      <c r="K913" s="477" t="n"/>
      <c r="L913" s="477" t="n"/>
      <c r="M913" s="477" t="n"/>
      <c r="N913" s="477" t="n"/>
      <c r="O913" s="477" t="n"/>
      <c r="P913" s="477" t="n"/>
      <c r="Q913" s="477" t="n"/>
      <c r="R913" s="477" t="n"/>
      <c r="S913" s="477" t="n"/>
      <c r="T913" s="477" t="n"/>
      <c r="U913" s="477" t="n"/>
      <c r="V913" s="477" t="n"/>
      <c r="W913" s="477" t="n"/>
      <c r="X913" s="477" t="n"/>
      <c r="Y913" s="477" t="n"/>
      <c r="Z913" s="477" t="n"/>
    </row>
    <row r="914" ht="15.75" customHeight="1">
      <c r="A914" s="477" t="n"/>
      <c r="B914" s="477" t="n"/>
      <c r="C914" s="477" t="n"/>
      <c r="D914" s="477" t="n"/>
      <c r="E914" s="477" t="n"/>
      <c r="F914" s="477" t="n"/>
      <c r="G914" s="477" t="n"/>
      <c r="H914" s="505" t="n"/>
      <c r="I914" s="477" t="n"/>
      <c r="J914" s="477" t="n"/>
      <c r="K914" s="477" t="n"/>
      <c r="L914" s="477" t="n"/>
      <c r="M914" s="477" t="n"/>
      <c r="N914" s="477" t="n"/>
      <c r="O914" s="477" t="n"/>
      <c r="P914" s="477" t="n"/>
      <c r="Q914" s="477" t="n"/>
      <c r="R914" s="477" t="n"/>
      <c r="S914" s="477" t="n"/>
      <c r="T914" s="477" t="n"/>
      <c r="U914" s="477" t="n"/>
      <c r="V914" s="477" t="n"/>
      <c r="W914" s="477" t="n"/>
      <c r="X914" s="477" t="n"/>
      <c r="Y914" s="477" t="n"/>
      <c r="Z914" s="477" t="n"/>
    </row>
    <row r="915" ht="15.75" customHeight="1">
      <c r="A915" s="477" t="n"/>
      <c r="B915" s="477" t="n"/>
      <c r="C915" s="477" t="n"/>
      <c r="D915" s="477" t="n"/>
      <c r="E915" s="477" t="n"/>
      <c r="F915" s="477" t="n"/>
      <c r="G915" s="477" t="n"/>
      <c r="H915" s="505" t="n"/>
      <c r="I915" s="477" t="n"/>
      <c r="J915" s="477" t="n"/>
      <c r="K915" s="477" t="n"/>
      <c r="L915" s="477" t="n"/>
      <c r="M915" s="477" t="n"/>
      <c r="N915" s="477" t="n"/>
      <c r="O915" s="477" t="n"/>
      <c r="P915" s="477" t="n"/>
      <c r="Q915" s="477" t="n"/>
      <c r="R915" s="477" t="n"/>
      <c r="S915" s="477" t="n"/>
      <c r="T915" s="477" t="n"/>
      <c r="U915" s="477" t="n"/>
      <c r="V915" s="477" t="n"/>
      <c r="W915" s="477" t="n"/>
      <c r="X915" s="477" t="n"/>
      <c r="Y915" s="477" t="n"/>
      <c r="Z915" s="477" t="n"/>
    </row>
    <row r="916" ht="15.75" customHeight="1">
      <c r="A916" s="477" t="n"/>
      <c r="B916" s="477" t="n"/>
      <c r="C916" s="477" t="n"/>
      <c r="D916" s="477" t="n"/>
      <c r="E916" s="477" t="n"/>
      <c r="F916" s="477" t="n"/>
      <c r="G916" s="477" t="n"/>
      <c r="H916" s="505" t="n"/>
      <c r="I916" s="477" t="n"/>
      <c r="J916" s="477" t="n"/>
      <c r="K916" s="477" t="n"/>
      <c r="L916" s="477" t="n"/>
      <c r="M916" s="477" t="n"/>
      <c r="N916" s="477" t="n"/>
      <c r="O916" s="477" t="n"/>
      <c r="P916" s="477" t="n"/>
      <c r="Q916" s="477" t="n"/>
      <c r="R916" s="477" t="n"/>
      <c r="S916" s="477" t="n"/>
      <c r="T916" s="477" t="n"/>
      <c r="U916" s="477" t="n"/>
      <c r="V916" s="477" t="n"/>
      <c r="W916" s="477" t="n"/>
      <c r="X916" s="477" t="n"/>
      <c r="Y916" s="477" t="n"/>
      <c r="Z916" s="477" t="n"/>
    </row>
    <row r="917" ht="15.75" customHeight="1">
      <c r="A917" s="477" t="n"/>
      <c r="B917" s="477" t="n"/>
      <c r="C917" s="477" t="n"/>
      <c r="D917" s="477" t="n"/>
      <c r="E917" s="477" t="n"/>
      <c r="F917" s="477" t="n"/>
      <c r="G917" s="477" t="n"/>
      <c r="H917" s="505" t="n"/>
      <c r="I917" s="477" t="n"/>
      <c r="J917" s="477" t="n"/>
      <c r="K917" s="477" t="n"/>
      <c r="L917" s="477" t="n"/>
      <c r="M917" s="477" t="n"/>
      <c r="N917" s="477" t="n"/>
      <c r="O917" s="477" t="n"/>
      <c r="P917" s="477" t="n"/>
      <c r="Q917" s="477" t="n"/>
      <c r="R917" s="477" t="n"/>
      <c r="S917" s="477" t="n"/>
      <c r="T917" s="477" t="n"/>
      <c r="U917" s="477" t="n"/>
      <c r="V917" s="477" t="n"/>
      <c r="W917" s="477" t="n"/>
      <c r="X917" s="477" t="n"/>
      <c r="Y917" s="477" t="n"/>
      <c r="Z917" s="477" t="n"/>
    </row>
    <row r="918" ht="15.75" customHeight="1">
      <c r="A918" s="477" t="n"/>
      <c r="B918" s="477" t="n"/>
      <c r="C918" s="477" t="n"/>
      <c r="D918" s="477" t="n"/>
      <c r="E918" s="477" t="n"/>
      <c r="F918" s="477" t="n"/>
      <c r="G918" s="477" t="n"/>
      <c r="H918" s="505" t="n"/>
      <c r="I918" s="477" t="n"/>
      <c r="J918" s="477" t="n"/>
      <c r="K918" s="477" t="n"/>
      <c r="L918" s="477" t="n"/>
      <c r="M918" s="477" t="n"/>
      <c r="N918" s="477" t="n"/>
      <c r="O918" s="477" t="n"/>
      <c r="P918" s="477" t="n"/>
      <c r="Q918" s="477" t="n"/>
      <c r="R918" s="477" t="n"/>
      <c r="S918" s="477" t="n"/>
      <c r="T918" s="477" t="n"/>
      <c r="U918" s="477" t="n"/>
      <c r="V918" s="477" t="n"/>
      <c r="W918" s="477" t="n"/>
      <c r="X918" s="477" t="n"/>
      <c r="Y918" s="477" t="n"/>
      <c r="Z918" s="477" t="n"/>
    </row>
    <row r="919" ht="15.75" customHeight="1">
      <c r="A919" s="477" t="n"/>
      <c r="B919" s="477" t="n"/>
      <c r="C919" s="477" t="n"/>
      <c r="D919" s="477" t="n"/>
      <c r="E919" s="477" t="n"/>
      <c r="F919" s="477" t="n"/>
      <c r="G919" s="477" t="n"/>
      <c r="H919" s="505" t="n"/>
      <c r="I919" s="477" t="n"/>
      <c r="J919" s="477" t="n"/>
      <c r="K919" s="477" t="n"/>
      <c r="L919" s="477" t="n"/>
      <c r="M919" s="477" t="n"/>
      <c r="N919" s="477" t="n"/>
      <c r="O919" s="477" t="n"/>
      <c r="P919" s="477" t="n"/>
      <c r="Q919" s="477" t="n"/>
      <c r="R919" s="477" t="n"/>
      <c r="S919" s="477" t="n"/>
      <c r="T919" s="477" t="n"/>
      <c r="U919" s="477" t="n"/>
      <c r="V919" s="477" t="n"/>
      <c r="W919" s="477" t="n"/>
      <c r="X919" s="477" t="n"/>
      <c r="Y919" s="477" t="n"/>
      <c r="Z919" s="477" t="n"/>
    </row>
    <row r="920" ht="15.75" customHeight="1">
      <c r="A920" s="477" t="n"/>
      <c r="B920" s="477" t="n"/>
      <c r="C920" s="477" t="n"/>
      <c r="D920" s="477" t="n"/>
      <c r="E920" s="477" t="n"/>
      <c r="F920" s="477" t="n"/>
      <c r="G920" s="477" t="n"/>
      <c r="H920" s="505" t="n"/>
      <c r="I920" s="477" t="n"/>
      <c r="J920" s="477" t="n"/>
      <c r="K920" s="477" t="n"/>
      <c r="L920" s="477" t="n"/>
      <c r="M920" s="477" t="n"/>
      <c r="N920" s="477" t="n"/>
      <c r="O920" s="477" t="n"/>
      <c r="P920" s="477" t="n"/>
      <c r="Q920" s="477" t="n"/>
      <c r="R920" s="477" t="n"/>
      <c r="S920" s="477" t="n"/>
      <c r="T920" s="477" t="n"/>
      <c r="U920" s="477" t="n"/>
      <c r="V920" s="477" t="n"/>
      <c r="W920" s="477" t="n"/>
      <c r="X920" s="477" t="n"/>
      <c r="Y920" s="477" t="n"/>
      <c r="Z920" s="477" t="n"/>
    </row>
    <row r="921" ht="15.75" customHeight="1">
      <c r="A921" s="477" t="n"/>
      <c r="B921" s="477" t="n"/>
      <c r="C921" s="477" t="n"/>
      <c r="D921" s="477" t="n"/>
      <c r="E921" s="477" t="n"/>
      <c r="F921" s="477" t="n"/>
      <c r="G921" s="477" t="n"/>
      <c r="H921" s="505" t="n"/>
      <c r="I921" s="477" t="n"/>
      <c r="J921" s="477" t="n"/>
      <c r="K921" s="477" t="n"/>
      <c r="L921" s="477" t="n"/>
      <c r="M921" s="477" t="n"/>
      <c r="N921" s="477" t="n"/>
      <c r="O921" s="477" t="n"/>
      <c r="P921" s="477" t="n"/>
      <c r="Q921" s="477" t="n"/>
      <c r="R921" s="477" t="n"/>
      <c r="S921" s="477" t="n"/>
      <c r="T921" s="477" t="n"/>
      <c r="U921" s="477" t="n"/>
      <c r="V921" s="477" t="n"/>
      <c r="W921" s="477" t="n"/>
      <c r="X921" s="477" t="n"/>
      <c r="Y921" s="477" t="n"/>
      <c r="Z921" s="477" t="n"/>
    </row>
    <row r="922" ht="15.75" customHeight="1">
      <c r="A922" s="477" t="n"/>
      <c r="B922" s="477" t="n"/>
      <c r="C922" s="477" t="n"/>
      <c r="D922" s="477" t="n"/>
      <c r="E922" s="477" t="n"/>
      <c r="F922" s="477" t="n"/>
      <c r="G922" s="477" t="n"/>
      <c r="H922" s="505" t="n"/>
      <c r="I922" s="477" t="n"/>
      <c r="J922" s="477" t="n"/>
      <c r="K922" s="477" t="n"/>
      <c r="L922" s="477" t="n"/>
      <c r="M922" s="477" t="n"/>
      <c r="N922" s="477" t="n"/>
      <c r="O922" s="477" t="n"/>
      <c r="P922" s="477" t="n"/>
      <c r="Q922" s="477" t="n"/>
      <c r="R922" s="477" t="n"/>
      <c r="S922" s="477" t="n"/>
      <c r="T922" s="477" t="n"/>
      <c r="U922" s="477" t="n"/>
      <c r="V922" s="477" t="n"/>
      <c r="W922" s="477" t="n"/>
      <c r="X922" s="477" t="n"/>
      <c r="Y922" s="477" t="n"/>
      <c r="Z922" s="477" t="n"/>
    </row>
    <row r="923" ht="15.75" customHeight="1">
      <c r="A923" s="477" t="n"/>
      <c r="B923" s="477" t="n"/>
      <c r="C923" s="477" t="n"/>
      <c r="D923" s="477" t="n"/>
      <c r="E923" s="477" t="n"/>
      <c r="F923" s="477" t="n"/>
      <c r="G923" s="477" t="n"/>
      <c r="H923" s="505" t="n"/>
      <c r="I923" s="477" t="n"/>
      <c r="J923" s="477" t="n"/>
      <c r="K923" s="477" t="n"/>
      <c r="L923" s="477" t="n"/>
      <c r="M923" s="477" t="n"/>
      <c r="N923" s="477" t="n"/>
      <c r="O923" s="477" t="n"/>
      <c r="P923" s="477" t="n"/>
      <c r="Q923" s="477" t="n"/>
      <c r="R923" s="477" t="n"/>
      <c r="S923" s="477" t="n"/>
      <c r="T923" s="477" t="n"/>
      <c r="U923" s="477" t="n"/>
      <c r="V923" s="477" t="n"/>
      <c r="W923" s="477" t="n"/>
      <c r="X923" s="477" t="n"/>
      <c r="Y923" s="477" t="n"/>
      <c r="Z923" s="477" t="n"/>
    </row>
    <row r="924" ht="15.75" customHeight="1">
      <c r="A924" s="477" t="n"/>
      <c r="B924" s="477" t="n"/>
      <c r="C924" s="477" t="n"/>
      <c r="D924" s="477" t="n"/>
      <c r="E924" s="477" t="n"/>
      <c r="F924" s="477" t="n"/>
      <c r="G924" s="477" t="n"/>
      <c r="H924" s="505" t="n"/>
      <c r="I924" s="477" t="n"/>
      <c r="J924" s="477" t="n"/>
      <c r="K924" s="477" t="n"/>
      <c r="L924" s="477" t="n"/>
      <c r="M924" s="477" t="n"/>
      <c r="N924" s="477" t="n"/>
      <c r="O924" s="477" t="n"/>
      <c r="P924" s="477" t="n"/>
      <c r="Q924" s="477" t="n"/>
      <c r="R924" s="477" t="n"/>
      <c r="S924" s="477" t="n"/>
      <c r="T924" s="477" t="n"/>
      <c r="U924" s="477" t="n"/>
      <c r="V924" s="477" t="n"/>
      <c r="W924" s="477" t="n"/>
      <c r="X924" s="477" t="n"/>
      <c r="Y924" s="477" t="n"/>
      <c r="Z924" s="477" t="n"/>
    </row>
    <row r="925" ht="15.75" customHeight="1">
      <c r="A925" s="477" t="n"/>
      <c r="B925" s="477" t="n"/>
      <c r="C925" s="477" t="n"/>
      <c r="D925" s="477" t="n"/>
      <c r="E925" s="477" t="n"/>
      <c r="F925" s="477" t="n"/>
      <c r="G925" s="477" t="n"/>
      <c r="H925" s="505" t="n"/>
      <c r="I925" s="477" t="n"/>
      <c r="J925" s="477" t="n"/>
      <c r="K925" s="477" t="n"/>
      <c r="L925" s="477" t="n"/>
      <c r="M925" s="477" t="n"/>
      <c r="N925" s="477" t="n"/>
      <c r="O925" s="477" t="n"/>
      <c r="P925" s="477" t="n"/>
      <c r="Q925" s="477" t="n"/>
      <c r="R925" s="477" t="n"/>
      <c r="S925" s="477" t="n"/>
      <c r="T925" s="477" t="n"/>
      <c r="U925" s="477" t="n"/>
      <c r="V925" s="477" t="n"/>
      <c r="W925" s="477" t="n"/>
      <c r="X925" s="477" t="n"/>
      <c r="Y925" s="477" t="n"/>
      <c r="Z925" s="477" t="n"/>
    </row>
    <row r="926" ht="15.75" customHeight="1">
      <c r="A926" s="477" t="n"/>
      <c r="B926" s="477" t="n"/>
      <c r="C926" s="477" t="n"/>
      <c r="D926" s="477" t="n"/>
      <c r="E926" s="477" t="n"/>
      <c r="F926" s="477" t="n"/>
      <c r="G926" s="477" t="n"/>
      <c r="H926" s="505" t="n"/>
      <c r="I926" s="477" t="n"/>
      <c r="J926" s="477" t="n"/>
      <c r="K926" s="477" t="n"/>
      <c r="L926" s="477" t="n"/>
      <c r="M926" s="477" t="n"/>
      <c r="N926" s="477" t="n"/>
      <c r="O926" s="477" t="n"/>
      <c r="P926" s="477" t="n"/>
      <c r="Q926" s="477" t="n"/>
      <c r="R926" s="477" t="n"/>
      <c r="S926" s="477" t="n"/>
      <c r="T926" s="477" t="n"/>
      <c r="U926" s="477" t="n"/>
      <c r="V926" s="477" t="n"/>
      <c r="W926" s="477" t="n"/>
      <c r="X926" s="477" t="n"/>
      <c r="Y926" s="477" t="n"/>
      <c r="Z926" s="477" t="n"/>
    </row>
    <row r="927" ht="15.75" customHeight="1">
      <c r="A927" s="477" t="n"/>
      <c r="B927" s="477" t="n"/>
      <c r="C927" s="477" t="n"/>
      <c r="D927" s="477" t="n"/>
      <c r="E927" s="477" t="n"/>
      <c r="F927" s="477" t="n"/>
      <c r="G927" s="477" t="n"/>
      <c r="H927" s="505" t="n"/>
      <c r="I927" s="477" t="n"/>
      <c r="J927" s="477" t="n"/>
      <c r="K927" s="477" t="n"/>
      <c r="L927" s="477" t="n"/>
      <c r="M927" s="477" t="n"/>
      <c r="N927" s="477" t="n"/>
      <c r="O927" s="477" t="n"/>
      <c r="P927" s="477" t="n"/>
      <c r="Q927" s="477" t="n"/>
      <c r="R927" s="477" t="n"/>
      <c r="S927" s="477" t="n"/>
      <c r="T927" s="477" t="n"/>
      <c r="U927" s="477" t="n"/>
      <c r="V927" s="477" t="n"/>
      <c r="W927" s="477" t="n"/>
      <c r="X927" s="477" t="n"/>
      <c r="Y927" s="477" t="n"/>
      <c r="Z927" s="477" t="n"/>
    </row>
    <row r="928" ht="15.75" customHeight="1">
      <c r="A928" s="477" t="n"/>
      <c r="B928" s="477" t="n"/>
      <c r="C928" s="477" t="n"/>
      <c r="D928" s="477" t="n"/>
      <c r="E928" s="477" t="n"/>
      <c r="F928" s="477" t="n"/>
      <c r="G928" s="477" t="n"/>
      <c r="H928" s="505" t="n"/>
      <c r="I928" s="477" t="n"/>
      <c r="J928" s="477" t="n"/>
      <c r="K928" s="477" t="n"/>
      <c r="L928" s="477" t="n"/>
      <c r="M928" s="477" t="n"/>
      <c r="N928" s="477" t="n"/>
      <c r="O928" s="477" t="n"/>
      <c r="P928" s="477" t="n"/>
      <c r="Q928" s="477" t="n"/>
      <c r="R928" s="477" t="n"/>
      <c r="S928" s="477" t="n"/>
      <c r="T928" s="477" t="n"/>
      <c r="U928" s="477" t="n"/>
      <c r="V928" s="477" t="n"/>
      <c r="W928" s="477" t="n"/>
      <c r="X928" s="477" t="n"/>
      <c r="Y928" s="477" t="n"/>
      <c r="Z928" s="477" t="n"/>
    </row>
    <row r="929" ht="15.75" customHeight="1">
      <c r="A929" s="477" t="n"/>
      <c r="B929" s="477" t="n"/>
      <c r="C929" s="477" t="n"/>
      <c r="D929" s="477" t="n"/>
      <c r="E929" s="477" t="n"/>
      <c r="F929" s="477" t="n"/>
      <c r="G929" s="477" t="n"/>
      <c r="H929" s="505" t="n"/>
      <c r="I929" s="477" t="n"/>
      <c r="J929" s="477" t="n"/>
      <c r="K929" s="477" t="n"/>
      <c r="L929" s="477" t="n"/>
      <c r="M929" s="477" t="n"/>
      <c r="N929" s="477" t="n"/>
      <c r="O929" s="477" t="n"/>
      <c r="P929" s="477" t="n"/>
      <c r="Q929" s="477" t="n"/>
      <c r="R929" s="477" t="n"/>
      <c r="S929" s="477" t="n"/>
      <c r="T929" s="477" t="n"/>
      <c r="U929" s="477" t="n"/>
      <c r="V929" s="477" t="n"/>
      <c r="W929" s="477" t="n"/>
      <c r="X929" s="477" t="n"/>
      <c r="Y929" s="477" t="n"/>
      <c r="Z929" s="477" t="n"/>
    </row>
    <row r="930" ht="15.75" customHeight="1">
      <c r="A930" s="477" t="n"/>
      <c r="B930" s="477" t="n"/>
      <c r="C930" s="477" t="n"/>
      <c r="D930" s="477" t="n"/>
      <c r="E930" s="477" t="n"/>
      <c r="F930" s="477" t="n"/>
      <c r="G930" s="477" t="n"/>
      <c r="H930" s="505" t="n"/>
      <c r="I930" s="477" t="n"/>
      <c r="J930" s="477" t="n"/>
      <c r="K930" s="477" t="n"/>
      <c r="L930" s="477" t="n"/>
      <c r="M930" s="477" t="n"/>
      <c r="N930" s="477" t="n"/>
      <c r="O930" s="477" t="n"/>
      <c r="P930" s="477" t="n"/>
      <c r="Q930" s="477" t="n"/>
      <c r="R930" s="477" t="n"/>
      <c r="S930" s="477" t="n"/>
      <c r="T930" s="477" t="n"/>
      <c r="U930" s="477" t="n"/>
      <c r="V930" s="477" t="n"/>
      <c r="W930" s="477" t="n"/>
      <c r="X930" s="477" t="n"/>
      <c r="Y930" s="477" t="n"/>
      <c r="Z930" s="477" t="n"/>
    </row>
    <row r="931" ht="15.75" customHeight="1">
      <c r="A931" s="477" t="n"/>
      <c r="B931" s="477" t="n"/>
      <c r="C931" s="477" t="n"/>
      <c r="D931" s="477" t="n"/>
      <c r="E931" s="477" t="n"/>
      <c r="F931" s="477" t="n"/>
      <c r="G931" s="477" t="n"/>
      <c r="H931" s="505" t="n"/>
      <c r="I931" s="477" t="n"/>
      <c r="J931" s="477" t="n"/>
      <c r="K931" s="477" t="n"/>
      <c r="L931" s="477" t="n"/>
      <c r="M931" s="477" t="n"/>
      <c r="N931" s="477" t="n"/>
      <c r="O931" s="477" t="n"/>
      <c r="P931" s="477" t="n"/>
      <c r="Q931" s="477" t="n"/>
      <c r="R931" s="477" t="n"/>
      <c r="S931" s="477" t="n"/>
      <c r="T931" s="477" t="n"/>
      <c r="U931" s="477" t="n"/>
      <c r="V931" s="477" t="n"/>
      <c r="W931" s="477" t="n"/>
      <c r="X931" s="477" t="n"/>
      <c r="Y931" s="477" t="n"/>
      <c r="Z931" s="477" t="n"/>
    </row>
    <row r="932" ht="15.75" customHeight="1">
      <c r="A932" s="477" t="n"/>
      <c r="B932" s="477" t="n"/>
      <c r="C932" s="477" t="n"/>
      <c r="D932" s="477" t="n"/>
      <c r="E932" s="477" t="n"/>
      <c r="F932" s="477" t="n"/>
      <c r="G932" s="477" t="n"/>
      <c r="H932" s="505" t="n"/>
      <c r="I932" s="477" t="n"/>
      <c r="J932" s="477" t="n"/>
      <c r="K932" s="477" t="n"/>
      <c r="L932" s="477" t="n"/>
      <c r="M932" s="477" t="n"/>
      <c r="N932" s="477" t="n"/>
      <c r="O932" s="477" t="n"/>
      <c r="P932" s="477" t="n"/>
      <c r="Q932" s="477" t="n"/>
      <c r="R932" s="477" t="n"/>
      <c r="S932" s="477" t="n"/>
      <c r="T932" s="477" t="n"/>
      <c r="U932" s="477" t="n"/>
      <c r="V932" s="477" t="n"/>
      <c r="W932" s="477" t="n"/>
      <c r="X932" s="477" t="n"/>
      <c r="Y932" s="477" t="n"/>
      <c r="Z932" s="477" t="n"/>
    </row>
    <row r="933" ht="15.75" customHeight="1">
      <c r="A933" s="477" t="n"/>
      <c r="B933" s="477" t="n"/>
      <c r="C933" s="477" t="n"/>
      <c r="D933" s="477" t="n"/>
      <c r="E933" s="477" t="n"/>
      <c r="F933" s="477" t="n"/>
      <c r="G933" s="477" t="n"/>
      <c r="H933" s="505" t="n"/>
      <c r="I933" s="477" t="n"/>
      <c r="J933" s="477" t="n"/>
      <c r="K933" s="477" t="n"/>
      <c r="L933" s="477" t="n"/>
      <c r="M933" s="477" t="n"/>
      <c r="N933" s="477" t="n"/>
      <c r="O933" s="477" t="n"/>
      <c r="P933" s="477" t="n"/>
      <c r="Q933" s="477" t="n"/>
      <c r="R933" s="477" t="n"/>
      <c r="S933" s="477" t="n"/>
      <c r="T933" s="477" t="n"/>
      <c r="U933" s="477" t="n"/>
      <c r="V933" s="477" t="n"/>
      <c r="W933" s="477" t="n"/>
      <c r="X933" s="477" t="n"/>
      <c r="Y933" s="477" t="n"/>
      <c r="Z933" s="477" t="n"/>
    </row>
    <row r="934" ht="15.75" customHeight="1">
      <c r="A934" s="477" t="n"/>
      <c r="B934" s="477" t="n"/>
      <c r="C934" s="477" t="n"/>
      <c r="D934" s="477" t="n"/>
      <c r="E934" s="477" t="n"/>
      <c r="F934" s="477" t="n"/>
      <c r="G934" s="477" t="n"/>
      <c r="H934" s="505" t="n"/>
      <c r="I934" s="477" t="n"/>
      <c r="J934" s="477" t="n"/>
      <c r="K934" s="477" t="n"/>
      <c r="L934" s="477" t="n"/>
      <c r="M934" s="477" t="n"/>
      <c r="N934" s="477" t="n"/>
      <c r="O934" s="477" t="n"/>
      <c r="P934" s="477" t="n"/>
      <c r="Q934" s="477" t="n"/>
      <c r="R934" s="477" t="n"/>
      <c r="S934" s="477" t="n"/>
      <c r="T934" s="477" t="n"/>
      <c r="U934" s="477" t="n"/>
      <c r="V934" s="477" t="n"/>
      <c r="W934" s="477" t="n"/>
      <c r="X934" s="477" t="n"/>
      <c r="Y934" s="477" t="n"/>
      <c r="Z934" s="477" t="n"/>
    </row>
    <row r="935" ht="15.75" customHeight="1">
      <c r="A935" s="477" t="n"/>
      <c r="B935" s="477" t="n"/>
      <c r="C935" s="477" t="n"/>
      <c r="D935" s="477" t="n"/>
      <c r="E935" s="477" t="n"/>
      <c r="F935" s="477" t="n"/>
      <c r="G935" s="477" t="n"/>
      <c r="H935" s="505" t="n"/>
      <c r="I935" s="477" t="n"/>
      <c r="J935" s="477" t="n"/>
      <c r="K935" s="477" t="n"/>
      <c r="L935" s="477" t="n"/>
      <c r="M935" s="477" t="n"/>
      <c r="N935" s="477" t="n"/>
      <c r="O935" s="477" t="n"/>
      <c r="P935" s="477" t="n"/>
      <c r="Q935" s="477" t="n"/>
      <c r="R935" s="477" t="n"/>
      <c r="S935" s="477" t="n"/>
      <c r="T935" s="477" t="n"/>
      <c r="U935" s="477" t="n"/>
      <c r="V935" s="477" t="n"/>
      <c r="W935" s="477" t="n"/>
      <c r="X935" s="477" t="n"/>
      <c r="Y935" s="477" t="n"/>
      <c r="Z935" s="477" t="n"/>
    </row>
    <row r="936" ht="15.75" customHeight="1">
      <c r="A936" s="477" t="n"/>
      <c r="B936" s="477" t="n"/>
      <c r="C936" s="477" t="n"/>
      <c r="D936" s="477" t="n"/>
      <c r="E936" s="477" t="n"/>
      <c r="F936" s="477" t="n"/>
      <c r="G936" s="477" t="n"/>
      <c r="H936" s="505" t="n"/>
      <c r="I936" s="477" t="n"/>
      <c r="J936" s="477" t="n"/>
      <c r="K936" s="477" t="n"/>
      <c r="L936" s="477" t="n"/>
      <c r="M936" s="477" t="n"/>
      <c r="N936" s="477" t="n"/>
      <c r="O936" s="477" t="n"/>
      <c r="P936" s="477" t="n"/>
      <c r="Q936" s="477" t="n"/>
      <c r="R936" s="477" t="n"/>
      <c r="S936" s="477" t="n"/>
      <c r="T936" s="477" t="n"/>
      <c r="U936" s="477" t="n"/>
      <c r="V936" s="477" t="n"/>
      <c r="W936" s="477" t="n"/>
      <c r="X936" s="477" t="n"/>
      <c r="Y936" s="477" t="n"/>
      <c r="Z936" s="477" t="n"/>
    </row>
    <row r="937" ht="15.75" customHeight="1">
      <c r="A937" s="477" t="n"/>
      <c r="B937" s="477" t="n"/>
      <c r="C937" s="477" t="n"/>
      <c r="D937" s="477" t="n"/>
      <c r="E937" s="477" t="n"/>
      <c r="F937" s="477" t="n"/>
      <c r="G937" s="477" t="n"/>
      <c r="H937" s="505" t="n"/>
      <c r="I937" s="477" t="n"/>
      <c r="J937" s="477" t="n"/>
      <c r="K937" s="477" t="n"/>
      <c r="L937" s="477" t="n"/>
      <c r="M937" s="477" t="n"/>
      <c r="N937" s="477" t="n"/>
      <c r="O937" s="477" t="n"/>
      <c r="P937" s="477" t="n"/>
      <c r="Q937" s="477" t="n"/>
      <c r="R937" s="477" t="n"/>
      <c r="S937" s="477" t="n"/>
      <c r="T937" s="477" t="n"/>
      <c r="U937" s="477" t="n"/>
      <c r="V937" s="477" t="n"/>
      <c r="W937" s="477" t="n"/>
      <c r="X937" s="477" t="n"/>
      <c r="Y937" s="477" t="n"/>
      <c r="Z937" s="477" t="n"/>
    </row>
    <row r="938" ht="15.75" customHeight="1">
      <c r="A938" s="477" t="n"/>
      <c r="B938" s="477" t="n"/>
      <c r="C938" s="477" t="n"/>
      <c r="D938" s="477" t="n"/>
      <c r="E938" s="477" t="n"/>
      <c r="F938" s="477" t="n"/>
      <c r="G938" s="477" t="n"/>
      <c r="H938" s="505" t="n"/>
      <c r="I938" s="477" t="n"/>
      <c r="J938" s="477" t="n"/>
      <c r="K938" s="477" t="n"/>
      <c r="L938" s="477" t="n"/>
      <c r="M938" s="477" t="n"/>
      <c r="N938" s="477" t="n"/>
      <c r="O938" s="477" t="n"/>
      <c r="P938" s="477" t="n"/>
      <c r="Q938" s="477" t="n"/>
      <c r="R938" s="477" t="n"/>
      <c r="S938" s="477" t="n"/>
      <c r="T938" s="477" t="n"/>
      <c r="U938" s="477" t="n"/>
      <c r="V938" s="477" t="n"/>
      <c r="W938" s="477" t="n"/>
      <c r="X938" s="477" t="n"/>
      <c r="Y938" s="477" t="n"/>
      <c r="Z938" s="477" t="n"/>
    </row>
    <row r="939" ht="15.75" customHeight="1">
      <c r="A939" s="477" t="n"/>
      <c r="B939" s="477" t="n"/>
      <c r="C939" s="477" t="n"/>
      <c r="D939" s="477" t="n"/>
      <c r="E939" s="477" t="n"/>
      <c r="F939" s="477" t="n"/>
      <c r="G939" s="477" t="n"/>
      <c r="H939" s="505" t="n"/>
      <c r="I939" s="477" t="n"/>
      <c r="J939" s="477" t="n"/>
      <c r="K939" s="477" t="n"/>
      <c r="L939" s="477" t="n"/>
      <c r="M939" s="477" t="n"/>
      <c r="N939" s="477" t="n"/>
      <c r="O939" s="477" t="n"/>
      <c r="P939" s="477" t="n"/>
      <c r="Q939" s="477" t="n"/>
      <c r="R939" s="477" t="n"/>
      <c r="S939" s="477" t="n"/>
      <c r="T939" s="477" t="n"/>
      <c r="U939" s="477" t="n"/>
      <c r="V939" s="477" t="n"/>
      <c r="W939" s="477" t="n"/>
      <c r="X939" s="477" t="n"/>
      <c r="Y939" s="477" t="n"/>
      <c r="Z939" s="477" t="n"/>
    </row>
    <row r="940" ht="15.75" customHeight="1">
      <c r="A940" s="477" t="n"/>
      <c r="B940" s="477" t="n"/>
      <c r="C940" s="477" t="n"/>
      <c r="D940" s="477" t="n"/>
      <c r="E940" s="477" t="n"/>
      <c r="F940" s="477" t="n"/>
      <c r="G940" s="477" t="n"/>
      <c r="H940" s="505" t="n"/>
      <c r="I940" s="477" t="n"/>
      <c r="J940" s="477" t="n"/>
      <c r="K940" s="477" t="n"/>
      <c r="L940" s="477" t="n"/>
      <c r="M940" s="477" t="n"/>
      <c r="N940" s="477" t="n"/>
      <c r="O940" s="477" t="n"/>
      <c r="P940" s="477" t="n"/>
      <c r="Q940" s="477" t="n"/>
      <c r="R940" s="477" t="n"/>
      <c r="S940" s="477" t="n"/>
      <c r="T940" s="477" t="n"/>
      <c r="U940" s="477" t="n"/>
      <c r="V940" s="477" t="n"/>
      <c r="W940" s="477" t="n"/>
      <c r="X940" s="477" t="n"/>
      <c r="Y940" s="477" t="n"/>
      <c r="Z940" s="477" t="n"/>
    </row>
    <row r="941" ht="15.75" customHeight="1">
      <c r="A941" s="477" t="n"/>
      <c r="B941" s="477" t="n"/>
      <c r="C941" s="477" t="n"/>
      <c r="D941" s="477" t="n"/>
      <c r="E941" s="477" t="n"/>
      <c r="F941" s="477" t="n"/>
      <c r="G941" s="477" t="n"/>
      <c r="H941" s="505" t="n"/>
      <c r="I941" s="477" t="n"/>
      <c r="J941" s="477" t="n"/>
      <c r="K941" s="477" t="n"/>
      <c r="L941" s="477" t="n"/>
      <c r="M941" s="477" t="n"/>
      <c r="N941" s="477" t="n"/>
      <c r="O941" s="477" t="n"/>
      <c r="P941" s="477" t="n"/>
      <c r="Q941" s="477" t="n"/>
      <c r="R941" s="477" t="n"/>
      <c r="S941" s="477" t="n"/>
      <c r="T941" s="477" t="n"/>
      <c r="U941" s="477" t="n"/>
      <c r="V941" s="477" t="n"/>
      <c r="W941" s="477" t="n"/>
      <c r="X941" s="477" t="n"/>
      <c r="Y941" s="477" t="n"/>
      <c r="Z941" s="477" t="n"/>
    </row>
    <row r="942" ht="15.75" customHeight="1">
      <c r="A942" s="477" t="n"/>
      <c r="B942" s="477" t="n"/>
      <c r="C942" s="477" t="n"/>
      <c r="D942" s="477" t="n"/>
      <c r="E942" s="477" t="n"/>
      <c r="F942" s="477" t="n"/>
      <c r="G942" s="477" t="n"/>
      <c r="H942" s="505" t="n"/>
      <c r="I942" s="477" t="n"/>
      <c r="J942" s="477" t="n"/>
      <c r="K942" s="477" t="n"/>
      <c r="L942" s="477" t="n"/>
      <c r="M942" s="477" t="n"/>
      <c r="N942" s="477" t="n"/>
      <c r="O942" s="477" t="n"/>
      <c r="P942" s="477" t="n"/>
      <c r="Q942" s="477" t="n"/>
      <c r="R942" s="477" t="n"/>
      <c r="S942" s="477" t="n"/>
      <c r="T942" s="477" t="n"/>
      <c r="U942" s="477" t="n"/>
      <c r="V942" s="477" t="n"/>
      <c r="W942" s="477" t="n"/>
      <c r="X942" s="477" t="n"/>
      <c r="Y942" s="477" t="n"/>
      <c r="Z942" s="477" t="n"/>
    </row>
    <row r="943" ht="15.75" customHeight="1">
      <c r="A943" s="477" t="n"/>
      <c r="B943" s="477" t="n"/>
      <c r="C943" s="477" t="n"/>
      <c r="D943" s="477" t="n"/>
      <c r="E943" s="477" t="n"/>
      <c r="F943" s="477" t="n"/>
      <c r="G943" s="477" t="n"/>
      <c r="H943" s="505" t="n"/>
      <c r="I943" s="477" t="n"/>
      <c r="J943" s="477" t="n"/>
      <c r="K943" s="477" t="n"/>
      <c r="L943" s="477" t="n"/>
      <c r="M943" s="477" t="n"/>
      <c r="N943" s="477" t="n"/>
      <c r="O943" s="477" t="n"/>
      <c r="P943" s="477" t="n"/>
      <c r="Q943" s="477" t="n"/>
      <c r="R943" s="477" t="n"/>
      <c r="S943" s="477" t="n"/>
      <c r="T943" s="477" t="n"/>
      <c r="U943" s="477" t="n"/>
      <c r="V943" s="477" t="n"/>
      <c r="W943" s="477" t="n"/>
      <c r="X943" s="477" t="n"/>
      <c r="Y943" s="477" t="n"/>
      <c r="Z943" s="477" t="n"/>
    </row>
    <row r="944" ht="15.75" customHeight="1">
      <c r="A944" s="477" t="n"/>
      <c r="B944" s="477" t="n"/>
      <c r="C944" s="477" t="n"/>
      <c r="D944" s="477" t="n"/>
      <c r="E944" s="477" t="n"/>
      <c r="F944" s="477" t="n"/>
      <c r="G944" s="477" t="n"/>
      <c r="H944" s="505" t="n"/>
      <c r="I944" s="477" t="n"/>
      <c r="J944" s="477" t="n"/>
      <c r="K944" s="477" t="n"/>
      <c r="L944" s="477" t="n"/>
      <c r="M944" s="477" t="n"/>
      <c r="N944" s="477" t="n"/>
      <c r="O944" s="477" t="n"/>
      <c r="P944" s="477" t="n"/>
      <c r="Q944" s="477" t="n"/>
      <c r="R944" s="477" t="n"/>
      <c r="S944" s="477" t="n"/>
      <c r="T944" s="477" t="n"/>
      <c r="U944" s="477" t="n"/>
      <c r="V944" s="477" t="n"/>
      <c r="W944" s="477" t="n"/>
      <c r="X944" s="477" t="n"/>
      <c r="Y944" s="477" t="n"/>
      <c r="Z944" s="477" t="n"/>
    </row>
    <row r="945" ht="15.75" customHeight="1">
      <c r="A945" s="477" t="n"/>
      <c r="B945" s="477" t="n"/>
      <c r="C945" s="477" t="n"/>
      <c r="D945" s="477" t="n"/>
      <c r="E945" s="477" t="n"/>
      <c r="F945" s="477" t="n"/>
      <c r="G945" s="477" t="n"/>
      <c r="H945" s="505" t="n"/>
      <c r="I945" s="477" t="n"/>
      <c r="J945" s="477" t="n"/>
      <c r="K945" s="477" t="n"/>
      <c r="L945" s="477" t="n"/>
      <c r="M945" s="477" t="n"/>
      <c r="N945" s="477" t="n"/>
      <c r="O945" s="477" t="n"/>
      <c r="P945" s="477" t="n"/>
      <c r="Q945" s="477" t="n"/>
      <c r="R945" s="477" t="n"/>
      <c r="S945" s="477" t="n"/>
      <c r="T945" s="477" t="n"/>
      <c r="U945" s="477" t="n"/>
      <c r="V945" s="477" t="n"/>
      <c r="W945" s="477" t="n"/>
      <c r="X945" s="477" t="n"/>
      <c r="Y945" s="477" t="n"/>
      <c r="Z945" s="477" t="n"/>
    </row>
    <row r="946" ht="15.75" customHeight="1">
      <c r="A946" s="477" t="n"/>
      <c r="B946" s="477" t="n"/>
      <c r="C946" s="477" t="n"/>
      <c r="D946" s="477" t="n"/>
      <c r="E946" s="477" t="n"/>
      <c r="F946" s="477" t="n"/>
      <c r="G946" s="477" t="n"/>
      <c r="H946" s="505" t="n"/>
      <c r="I946" s="477" t="n"/>
      <c r="J946" s="477" t="n"/>
      <c r="K946" s="477" t="n"/>
      <c r="L946" s="477" t="n"/>
      <c r="M946" s="477" t="n"/>
      <c r="N946" s="477" t="n"/>
      <c r="O946" s="477" t="n"/>
      <c r="P946" s="477" t="n"/>
      <c r="Q946" s="477" t="n"/>
      <c r="R946" s="477" t="n"/>
      <c r="S946" s="477" t="n"/>
      <c r="T946" s="477" t="n"/>
      <c r="U946" s="477" t="n"/>
      <c r="V946" s="477" t="n"/>
      <c r="W946" s="477" t="n"/>
      <c r="X946" s="477" t="n"/>
      <c r="Y946" s="477" t="n"/>
      <c r="Z946" s="477" t="n"/>
    </row>
    <row r="947" ht="15.75" customHeight="1">
      <c r="A947" s="477" t="n"/>
      <c r="B947" s="477" t="n"/>
      <c r="C947" s="477" t="n"/>
      <c r="D947" s="477" t="n"/>
      <c r="E947" s="477" t="n"/>
      <c r="F947" s="477" t="n"/>
      <c r="G947" s="477" t="n"/>
      <c r="H947" s="505" t="n"/>
      <c r="I947" s="477" t="n"/>
      <c r="J947" s="477" t="n"/>
      <c r="K947" s="477" t="n"/>
      <c r="L947" s="477" t="n"/>
      <c r="M947" s="477" t="n"/>
      <c r="N947" s="477" t="n"/>
      <c r="O947" s="477" t="n"/>
      <c r="P947" s="477" t="n"/>
      <c r="Q947" s="477" t="n"/>
      <c r="R947" s="477" t="n"/>
      <c r="S947" s="477" t="n"/>
      <c r="T947" s="477" t="n"/>
      <c r="U947" s="477" t="n"/>
      <c r="V947" s="477" t="n"/>
      <c r="W947" s="477" t="n"/>
      <c r="X947" s="477" t="n"/>
      <c r="Y947" s="477" t="n"/>
      <c r="Z947" s="477" t="n"/>
    </row>
    <row r="948" ht="15.75" customHeight="1">
      <c r="A948" s="477" t="n"/>
      <c r="B948" s="477" t="n"/>
      <c r="C948" s="477" t="n"/>
      <c r="D948" s="477" t="n"/>
      <c r="E948" s="477" t="n"/>
      <c r="F948" s="477" t="n"/>
      <c r="G948" s="477" t="n"/>
      <c r="H948" s="505" t="n"/>
      <c r="I948" s="477" t="n"/>
      <c r="J948" s="477" t="n"/>
      <c r="K948" s="477" t="n"/>
      <c r="L948" s="477" t="n"/>
      <c r="M948" s="477" t="n"/>
      <c r="N948" s="477" t="n"/>
      <c r="O948" s="477" t="n"/>
      <c r="P948" s="477" t="n"/>
      <c r="Q948" s="477" t="n"/>
      <c r="R948" s="477" t="n"/>
      <c r="S948" s="477" t="n"/>
      <c r="T948" s="477" t="n"/>
      <c r="U948" s="477" t="n"/>
      <c r="V948" s="477" t="n"/>
      <c r="W948" s="477" t="n"/>
      <c r="X948" s="477" t="n"/>
      <c r="Y948" s="477" t="n"/>
      <c r="Z948" s="477" t="n"/>
    </row>
    <row r="949" ht="15.75" customHeight="1">
      <c r="A949" s="477" t="n"/>
      <c r="B949" s="477" t="n"/>
      <c r="C949" s="477" t="n"/>
      <c r="D949" s="477" t="n"/>
      <c r="E949" s="477" t="n"/>
      <c r="F949" s="477" t="n"/>
      <c r="G949" s="477" t="n"/>
      <c r="H949" s="505" t="n"/>
      <c r="I949" s="477" t="n"/>
      <c r="J949" s="477" t="n"/>
      <c r="K949" s="477" t="n"/>
      <c r="L949" s="477" t="n"/>
      <c r="M949" s="477" t="n"/>
      <c r="N949" s="477" t="n"/>
      <c r="O949" s="477" t="n"/>
      <c r="P949" s="477" t="n"/>
      <c r="Q949" s="477" t="n"/>
      <c r="R949" s="477" t="n"/>
      <c r="S949" s="477" t="n"/>
      <c r="T949" s="477" t="n"/>
      <c r="U949" s="477" t="n"/>
      <c r="V949" s="477" t="n"/>
      <c r="W949" s="477" t="n"/>
      <c r="X949" s="477" t="n"/>
      <c r="Y949" s="477" t="n"/>
      <c r="Z949" s="477" t="n"/>
    </row>
    <row r="950" ht="15.75" customHeight="1">
      <c r="A950" s="477" t="n"/>
      <c r="B950" s="477" t="n"/>
      <c r="C950" s="477" t="n"/>
      <c r="D950" s="477" t="n"/>
      <c r="E950" s="477" t="n"/>
      <c r="F950" s="477" t="n"/>
      <c r="G950" s="477" t="n"/>
      <c r="H950" s="505" t="n"/>
      <c r="I950" s="477" t="n"/>
      <c r="J950" s="477" t="n"/>
      <c r="K950" s="477" t="n"/>
      <c r="L950" s="477" t="n"/>
      <c r="M950" s="477" t="n"/>
      <c r="N950" s="477" t="n"/>
      <c r="O950" s="477" t="n"/>
      <c r="P950" s="477" t="n"/>
      <c r="Q950" s="477" t="n"/>
      <c r="R950" s="477" t="n"/>
      <c r="S950" s="477" t="n"/>
      <c r="T950" s="477" t="n"/>
      <c r="U950" s="477" t="n"/>
      <c r="V950" s="477" t="n"/>
      <c r="W950" s="477" t="n"/>
      <c r="X950" s="477" t="n"/>
      <c r="Y950" s="477" t="n"/>
      <c r="Z950" s="477" t="n"/>
    </row>
    <row r="951" ht="15.75" customHeight="1">
      <c r="A951" s="477" t="n"/>
      <c r="B951" s="477" t="n"/>
      <c r="C951" s="477" t="n"/>
      <c r="D951" s="477" t="n"/>
      <c r="E951" s="477" t="n"/>
      <c r="F951" s="477" t="n"/>
      <c r="G951" s="477" t="n"/>
      <c r="H951" s="505" t="n"/>
      <c r="I951" s="477" t="n"/>
      <c r="J951" s="477" t="n"/>
      <c r="K951" s="477" t="n"/>
      <c r="L951" s="477" t="n"/>
      <c r="M951" s="477" t="n"/>
      <c r="N951" s="477" t="n"/>
      <c r="O951" s="477" t="n"/>
      <c r="P951" s="477" t="n"/>
      <c r="Q951" s="477" t="n"/>
      <c r="R951" s="477" t="n"/>
      <c r="S951" s="477" t="n"/>
      <c r="T951" s="477" t="n"/>
      <c r="U951" s="477" t="n"/>
      <c r="V951" s="477" t="n"/>
      <c r="W951" s="477" t="n"/>
      <c r="X951" s="477" t="n"/>
      <c r="Y951" s="477" t="n"/>
      <c r="Z951" s="477" t="n"/>
    </row>
    <row r="952" ht="15.75" customHeight="1">
      <c r="A952" s="477" t="n"/>
      <c r="B952" s="477" t="n"/>
      <c r="C952" s="477" t="n"/>
      <c r="D952" s="477" t="n"/>
      <c r="E952" s="477" t="n"/>
      <c r="F952" s="477" t="n"/>
      <c r="G952" s="477" t="n"/>
      <c r="H952" s="505" t="n"/>
      <c r="I952" s="477" t="n"/>
      <c r="J952" s="477" t="n"/>
      <c r="K952" s="477" t="n"/>
      <c r="L952" s="477" t="n"/>
      <c r="M952" s="477" t="n"/>
      <c r="N952" s="477" t="n"/>
      <c r="O952" s="477" t="n"/>
      <c r="P952" s="477" t="n"/>
      <c r="Q952" s="477" t="n"/>
      <c r="R952" s="477" t="n"/>
      <c r="S952" s="477" t="n"/>
      <c r="T952" s="477" t="n"/>
      <c r="U952" s="477" t="n"/>
      <c r="V952" s="477" t="n"/>
      <c r="W952" s="477" t="n"/>
      <c r="X952" s="477" t="n"/>
      <c r="Y952" s="477" t="n"/>
      <c r="Z952" s="477" t="n"/>
    </row>
    <row r="953" ht="15.75" customHeight="1">
      <c r="A953" s="477" t="n"/>
      <c r="B953" s="477" t="n"/>
      <c r="C953" s="477" t="n"/>
      <c r="D953" s="477" t="n"/>
      <c r="E953" s="477" t="n"/>
      <c r="F953" s="477" t="n"/>
      <c r="G953" s="477" t="n"/>
      <c r="H953" s="505" t="n"/>
      <c r="I953" s="477" t="n"/>
      <c r="J953" s="477" t="n"/>
      <c r="K953" s="477" t="n"/>
      <c r="L953" s="477" t="n"/>
      <c r="M953" s="477" t="n"/>
      <c r="N953" s="477" t="n"/>
      <c r="O953" s="477" t="n"/>
      <c r="P953" s="477" t="n"/>
      <c r="Q953" s="477" t="n"/>
      <c r="R953" s="477" t="n"/>
      <c r="S953" s="477" t="n"/>
      <c r="T953" s="477" t="n"/>
      <c r="U953" s="477" t="n"/>
      <c r="V953" s="477" t="n"/>
      <c r="W953" s="477" t="n"/>
      <c r="X953" s="477" t="n"/>
      <c r="Y953" s="477" t="n"/>
      <c r="Z953" s="477" t="n"/>
    </row>
    <row r="954" ht="15.75" customHeight="1">
      <c r="A954" s="477" t="n"/>
      <c r="B954" s="477" t="n"/>
      <c r="C954" s="477" t="n"/>
      <c r="D954" s="477" t="n"/>
      <c r="E954" s="477" t="n"/>
      <c r="F954" s="477" t="n"/>
      <c r="G954" s="477" t="n"/>
      <c r="H954" s="505" t="n"/>
      <c r="I954" s="477" t="n"/>
      <c r="J954" s="477" t="n"/>
      <c r="K954" s="477" t="n"/>
      <c r="L954" s="477" t="n"/>
      <c r="M954" s="477" t="n"/>
      <c r="N954" s="477" t="n"/>
      <c r="O954" s="477" t="n"/>
      <c r="P954" s="477" t="n"/>
      <c r="Q954" s="477" t="n"/>
      <c r="R954" s="477" t="n"/>
      <c r="S954" s="477" t="n"/>
      <c r="T954" s="477" t="n"/>
      <c r="U954" s="477" t="n"/>
      <c r="V954" s="477" t="n"/>
      <c r="W954" s="477" t="n"/>
      <c r="X954" s="477" t="n"/>
      <c r="Y954" s="477" t="n"/>
      <c r="Z954" s="477" t="n"/>
    </row>
    <row r="955" ht="15.75" customHeight="1">
      <c r="A955" s="477" t="n"/>
      <c r="B955" s="477" t="n"/>
      <c r="C955" s="477" t="n"/>
      <c r="D955" s="477" t="n"/>
      <c r="E955" s="477" t="n"/>
      <c r="F955" s="477" t="n"/>
      <c r="G955" s="477" t="n"/>
      <c r="H955" s="505" t="n"/>
      <c r="I955" s="477" t="n"/>
      <c r="J955" s="477" t="n"/>
      <c r="K955" s="477" t="n"/>
      <c r="L955" s="477" t="n"/>
      <c r="M955" s="477" t="n"/>
      <c r="N955" s="477" t="n"/>
      <c r="O955" s="477" t="n"/>
      <c r="P955" s="477" t="n"/>
      <c r="Q955" s="477" t="n"/>
      <c r="R955" s="477" t="n"/>
      <c r="S955" s="477" t="n"/>
      <c r="T955" s="477" t="n"/>
      <c r="U955" s="477" t="n"/>
      <c r="V955" s="477" t="n"/>
      <c r="W955" s="477" t="n"/>
      <c r="X955" s="477" t="n"/>
      <c r="Y955" s="477" t="n"/>
      <c r="Z955" s="477" t="n"/>
    </row>
    <row r="956" ht="15.75" customHeight="1">
      <c r="A956" s="477" t="n"/>
      <c r="B956" s="477" t="n"/>
      <c r="C956" s="477" t="n"/>
      <c r="D956" s="477" t="n"/>
      <c r="E956" s="477" t="n"/>
      <c r="F956" s="477" t="n"/>
      <c r="G956" s="477" t="n"/>
      <c r="H956" s="505" t="n"/>
      <c r="I956" s="477" t="n"/>
      <c r="J956" s="477" t="n"/>
      <c r="K956" s="477" t="n"/>
      <c r="L956" s="477" t="n"/>
      <c r="M956" s="477" t="n"/>
      <c r="N956" s="477" t="n"/>
      <c r="O956" s="477" t="n"/>
      <c r="P956" s="477" t="n"/>
      <c r="Q956" s="477" t="n"/>
      <c r="R956" s="477" t="n"/>
      <c r="S956" s="477" t="n"/>
      <c r="T956" s="477" t="n"/>
      <c r="U956" s="477" t="n"/>
      <c r="V956" s="477" t="n"/>
      <c r="W956" s="477" t="n"/>
      <c r="X956" s="477" t="n"/>
      <c r="Y956" s="477" t="n"/>
      <c r="Z956" s="477" t="n"/>
    </row>
    <row r="957" ht="15.75" customHeight="1">
      <c r="A957" s="477" t="n"/>
      <c r="B957" s="477" t="n"/>
      <c r="C957" s="477" t="n"/>
      <c r="D957" s="477" t="n"/>
      <c r="E957" s="477" t="n"/>
      <c r="F957" s="477" t="n"/>
      <c r="G957" s="477" t="n"/>
      <c r="H957" s="505" t="n"/>
      <c r="I957" s="477" t="n"/>
      <c r="J957" s="477" t="n"/>
      <c r="K957" s="477" t="n"/>
      <c r="L957" s="477" t="n"/>
      <c r="M957" s="477" t="n"/>
      <c r="N957" s="477" t="n"/>
      <c r="O957" s="477" t="n"/>
      <c r="P957" s="477" t="n"/>
      <c r="Q957" s="477" t="n"/>
      <c r="R957" s="477" t="n"/>
      <c r="S957" s="477" t="n"/>
      <c r="T957" s="477" t="n"/>
      <c r="U957" s="477" t="n"/>
      <c r="V957" s="477" t="n"/>
      <c r="W957" s="477" t="n"/>
      <c r="X957" s="477" t="n"/>
      <c r="Y957" s="477" t="n"/>
      <c r="Z957" s="477" t="n"/>
    </row>
    <row r="958" ht="15.75" customHeight="1">
      <c r="A958" s="477" t="n"/>
      <c r="B958" s="477" t="n"/>
      <c r="C958" s="477" t="n"/>
      <c r="D958" s="477" t="n"/>
      <c r="E958" s="477" t="n"/>
      <c r="F958" s="477" t="n"/>
      <c r="G958" s="477" t="n"/>
      <c r="H958" s="505" t="n"/>
      <c r="I958" s="477" t="n"/>
      <c r="J958" s="477" t="n"/>
      <c r="K958" s="477" t="n"/>
      <c r="L958" s="477" t="n"/>
      <c r="M958" s="477" t="n"/>
      <c r="N958" s="477" t="n"/>
      <c r="O958" s="477" t="n"/>
      <c r="P958" s="477" t="n"/>
      <c r="Q958" s="477" t="n"/>
      <c r="R958" s="477" t="n"/>
      <c r="S958" s="477" t="n"/>
      <c r="T958" s="477" t="n"/>
      <c r="U958" s="477" t="n"/>
      <c r="V958" s="477" t="n"/>
      <c r="W958" s="477" t="n"/>
      <c r="X958" s="477" t="n"/>
      <c r="Y958" s="477" t="n"/>
      <c r="Z958" s="477" t="n"/>
    </row>
    <row r="959" ht="15.75" customHeight="1">
      <c r="A959" s="477" t="n"/>
      <c r="B959" s="477" t="n"/>
      <c r="C959" s="477" t="n"/>
      <c r="D959" s="477" t="n"/>
      <c r="E959" s="477" t="n"/>
      <c r="F959" s="477" t="n"/>
      <c r="G959" s="477" t="n"/>
      <c r="H959" s="505" t="n"/>
      <c r="I959" s="477" t="n"/>
      <c r="J959" s="477" t="n"/>
      <c r="K959" s="477" t="n"/>
      <c r="L959" s="477" t="n"/>
      <c r="M959" s="477" t="n"/>
      <c r="N959" s="477" t="n"/>
      <c r="O959" s="477" t="n"/>
      <c r="P959" s="477" t="n"/>
      <c r="Q959" s="477" t="n"/>
      <c r="R959" s="477" t="n"/>
      <c r="S959" s="477" t="n"/>
      <c r="T959" s="477" t="n"/>
      <c r="U959" s="477" t="n"/>
      <c r="V959" s="477" t="n"/>
      <c r="W959" s="477" t="n"/>
      <c r="X959" s="477" t="n"/>
      <c r="Y959" s="477" t="n"/>
      <c r="Z959" s="477" t="n"/>
    </row>
    <row r="960" ht="15.75" customHeight="1">
      <c r="A960" s="477" t="n"/>
      <c r="B960" s="477" t="n"/>
      <c r="C960" s="477" t="n"/>
      <c r="D960" s="477" t="n"/>
      <c r="E960" s="477" t="n"/>
      <c r="F960" s="477" t="n"/>
      <c r="G960" s="477" t="n"/>
      <c r="H960" s="505" t="n"/>
      <c r="I960" s="477" t="n"/>
      <c r="J960" s="477" t="n"/>
      <c r="K960" s="477" t="n"/>
      <c r="L960" s="477" t="n"/>
      <c r="M960" s="477" t="n"/>
      <c r="N960" s="477" t="n"/>
      <c r="O960" s="477" t="n"/>
      <c r="P960" s="477" t="n"/>
      <c r="Q960" s="477" t="n"/>
      <c r="R960" s="477" t="n"/>
      <c r="S960" s="477" t="n"/>
      <c r="T960" s="477" t="n"/>
      <c r="U960" s="477" t="n"/>
      <c r="V960" s="477" t="n"/>
      <c r="W960" s="477" t="n"/>
      <c r="X960" s="477" t="n"/>
      <c r="Y960" s="477" t="n"/>
      <c r="Z960" s="477" t="n"/>
    </row>
    <row r="961" ht="15.75" customHeight="1">
      <c r="A961" s="477" t="n"/>
      <c r="B961" s="477" t="n"/>
      <c r="C961" s="477" t="n"/>
      <c r="D961" s="477" t="n"/>
      <c r="E961" s="477" t="n"/>
      <c r="F961" s="477" t="n"/>
      <c r="G961" s="477" t="n"/>
      <c r="H961" s="505" t="n"/>
      <c r="I961" s="477" t="n"/>
      <c r="J961" s="477" t="n"/>
      <c r="K961" s="477" t="n"/>
      <c r="L961" s="477" t="n"/>
      <c r="M961" s="477" t="n"/>
      <c r="N961" s="477" t="n"/>
      <c r="O961" s="477" t="n"/>
      <c r="P961" s="477" t="n"/>
      <c r="Q961" s="477" t="n"/>
      <c r="R961" s="477" t="n"/>
      <c r="S961" s="477" t="n"/>
      <c r="T961" s="477" t="n"/>
      <c r="U961" s="477" t="n"/>
      <c r="V961" s="477" t="n"/>
      <c r="W961" s="477" t="n"/>
      <c r="X961" s="477" t="n"/>
      <c r="Y961" s="477" t="n"/>
      <c r="Z961" s="477" t="n"/>
    </row>
    <row r="962" ht="15.75" customHeight="1">
      <c r="A962" s="477" t="n"/>
      <c r="B962" s="477" t="n"/>
      <c r="C962" s="477" t="n"/>
      <c r="D962" s="477" t="n"/>
      <c r="E962" s="477" t="n"/>
      <c r="F962" s="477" t="n"/>
      <c r="G962" s="477" t="n"/>
      <c r="H962" s="505" t="n"/>
      <c r="I962" s="477" t="n"/>
      <c r="J962" s="477" t="n"/>
      <c r="K962" s="477" t="n"/>
      <c r="L962" s="477" t="n"/>
      <c r="M962" s="477" t="n"/>
      <c r="N962" s="477" t="n"/>
      <c r="O962" s="477" t="n"/>
      <c r="P962" s="477" t="n"/>
      <c r="Q962" s="477" t="n"/>
      <c r="R962" s="477" t="n"/>
      <c r="S962" s="477" t="n"/>
      <c r="T962" s="477" t="n"/>
      <c r="U962" s="477" t="n"/>
      <c r="V962" s="477" t="n"/>
      <c r="W962" s="477" t="n"/>
      <c r="X962" s="477" t="n"/>
      <c r="Y962" s="477" t="n"/>
      <c r="Z962" s="477" t="n"/>
    </row>
    <row r="963" ht="15.75" customHeight="1">
      <c r="A963" s="477" t="n"/>
      <c r="B963" s="477" t="n"/>
      <c r="C963" s="477" t="n"/>
      <c r="D963" s="477" t="n"/>
      <c r="E963" s="477" t="n"/>
      <c r="F963" s="477" t="n"/>
      <c r="G963" s="477" t="n"/>
      <c r="H963" s="505" t="n"/>
      <c r="I963" s="477" t="n"/>
      <c r="J963" s="477" t="n"/>
      <c r="K963" s="477" t="n"/>
      <c r="L963" s="477" t="n"/>
      <c r="M963" s="477" t="n"/>
      <c r="N963" s="477" t="n"/>
      <c r="O963" s="477" t="n"/>
      <c r="P963" s="477" t="n"/>
      <c r="Q963" s="477" t="n"/>
      <c r="R963" s="477" t="n"/>
      <c r="S963" s="477" t="n"/>
      <c r="T963" s="477" t="n"/>
      <c r="U963" s="477" t="n"/>
      <c r="V963" s="477" t="n"/>
      <c r="W963" s="477" t="n"/>
      <c r="X963" s="477" t="n"/>
      <c r="Y963" s="477" t="n"/>
      <c r="Z963" s="477" t="n"/>
    </row>
    <row r="964" ht="15.75" customHeight="1">
      <c r="A964" s="477" t="n"/>
      <c r="B964" s="477" t="n"/>
      <c r="C964" s="477" t="n"/>
      <c r="D964" s="477" t="n"/>
      <c r="E964" s="477" t="n"/>
      <c r="F964" s="477" t="n"/>
      <c r="G964" s="477" t="n"/>
      <c r="H964" s="505" t="n"/>
      <c r="I964" s="477" t="n"/>
      <c r="J964" s="477" t="n"/>
      <c r="K964" s="477" t="n"/>
      <c r="L964" s="477" t="n"/>
      <c r="M964" s="477" t="n"/>
      <c r="N964" s="477" t="n"/>
      <c r="O964" s="477" t="n"/>
      <c r="P964" s="477" t="n"/>
      <c r="Q964" s="477" t="n"/>
      <c r="R964" s="477" t="n"/>
      <c r="S964" s="477" t="n"/>
      <c r="T964" s="477" t="n"/>
      <c r="U964" s="477" t="n"/>
      <c r="V964" s="477" t="n"/>
      <c r="W964" s="477" t="n"/>
      <c r="X964" s="477" t="n"/>
      <c r="Y964" s="477" t="n"/>
      <c r="Z964" s="477" t="n"/>
    </row>
    <row r="965" ht="15.75" customHeight="1">
      <c r="A965" s="477" t="n"/>
      <c r="B965" s="477" t="n"/>
      <c r="C965" s="477" t="n"/>
      <c r="D965" s="477" t="n"/>
      <c r="E965" s="477" t="n"/>
      <c r="F965" s="477" t="n"/>
      <c r="G965" s="477" t="n"/>
      <c r="H965" s="505" t="n"/>
      <c r="I965" s="477" t="n"/>
      <c r="J965" s="477" t="n"/>
      <c r="K965" s="477" t="n"/>
      <c r="L965" s="477" t="n"/>
      <c r="M965" s="477" t="n"/>
      <c r="N965" s="477" t="n"/>
      <c r="O965" s="477" t="n"/>
      <c r="P965" s="477" t="n"/>
      <c r="Q965" s="477" t="n"/>
      <c r="R965" s="477" t="n"/>
      <c r="S965" s="477" t="n"/>
      <c r="T965" s="477" t="n"/>
      <c r="U965" s="477" t="n"/>
      <c r="V965" s="477" t="n"/>
      <c r="W965" s="477" t="n"/>
      <c r="X965" s="477" t="n"/>
      <c r="Y965" s="477" t="n"/>
      <c r="Z965" s="477" t="n"/>
    </row>
    <row r="966" ht="15.75" customHeight="1">
      <c r="A966" s="477" t="n"/>
      <c r="B966" s="477" t="n"/>
      <c r="C966" s="477" t="n"/>
      <c r="D966" s="477" t="n"/>
      <c r="E966" s="477" t="n"/>
      <c r="F966" s="477" t="n"/>
      <c r="G966" s="477" t="n"/>
      <c r="H966" s="505" t="n"/>
      <c r="I966" s="477" t="n"/>
      <c r="J966" s="477" t="n"/>
      <c r="K966" s="477" t="n"/>
      <c r="L966" s="477" t="n"/>
      <c r="M966" s="477" t="n"/>
      <c r="N966" s="477" t="n"/>
      <c r="O966" s="477" t="n"/>
      <c r="P966" s="477" t="n"/>
      <c r="Q966" s="477" t="n"/>
      <c r="R966" s="477" t="n"/>
      <c r="S966" s="477" t="n"/>
      <c r="T966" s="477" t="n"/>
      <c r="U966" s="477" t="n"/>
      <c r="V966" s="477" t="n"/>
      <c r="W966" s="477" t="n"/>
      <c r="X966" s="477" t="n"/>
      <c r="Y966" s="477" t="n"/>
      <c r="Z966" s="477" t="n"/>
    </row>
    <row r="967" ht="15.75" customHeight="1">
      <c r="A967" s="477" t="n"/>
      <c r="B967" s="477" t="n"/>
      <c r="C967" s="477" t="n"/>
      <c r="D967" s="477" t="n"/>
      <c r="E967" s="477" t="n"/>
      <c r="F967" s="477" t="n"/>
      <c r="G967" s="477" t="n"/>
      <c r="H967" s="505" t="n"/>
      <c r="I967" s="477" t="n"/>
      <c r="J967" s="477" t="n"/>
      <c r="K967" s="477" t="n"/>
      <c r="L967" s="477" t="n"/>
      <c r="M967" s="477" t="n"/>
      <c r="N967" s="477" t="n"/>
      <c r="O967" s="477" t="n"/>
      <c r="P967" s="477" t="n"/>
      <c r="Q967" s="477" t="n"/>
      <c r="R967" s="477" t="n"/>
      <c r="S967" s="477" t="n"/>
      <c r="T967" s="477" t="n"/>
      <c r="U967" s="477" t="n"/>
      <c r="V967" s="477" t="n"/>
      <c r="W967" s="477" t="n"/>
      <c r="X967" s="477" t="n"/>
      <c r="Y967" s="477" t="n"/>
      <c r="Z967" s="477" t="n"/>
    </row>
    <row r="968" ht="15.75" customHeight="1">
      <c r="A968" s="477" t="n"/>
      <c r="B968" s="477" t="n"/>
      <c r="C968" s="477" t="n"/>
      <c r="D968" s="477" t="n"/>
      <c r="E968" s="477" t="n"/>
      <c r="F968" s="477" t="n"/>
      <c r="G968" s="477" t="n"/>
      <c r="H968" s="505" t="n"/>
      <c r="I968" s="477" t="n"/>
      <c r="J968" s="477" t="n"/>
      <c r="K968" s="477" t="n"/>
      <c r="L968" s="477" t="n"/>
      <c r="M968" s="477" t="n"/>
      <c r="N968" s="477" t="n"/>
      <c r="O968" s="477" t="n"/>
      <c r="P968" s="477" t="n"/>
      <c r="Q968" s="477" t="n"/>
      <c r="R968" s="477" t="n"/>
      <c r="S968" s="477" t="n"/>
      <c r="T968" s="477" t="n"/>
      <c r="U968" s="477" t="n"/>
      <c r="V968" s="477" t="n"/>
      <c r="W968" s="477" t="n"/>
      <c r="X968" s="477" t="n"/>
      <c r="Y968" s="477" t="n"/>
      <c r="Z968" s="477" t="n"/>
    </row>
    <row r="969" ht="15.75" customHeight="1">
      <c r="A969" s="477" t="n"/>
      <c r="B969" s="477" t="n"/>
      <c r="C969" s="477" t="n"/>
      <c r="D969" s="477" t="n"/>
      <c r="E969" s="477" t="n"/>
      <c r="F969" s="477" t="n"/>
      <c r="G969" s="477" t="n"/>
      <c r="H969" s="505" t="n"/>
      <c r="I969" s="477" t="n"/>
      <c r="J969" s="477" t="n"/>
      <c r="K969" s="477" t="n"/>
      <c r="L969" s="477" t="n"/>
      <c r="M969" s="477" t="n"/>
      <c r="N969" s="477" t="n"/>
      <c r="O969" s="477" t="n"/>
      <c r="P969" s="477" t="n"/>
      <c r="Q969" s="477" t="n"/>
      <c r="R969" s="477" t="n"/>
      <c r="S969" s="477" t="n"/>
      <c r="T969" s="477" t="n"/>
      <c r="U969" s="477" t="n"/>
      <c r="V969" s="477" t="n"/>
      <c r="W969" s="477" t="n"/>
      <c r="X969" s="477" t="n"/>
      <c r="Y969" s="477" t="n"/>
      <c r="Z969" s="477" t="n"/>
    </row>
    <row r="970" ht="15.75" customHeight="1">
      <c r="A970" s="477" t="n"/>
      <c r="B970" s="477" t="n"/>
      <c r="C970" s="477" t="n"/>
      <c r="D970" s="477" t="n"/>
      <c r="E970" s="477" t="n"/>
      <c r="F970" s="477" t="n"/>
      <c r="G970" s="477" t="n"/>
      <c r="H970" s="505" t="n"/>
      <c r="I970" s="477" t="n"/>
      <c r="J970" s="477" t="n"/>
      <c r="K970" s="477" t="n"/>
      <c r="L970" s="477" t="n"/>
      <c r="M970" s="477" t="n"/>
      <c r="N970" s="477" t="n"/>
      <c r="O970" s="477" t="n"/>
      <c r="P970" s="477" t="n"/>
      <c r="Q970" s="477" t="n"/>
      <c r="R970" s="477" t="n"/>
      <c r="S970" s="477" t="n"/>
      <c r="T970" s="477" t="n"/>
      <c r="U970" s="477" t="n"/>
      <c r="V970" s="477" t="n"/>
      <c r="W970" s="477" t="n"/>
      <c r="X970" s="477" t="n"/>
      <c r="Y970" s="477" t="n"/>
      <c r="Z970" s="477" t="n"/>
    </row>
    <row r="971" ht="15.75" customHeight="1">
      <c r="A971" s="477" t="n"/>
      <c r="B971" s="477" t="n"/>
      <c r="C971" s="477" t="n"/>
      <c r="D971" s="477" t="n"/>
      <c r="E971" s="477" t="n"/>
      <c r="F971" s="477" t="n"/>
      <c r="G971" s="477" t="n"/>
      <c r="H971" s="505" t="n"/>
      <c r="I971" s="477" t="n"/>
      <c r="J971" s="477" t="n"/>
      <c r="K971" s="477" t="n"/>
      <c r="L971" s="477" t="n"/>
      <c r="M971" s="477" t="n"/>
      <c r="N971" s="477" t="n"/>
      <c r="O971" s="477" t="n"/>
      <c r="P971" s="477" t="n"/>
      <c r="Q971" s="477" t="n"/>
      <c r="R971" s="477" t="n"/>
      <c r="S971" s="477" t="n"/>
      <c r="T971" s="477" t="n"/>
      <c r="U971" s="477" t="n"/>
      <c r="V971" s="477" t="n"/>
      <c r="W971" s="477" t="n"/>
      <c r="X971" s="477" t="n"/>
      <c r="Y971" s="477" t="n"/>
      <c r="Z971" s="477" t="n"/>
    </row>
    <row r="972" ht="15.75" customHeight="1">
      <c r="A972" s="477" t="n"/>
      <c r="B972" s="477" t="n"/>
      <c r="C972" s="477" t="n"/>
      <c r="D972" s="477" t="n"/>
      <c r="E972" s="477" t="n"/>
      <c r="F972" s="477" t="n"/>
      <c r="G972" s="477" t="n"/>
      <c r="H972" s="505" t="n"/>
      <c r="I972" s="477" t="n"/>
      <c r="J972" s="477" t="n"/>
      <c r="K972" s="477" t="n"/>
      <c r="L972" s="477" t="n"/>
      <c r="M972" s="477" t="n"/>
      <c r="N972" s="477" t="n"/>
      <c r="O972" s="477" t="n"/>
      <c r="P972" s="477" t="n"/>
      <c r="Q972" s="477" t="n"/>
      <c r="R972" s="477" t="n"/>
      <c r="S972" s="477" t="n"/>
      <c r="T972" s="477" t="n"/>
      <c r="U972" s="477" t="n"/>
      <c r="V972" s="477" t="n"/>
      <c r="W972" s="477" t="n"/>
      <c r="X972" s="477" t="n"/>
      <c r="Y972" s="477" t="n"/>
      <c r="Z972" s="477" t="n"/>
    </row>
    <row r="973" ht="15.75" customHeight="1">
      <c r="A973" s="477" t="n"/>
      <c r="B973" s="477" t="n"/>
      <c r="C973" s="477" t="n"/>
      <c r="D973" s="477" t="n"/>
      <c r="E973" s="477" t="n"/>
      <c r="F973" s="477" t="n"/>
      <c r="G973" s="477" t="n"/>
      <c r="H973" s="505" t="n"/>
      <c r="I973" s="477" t="n"/>
      <c r="J973" s="477" t="n"/>
      <c r="K973" s="477" t="n"/>
      <c r="L973" s="477" t="n"/>
      <c r="M973" s="477" t="n"/>
      <c r="N973" s="477" t="n"/>
      <c r="O973" s="477" t="n"/>
      <c r="P973" s="477" t="n"/>
      <c r="Q973" s="477" t="n"/>
      <c r="R973" s="477" t="n"/>
      <c r="S973" s="477" t="n"/>
      <c r="T973" s="477" t="n"/>
      <c r="U973" s="477" t="n"/>
      <c r="V973" s="477" t="n"/>
      <c r="W973" s="477" t="n"/>
      <c r="X973" s="477" t="n"/>
      <c r="Y973" s="477" t="n"/>
      <c r="Z973" s="477" t="n"/>
    </row>
    <row r="974" ht="15.75" customHeight="1">
      <c r="A974" s="477" t="n"/>
      <c r="B974" s="477" t="n"/>
      <c r="C974" s="477" t="n"/>
      <c r="D974" s="477" t="n"/>
      <c r="E974" s="477" t="n"/>
      <c r="F974" s="477" t="n"/>
      <c r="G974" s="477" t="n"/>
      <c r="H974" s="505" t="n"/>
      <c r="I974" s="477" t="n"/>
      <c r="J974" s="477" t="n"/>
      <c r="K974" s="477" t="n"/>
      <c r="L974" s="477" t="n"/>
      <c r="M974" s="477" t="n"/>
      <c r="N974" s="477" t="n"/>
      <c r="O974" s="477" t="n"/>
      <c r="P974" s="477" t="n"/>
      <c r="Q974" s="477" t="n"/>
      <c r="R974" s="477" t="n"/>
      <c r="S974" s="477" t="n"/>
      <c r="T974" s="477" t="n"/>
      <c r="U974" s="477" t="n"/>
      <c r="V974" s="477" t="n"/>
      <c r="W974" s="477" t="n"/>
      <c r="X974" s="477" t="n"/>
      <c r="Y974" s="477" t="n"/>
      <c r="Z974" s="477" t="n"/>
    </row>
    <row r="975" ht="15.75" customHeight="1">
      <c r="A975" s="477" t="n"/>
      <c r="B975" s="477" t="n"/>
      <c r="C975" s="477" t="n"/>
      <c r="D975" s="477" t="n"/>
      <c r="E975" s="477" t="n"/>
      <c r="F975" s="477" t="n"/>
      <c r="G975" s="477" t="n"/>
      <c r="H975" s="505" t="n"/>
      <c r="I975" s="477" t="n"/>
      <c r="J975" s="477" t="n"/>
      <c r="K975" s="477" t="n"/>
      <c r="L975" s="477" t="n"/>
      <c r="M975" s="477" t="n"/>
      <c r="N975" s="477" t="n"/>
      <c r="O975" s="477" t="n"/>
      <c r="P975" s="477" t="n"/>
      <c r="Q975" s="477" t="n"/>
      <c r="R975" s="477" t="n"/>
      <c r="S975" s="477" t="n"/>
      <c r="T975" s="477" t="n"/>
      <c r="U975" s="477" t="n"/>
      <c r="V975" s="477" t="n"/>
      <c r="W975" s="477" t="n"/>
      <c r="X975" s="477" t="n"/>
      <c r="Y975" s="477" t="n"/>
      <c r="Z975" s="477" t="n"/>
    </row>
    <row r="976" ht="15.75" customHeight="1">
      <c r="A976" s="477" t="n"/>
      <c r="B976" s="477" t="n"/>
      <c r="C976" s="477" t="n"/>
      <c r="D976" s="477" t="n"/>
      <c r="E976" s="477" t="n"/>
      <c r="F976" s="477" t="n"/>
      <c r="G976" s="477" t="n"/>
      <c r="H976" s="505" t="n"/>
      <c r="I976" s="477" t="n"/>
      <c r="J976" s="477" t="n"/>
      <c r="K976" s="477" t="n"/>
      <c r="L976" s="477" t="n"/>
      <c r="M976" s="477" t="n"/>
      <c r="N976" s="477" t="n"/>
      <c r="O976" s="477" t="n"/>
      <c r="P976" s="477" t="n"/>
      <c r="Q976" s="477" t="n"/>
      <c r="R976" s="477" t="n"/>
      <c r="S976" s="477" t="n"/>
      <c r="T976" s="477" t="n"/>
      <c r="U976" s="477" t="n"/>
      <c r="V976" s="477" t="n"/>
      <c r="W976" s="477" t="n"/>
      <c r="X976" s="477" t="n"/>
      <c r="Y976" s="477" t="n"/>
      <c r="Z976" s="477" t="n"/>
    </row>
    <row r="977" ht="15.75" customHeight="1">
      <c r="A977" s="477" t="n"/>
      <c r="B977" s="477" t="n"/>
      <c r="C977" s="477" t="n"/>
      <c r="D977" s="477" t="n"/>
      <c r="E977" s="477" t="n"/>
      <c r="F977" s="477" t="n"/>
      <c r="G977" s="477" t="n"/>
      <c r="H977" s="505" t="n"/>
      <c r="I977" s="477" t="n"/>
      <c r="J977" s="477" t="n"/>
      <c r="K977" s="477" t="n"/>
      <c r="L977" s="477" t="n"/>
      <c r="M977" s="477" t="n"/>
      <c r="N977" s="477" t="n"/>
      <c r="O977" s="477" t="n"/>
      <c r="P977" s="477" t="n"/>
      <c r="Q977" s="477" t="n"/>
      <c r="R977" s="477" t="n"/>
      <c r="S977" s="477" t="n"/>
      <c r="T977" s="477" t="n"/>
      <c r="U977" s="477" t="n"/>
      <c r="V977" s="477" t="n"/>
      <c r="W977" s="477" t="n"/>
      <c r="X977" s="477" t="n"/>
      <c r="Y977" s="477" t="n"/>
      <c r="Z977" s="477" t="n"/>
    </row>
    <row r="978" ht="15.75" customHeight="1">
      <c r="A978" s="477" t="n"/>
      <c r="B978" s="477" t="n"/>
      <c r="C978" s="477" t="n"/>
      <c r="D978" s="477" t="n"/>
      <c r="E978" s="477" t="n"/>
      <c r="F978" s="477" t="n"/>
      <c r="G978" s="477" t="n"/>
      <c r="H978" s="505" t="n"/>
      <c r="I978" s="477" t="n"/>
      <c r="J978" s="477" t="n"/>
      <c r="K978" s="477" t="n"/>
      <c r="L978" s="477" t="n"/>
      <c r="M978" s="477" t="n"/>
      <c r="N978" s="477" t="n"/>
      <c r="O978" s="477" t="n"/>
      <c r="P978" s="477" t="n"/>
      <c r="Q978" s="477" t="n"/>
      <c r="R978" s="477" t="n"/>
      <c r="S978" s="477" t="n"/>
      <c r="T978" s="477" t="n"/>
      <c r="U978" s="477" t="n"/>
      <c r="V978" s="477" t="n"/>
      <c r="W978" s="477" t="n"/>
      <c r="X978" s="477" t="n"/>
      <c r="Y978" s="477" t="n"/>
      <c r="Z978" s="477" t="n"/>
    </row>
    <row r="979" ht="15.75" customHeight="1">
      <c r="A979" s="477" t="n"/>
      <c r="B979" s="477" t="n"/>
      <c r="C979" s="477" t="n"/>
      <c r="D979" s="477" t="n"/>
      <c r="E979" s="477" t="n"/>
      <c r="F979" s="477" t="n"/>
      <c r="G979" s="477" t="n"/>
      <c r="H979" s="505" t="n"/>
      <c r="I979" s="477" t="n"/>
      <c r="J979" s="477" t="n"/>
      <c r="K979" s="477" t="n"/>
      <c r="L979" s="477" t="n"/>
      <c r="M979" s="477" t="n"/>
      <c r="N979" s="477" t="n"/>
      <c r="O979" s="477" t="n"/>
      <c r="P979" s="477" t="n"/>
      <c r="Q979" s="477" t="n"/>
      <c r="R979" s="477" t="n"/>
      <c r="S979" s="477" t="n"/>
      <c r="T979" s="477" t="n"/>
      <c r="U979" s="477" t="n"/>
      <c r="V979" s="477" t="n"/>
      <c r="W979" s="477" t="n"/>
      <c r="X979" s="477" t="n"/>
      <c r="Y979" s="477" t="n"/>
      <c r="Z979" s="477" t="n"/>
    </row>
    <row r="980" ht="15.75" customHeight="1">
      <c r="A980" s="477" t="n"/>
      <c r="B980" s="477" t="n"/>
      <c r="C980" s="477" t="n"/>
      <c r="D980" s="477" t="n"/>
      <c r="E980" s="477" t="n"/>
      <c r="F980" s="477" t="n"/>
      <c r="G980" s="477" t="n"/>
      <c r="H980" s="505" t="n"/>
      <c r="I980" s="477" t="n"/>
      <c r="J980" s="477" t="n"/>
      <c r="K980" s="477" t="n"/>
      <c r="L980" s="477" t="n"/>
      <c r="M980" s="477" t="n"/>
      <c r="N980" s="477" t="n"/>
      <c r="O980" s="477" t="n"/>
      <c r="P980" s="477" t="n"/>
      <c r="Q980" s="477" t="n"/>
      <c r="R980" s="477" t="n"/>
      <c r="S980" s="477" t="n"/>
      <c r="T980" s="477" t="n"/>
      <c r="U980" s="477" t="n"/>
      <c r="V980" s="477" t="n"/>
      <c r="W980" s="477" t="n"/>
      <c r="X980" s="477" t="n"/>
      <c r="Y980" s="477" t="n"/>
      <c r="Z980" s="477" t="n"/>
    </row>
    <row r="981" ht="15.75" customHeight="1">
      <c r="A981" s="477" t="n"/>
      <c r="B981" s="477" t="n"/>
      <c r="C981" s="477" t="n"/>
      <c r="D981" s="477" t="n"/>
      <c r="E981" s="477" t="n"/>
      <c r="F981" s="477" t="n"/>
      <c r="G981" s="477" t="n"/>
      <c r="H981" s="505" t="n"/>
      <c r="I981" s="477" t="n"/>
      <c r="J981" s="477" t="n"/>
      <c r="K981" s="477" t="n"/>
      <c r="L981" s="477" t="n"/>
      <c r="M981" s="477" t="n"/>
      <c r="N981" s="477" t="n"/>
      <c r="O981" s="477" t="n"/>
      <c r="P981" s="477" t="n"/>
      <c r="Q981" s="477" t="n"/>
      <c r="R981" s="477" t="n"/>
      <c r="S981" s="477" t="n"/>
      <c r="T981" s="477" t="n"/>
      <c r="U981" s="477" t="n"/>
      <c r="V981" s="477" t="n"/>
      <c r="W981" s="477" t="n"/>
      <c r="X981" s="477" t="n"/>
      <c r="Y981" s="477" t="n"/>
      <c r="Z981" s="477" t="n"/>
    </row>
    <row r="982" ht="15.75" customHeight="1">
      <c r="A982" s="477" t="n"/>
      <c r="B982" s="477" t="n"/>
      <c r="C982" s="477" t="n"/>
      <c r="D982" s="477" t="n"/>
      <c r="E982" s="477" t="n"/>
      <c r="F982" s="477" t="n"/>
      <c r="G982" s="477" t="n"/>
      <c r="H982" s="505" t="n"/>
      <c r="I982" s="477" t="n"/>
      <c r="J982" s="477" t="n"/>
      <c r="K982" s="477" t="n"/>
      <c r="L982" s="477" t="n"/>
      <c r="M982" s="477" t="n"/>
      <c r="N982" s="477" t="n"/>
      <c r="O982" s="477" t="n"/>
      <c r="P982" s="477" t="n"/>
      <c r="Q982" s="477" t="n"/>
      <c r="R982" s="477" t="n"/>
      <c r="S982" s="477" t="n"/>
      <c r="T982" s="477" t="n"/>
      <c r="U982" s="477" t="n"/>
      <c r="V982" s="477" t="n"/>
      <c r="W982" s="477" t="n"/>
      <c r="X982" s="477" t="n"/>
      <c r="Y982" s="477" t="n"/>
      <c r="Z982" s="477" t="n"/>
    </row>
    <row r="983" ht="15.75" customHeight="1">
      <c r="A983" s="477" t="n"/>
      <c r="B983" s="477" t="n"/>
      <c r="C983" s="477" t="n"/>
      <c r="D983" s="477" t="n"/>
      <c r="E983" s="477" t="n"/>
      <c r="F983" s="477" t="n"/>
      <c r="G983" s="477" t="n"/>
      <c r="H983" s="505" t="n"/>
      <c r="I983" s="477" t="n"/>
      <c r="J983" s="477" t="n"/>
      <c r="K983" s="477" t="n"/>
      <c r="L983" s="477" t="n"/>
      <c r="M983" s="477" t="n"/>
      <c r="N983" s="477" t="n"/>
      <c r="O983" s="477" t="n"/>
      <c r="P983" s="477" t="n"/>
      <c r="Q983" s="477" t="n"/>
      <c r="R983" s="477" t="n"/>
      <c r="S983" s="477" t="n"/>
      <c r="T983" s="477" t="n"/>
      <c r="U983" s="477" t="n"/>
      <c r="V983" s="477" t="n"/>
      <c r="W983" s="477" t="n"/>
      <c r="X983" s="477" t="n"/>
      <c r="Y983" s="477" t="n"/>
      <c r="Z983" s="477" t="n"/>
    </row>
    <row r="984" ht="15.75" customHeight="1">
      <c r="A984" s="477" t="n"/>
      <c r="B984" s="477" t="n"/>
      <c r="C984" s="477" t="n"/>
      <c r="D984" s="477" t="n"/>
      <c r="E984" s="477" t="n"/>
      <c r="F984" s="477" t="n"/>
      <c r="G984" s="477" t="n"/>
      <c r="H984" s="505" t="n"/>
      <c r="I984" s="477" t="n"/>
      <c r="J984" s="477" t="n"/>
      <c r="K984" s="477" t="n"/>
      <c r="L984" s="477" t="n"/>
      <c r="M984" s="477" t="n"/>
      <c r="N984" s="477" t="n"/>
      <c r="O984" s="477" t="n"/>
      <c r="P984" s="477" t="n"/>
      <c r="Q984" s="477" t="n"/>
      <c r="R984" s="477" t="n"/>
      <c r="S984" s="477" t="n"/>
      <c r="T984" s="477" t="n"/>
      <c r="U984" s="477" t="n"/>
      <c r="V984" s="477" t="n"/>
      <c r="W984" s="477" t="n"/>
      <c r="X984" s="477" t="n"/>
      <c r="Y984" s="477" t="n"/>
      <c r="Z984" s="477" t="n"/>
    </row>
    <row r="985" ht="15.75" customHeight="1">
      <c r="A985" s="477" t="n"/>
      <c r="B985" s="477" t="n"/>
      <c r="C985" s="477" t="n"/>
      <c r="D985" s="477" t="n"/>
      <c r="E985" s="477" t="n"/>
      <c r="F985" s="477" t="n"/>
      <c r="G985" s="477" t="n"/>
      <c r="H985" s="505" t="n"/>
      <c r="I985" s="477" t="n"/>
      <c r="J985" s="477" t="n"/>
      <c r="K985" s="477" t="n"/>
      <c r="L985" s="477" t="n"/>
      <c r="M985" s="477" t="n"/>
      <c r="N985" s="477" t="n"/>
      <c r="O985" s="477" t="n"/>
      <c r="P985" s="477" t="n"/>
      <c r="Q985" s="477" t="n"/>
      <c r="R985" s="477" t="n"/>
      <c r="S985" s="477" t="n"/>
      <c r="T985" s="477" t="n"/>
      <c r="U985" s="477" t="n"/>
      <c r="V985" s="477" t="n"/>
      <c r="W985" s="477" t="n"/>
      <c r="X985" s="477" t="n"/>
      <c r="Y985" s="477" t="n"/>
      <c r="Z985" s="477" t="n"/>
    </row>
    <row r="986" ht="15.75" customHeight="1">
      <c r="A986" s="477" t="n"/>
      <c r="B986" s="477" t="n"/>
      <c r="C986" s="477" t="n"/>
      <c r="D986" s="477" t="n"/>
      <c r="E986" s="477" t="n"/>
      <c r="F986" s="477" t="n"/>
      <c r="G986" s="477" t="n"/>
      <c r="H986" s="505" t="n"/>
      <c r="I986" s="477" t="n"/>
      <c r="J986" s="477" t="n"/>
      <c r="K986" s="477" t="n"/>
      <c r="L986" s="477" t="n"/>
      <c r="M986" s="477" t="n"/>
      <c r="N986" s="477" t="n"/>
      <c r="O986" s="477" t="n"/>
      <c r="P986" s="477" t="n"/>
      <c r="Q986" s="477" t="n"/>
      <c r="R986" s="477" t="n"/>
      <c r="S986" s="477" t="n"/>
      <c r="T986" s="477" t="n"/>
      <c r="U986" s="477" t="n"/>
      <c r="V986" s="477" t="n"/>
      <c r="W986" s="477" t="n"/>
      <c r="X986" s="477" t="n"/>
      <c r="Y986" s="477" t="n"/>
      <c r="Z986" s="477" t="n"/>
    </row>
    <row r="987" ht="15.75" customHeight="1">
      <c r="A987" s="477" t="n"/>
      <c r="B987" s="477" t="n"/>
      <c r="C987" s="477" t="n"/>
      <c r="D987" s="477" t="n"/>
      <c r="E987" s="477" t="n"/>
      <c r="F987" s="477" t="n"/>
      <c r="G987" s="477" t="n"/>
      <c r="H987" s="505" t="n"/>
      <c r="I987" s="477" t="n"/>
      <c r="J987" s="477" t="n"/>
      <c r="K987" s="477" t="n"/>
      <c r="L987" s="477" t="n"/>
      <c r="M987" s="477" t="n"/>
      <c r="N987" s="477" t="n"/>
      <c r="O987" s="477" t="n"/>
      <c r="P987" s="477" t="n"/>
      <c r="Q987" s="477" t="n"/>
      <c r="R987" s="477" t="n"/>
      <c r="S987" s="477" t="n"/>
      <c r="T987" s="477" t="n"/>
      <c r="U987" s="477" t="n"/>
      <c r="V987" s="477" t="n"/>
      <c r="W987" s="477" t="n"/>
      <c r="X987" s="477" t="n"/>
      <c r="Y987" s="477" t="n"/>
      <c r="Z987" s="477" t="n"/>
    </row>
    <row r="988" ht="15.75" customHeight="1">
      <c r="A988" s="477" t="n"/>
      <c r="B988" s="477" t="n"/>
      <c r="C988" s="477" t="n"/>
      <c r="D988" s="477" t="n"/>
      <c r="E988" s="477" t="n"/>
      <c r="F988" s="477" t="n"/>
      <c r="G988" s="477" t="n"/>
      <c r="H988" s="505" t="n"/>
      <c r="I988" s="477" t="n"/>
      <c r="J988" s="477" t="n"/>
      <c r="K988" s="477" t="n"/>
      <c r="L988" s="477" t="n"/>
      <c r="M988" s="477" t="n"/>
      <c r="N988" s="477" t="n"/>
      <c r="O988" s="477" t="n"/>
      <c r="P988" s="477" t="n"/>
      <c r="Q988" s="477" t="n"/>
      <c r="R988" s="477" t="n"/>
      <c r="S988" s="477" t="n"/>
      <c r="T988" s="477" t="n"/>
      <c r="U988" s="477" t="n"/>
      <c r="V988" s="477" t="n"/>
      <c r="W988" s="477" t="n"/>
      <c r="X988" s="477" t="n"/>
      <c r="Y988" s="477" t="n"/>
      <c r="Z988" s="477" t="n"/>
    </row>
    <row r="989" ht="15.75" customHeight="1">
      <c r="A989" s="477" t="n"/>
      <c r="B989" s="477" t="n"/>
      <c r="C989" s="477" t="n"/>
      <c r="D989" s="477" t="n"/>
      <c r="E989" s="477" t="n"/>
      <c r="F989" s="477" t="n"/>
      <c r="G989" s="477" t="n"/>
      <c r="H989" s="505" t="n"/>
      <c r="I989" s="477" t="n"/>
      <c r="J989" s="477" t="n"/>
      <c r="K989" s="477" t="n"/>
      <c r="L989" s="477" t="n"/>
      <c r="M989" s="477" t="n"/>
      <c r="N989" s="477" t="n"/>
      <c r="O989" s="477" t="n"/>
      <c r="P989" s="477" t="n"/>
      <c r="Q989" s="477" t="n"/>
      <c r="R989" s="477" t="n"/>
      <c r="S989" s="477" t="n"/>
      <c r="T989" s="477" t="n"/>
      <c r="U989" s="477" t="n"/>
      <c r="V989" s="477" t="n"/>
      <c r="W989" s="477" t="n"/>
      <c r="X989" s="477" t="n"/>
      <c r="Y989" s="477" t="n"/>
      <c r="Z989" s="477" t="n"/>
    </row>
    <row r="990" ht="15.75" customHeight="1">
      <c r="A990" s="477" t="n"/>
      <c r="B990" s="477" t="n"/>
      <c r="C990" s="477" t="n"/>
      <c r="D990" s="477" t="n"/>
      <c r="E990" s="477" t="n"/>
      <c r="F990" s="477" t="n"/>
      <c r="G990" s="477" t="n"/>
      <c r="H990" s="505" t="n"/>
      <c r="I990" s="477" t="n"/>
      <c r="J990" s="477" t="n"/>
      <c r="K990" s="477" t="n"/>
      <c r="L990" s="477" t="n"/>
      <c r="M990" s="477" t="n"/>
      <c r="N990" s="477" t="n"/>
      <c r="O990" s="477" t="n"/>
      <c r="P990" s="477" t="n"/>
      <c r="Q990" s="477" t="n"/>
      <c r="R990" s="477" t="n"/>
      <c r="S990" s="477" t="n"/>
      <c r="T990" s="477" t="n"/>
      <c r="U990" s="477" t="n"/>
      <c r="V990" s="477" t="n"/>
      <c r="W990" s="477" t="n"/>
      <c r="X990" s="477" t="n"/>
      <c r="Y990" s="477" t="n"/>
      <c r="Z990" s="477" t="n"/>
    </row>
    <row r="991" ht="15.75" customHeight="1">
      <c r="A991" s="477" t="n"/>
      <c r="B991" s="477" t="n"/>
      <c r="C991" s="477" t="n"/>
      <c r="D991" s="477" t="n"/>
      <c r="E991" s="477" t="n"/>
      <c r="F991" s="477" t="n"/>
      <c r="G991" s="477" t="n"/>
      <c r="H991" s="505" t="n"/>
      <c r="I991" s="477" t="n"/>
      <c r="J991" s="477" t="n"/>
      <c r="K991" s="477" t="n"/>
      <c r="L991" s="477" t="n"/>
      <c r="M991" s="477" t="n"/>
      <c r="N991" s="477" t="n"/>
      <c r="O991" s="477" t="n"/>
      <c r="P991" s="477" t="n"/>
      <c r="Q991" s="477" t="n"/>
      <c r="R991" s="477" t="n"/>
      <c r="S991" s="477" t="n"/>
      <c r="T991" s="477" t="n"/>
      <c r="U991" s="477" t="n"/>
      <c r="V991" s="477" t="n"/>
      <c r="W991" s="477" t="n"/>
      <c r="X991" s="477" t="n"/>
      <c r="Y991" s="477" t="n"/>
      <c r="Z991" s="477" t="n"/>
    </row>
    <row r="992" ht="15.75" customHeight="1">
      <c r="A992" s="477" t="n"/>
      <c r="B992" s="477" t="n"/>
      <c r="C992" s="477" t="n"/>
      <c r="D992" s="477" t="n"/>
      <c r="E992" s="477" t="n"/>
      <c r="F992" s="477" t="n"/>
      <c r="G992" s="477" t="n"/>
      <c r="H992" s="505" t="n"/>
      <c r="I992" s="477" t="n"/>
      <c r="J992" s="477" t="n"/>
      <c r="K992" s="477" t="n"/>
      <c r="L992" s="477" t="n"/>
      <c r="M992" s="477" t="n"/>
      <c r="N992" s="477" t="n"/>
      <c r="O992" s="477" t="n"/>
      <c r="P992" s="477" t="n"/>
      <c r="Q992" s="477" t="n"/>
      <c r="R992" s="477" t="n"/>
      <c r="S992" s="477" t="n"/>
      <c r="T992" s="477" t="n"/>
      <c r="U992" s="477" t="n"/>
      <c r="V992" s="477" t="n"/>
      <c r="W992" s="477" t="n"/>
      <c r="X992" s="477" t="n"/>
      <c r="Y992" s="477" t="n"/>
      <c r="Z992" s="477" t="n"/>
    </row>
    <row r="993" ht="15.75" customHeight="1">
      <c r="A993" s="477" t="n"/>
      <c r="B993" s="477" t="n"/>
      <c r="C993" s="477" t="n"/>
      <c r="D993" s="477" t="n"/>
      <c r="E993" s="477" t="n"/>
      <c r="F993" s="477" t="n"/>
      <c r="G993" s="477" t="n"/>
      <c r="H993" s="505" t="n"/>
      <c r="I993" s="477" t="n"/>
      <c r="J993" s="477" t="n"/>
      <c r="K993" s="477" t="n"/>
      <c r="L993" s="477" t="n"/>
      <c r="M993" s="477" t="n"/>
      <c r="N993" s="477" t="n"/>
      <c r="O993" s="477" t="n"/>
      <c r="P993" s="477" t="n"/>
      <c r="Q993" s="477" t="n"/>
      <c r="R993" s="477" t="n"/>
      <c r="S993" s="477" t="n"/>
      <c r="T993" s="477" t="n"/>
      <c r="U993" s="477" t="n"/>
      <c r="V993" s="477" t="n"/>
      <c r="W993" s="477" t="n"/>
      <c r="X993" s="477" t="n"/>
      <c r="Y993" s="477" t="n"/>
      <c r="Z993" s="477" t="n"/>
    </row>
    <row r="994" ht="15.75" customHeight="1">
      <c r="A994" s="477" t="n"/>
      <c r="B994" s="477" t="n"/>
      <c r="C994" s="477" t="n"/>
      <c r="D994" s="477" t="n"/>
      <c r="E994" s="477" t="n"/>
      <c r="F994" s="477" t="n"/>
      <c r="G994" s="477" t="n"/>
      <c r="H994" s="505" t="n"/>
      <c r="I994" s="477" t="n"/>
      <c r="J994" s="477" t="n"/>
      <c r="K994" s="477" t="n"/>
      <c r="L994" s="477" t="n"/>
      <c r="M994" s="477" t="n"/>
      <c r="N994" s="477" t="n"/>
      <c r="O994" s="477" t="n"/>
      <c r="P994" s="477" t="n"/>
      <c r="Q994" s="477" t="n"/>
      <c r="R994" s="477" t="n"/>
      <c r="S994" s="477" t="n"/>
      <c r="T994" s="477" t="n"/>
      <c r="U994" s="477" t="n"/>
      <c r="V994" s="477" t="n"/>
      <c r="W994" s="477" t="n"/>
      <c r="X994" s="477" t="n"/>
      <c r="Y994" s="477" t="n"/>
      <c r="Z994" s="477" t="n"/>
    </row>
    <row r="995" ht="15.75" customHeight="1">
      <c r="A995" s="477" t="n"/>
      <c r="B995" s="477" t="n"/>
      <c r="C995" s="477" t="n"/>
      <c r="D995" s="477" t="n"/>
      <c r="E995" s="477" t="n"/>
      <c r="F995" s="477" t="n"/>
      <c r="G995" s="477" t="n"/>
      <c r="H995" s="505" t="n"/>
      <c r="I995" s="477" t="n"/>
      <c r="J995" s="477" t="n"/>
      <c r="K995" s="477" t="n"/>
      <c r="L995" s="477" t="n"/>
      <c r="M995" s="477" t="n"/>
      <c r="N995" s="477" t="n"/>
      <c r="O995" s="477" t="n"/>
      <c r="P995" s="477" t="n"/>
      <c r="Q995" s="477" t="n"/>
      <c r="R995" s="477" t="n"/>
      <c r="S995" s="477" t="n"/>
      <c r="T995" s="477" t="n"/>
      <c r="U995" s="477" t="n"/>
      <c r="V995" s="477" t="n"/>
      <c r="W995" s="477" t="n"/>
      <c r="X995" s="477" t="n"/>
      <c r="Y995" s="477" t="n"/>
      <c r="Z995" s="477" t="n"/>
    </row>
    <row r="996" ht="15.75" customHeight="1">
      <c r="A996" s="477" t="n"/>
      <c r="B996" s="477" t="n"/>
      <c r="C996" s="477" t="n"/>
      <c r="D996" s="477" t="n"/>
      <c r="E996" s="477" t="n"/>
      <c r="F996" s="477" t="n"/>
      <c r="G996" s="477" t="n"/>
      <c r="H996" s="505" t="n"/>
      <c r="I996" s="477" t="n"/>
      <c r="J996" s="477" t="n"/>
      <c r="K996" s="477" t="n"/>
      <c r="L996" s="477" t="n"/>
      <c r="M996" s="477" t="n"/>
      <c r="N996" s="477" t="n"/>
      <c r="O996" s="477" t="n"/>
      <c r="P996" s="477" t="n"/>
      <c r="Q996" s="477" t="n"/>
      <c r="R996" s="477" t="n"/>
      <c r="S996" s="477" t="n"/>
      <c r="T996" s="477" t="n"/>
      <c r="U996" s="477" t="n"/>
      <c r="V996" s="477" t="n"/>
      <c r="W996" s="477" t="n"/>
      <c r="X996" s="477" t="n"/>
      <c r="Y996" s="477" t="n"/>
      <c r="Z996" s="477" t="n"/>
    </row>
    <row r="997" ht="15.75" customHeight="1">
      <c r="A997" s="477" t="n"/>
      <c r="B997" s="477" t="n"/>
      <c r="C997" s="477" t="n"/>
      <c r="D997" s="477" t="n"/>
      <c r="E997" s="477" t="n"/>
      <c r="F997" s="477" t="n"/>
      <c r="G997" s="477" t="n"/>
      <c r="H997" s="505" t="n"/>
      <c r="I997" s="477" t="n"/>
      <c r="J997" s="477" t="n"/>
      <c r="K997" s="477" t="n"/>
      <c r="L997" s="477" t="n"/>
      <c r="M997" s="477" t="n"/>
      <c r="N997" s="477" t="n"/>
      <c r="O997" s="477" t="n"/>
      <c r="P997" s="477" t="n"/>
      <c r="Q997" s="477" t="n"/>
      <c r="R997" s="477" t="n"/>
      <c r="S997" s="477" t="n"/>
      <c r="T997" s="477" t="n"/>
      <c r="U997" s="477" t="n"/>
      <c r="V997" s="477" t="n"/>
      <c r="W997" s="477" t="n"/>
      <c r="X997" s="477" t="n"/>
      <c r="Y997" s="477" t="n"/>
      <c r="Z997" s="477" t="n"/>
    </row>
    <row r="998" ht="15.75" customHeight="1">
      <c r="A998" s="477" t="n"/>
      <c r="B998" s="477" t="n"/>
      <c r="C998" s="477" t="n"/>
      <c r="D998" s="477" t="n"/>
      <c r="E998" s="477" t="n"/>
      <c r="F998" s="477" t="n"/>
      <c r="G998" s="477" t="n"/>
      <c r="H998" s="505" t="n"/>
      <c r="I998" s="477" t="n"/>
      <c r="J998" s="477" t="n"/>
      <c r="K998" s="477" t="n"/>
      <c r="L998" s="477" t="n"/>
      <c r="M998" s="477" t="n"/>
      <c r="N998" s="477" t="n"/>
      <c r="O998" s="477" t="n"/>
      <c r="P998" s="477" t="n"/>
      <c r="Q998" s="477" t="n"/>
      <c r="R998" s="477" t="n"/>
      <c r="S998" s="477" t="n"/>
      <c r="T998" s="477" t="n"/>
      <c r="U998" s="477" t="n"/>
      <c r="V998" s="477" t="n"/>
      <c r="W998" s="477" t="n"/>
      <c r="X998" s="477" t="n"/>
      <c r="Y998" s="477" t="n"/>
      <c r="Z998" s="477" t="n"/>
    </row>
    <row r="999" ht="15.75" customHeight="1">
      <c r="A999" s="477" t="n"/>
      <c r="B999" s="477" t="n"/>
      <c r="C999" s="477" t="n"/>
      <c r="D999" s="477" t="n"/>
      <c r="E999" s="477" t="n"/>
      <c r="F999" s="477" t="n"/>
      <c r="G999" s="477" t="n"/>
      <c r="H999" s="505" t="n"/>
      <c r="I999" s="477" t="n"/>
      <c r="J999" s="477" t="n"/>
      <c r="K999" s="477" t="n"/>
      <c r="L999" s="477" t="n"/>
      <c r="M999" s="477" t="n"/>
      <c r="N999" s="477" t="n"/>
      <c r="O999" s="477" t="n"/>
      <c r="P999" s="477" t="n"/>
      <c r="Q999" s="477" t="n"/>
      <c r="R999" s="477" t="n"/>
      <c r="S999" s="477" t="n"/>
      <c r="T999" s="477" t="n"/>
      <c r="U999" s="477" t="n"/>
      <c r="V999" s="477" t="n"/>
      <c r="W999" s="477" t="n"/>
      <c r="X999" s="477" t="n"/>
      <c r="Y999" s="477" t="n"/>
      <c r="Z999" s="477" t="n"/>
    </row>
    <row r="1000" ht="15.75" customHeight="1">
      <c r="A1000" s="477" t="n"/>
      <c r="B1000" s="477" t="n"/>
      <c r="C1000" s="477" t="n"/>
      <c r="D1000" s="477" t="n"/>
      <c r="E1000" s="477" t="n"/>
      <c r="F1000" s="477" t="n"/>
      <c r="G1000" s="477" t="n"/>
      <c r="H1000" s="505" t="n"/>
      <c r="I1000" s="477" t="n"/>
      <c r="J1000" s="477" t="n"/>
      <c r="K1000" s="477" t="n"/>
      <c r="L1000" s="477" t="n"/>
      <c r="M1000" s="477" t="n"/>
      <c r="N1000" s="477" t="n"/>
      <c r="O1000" s="477" t="n"/>
      <c r="P1000" s="477" t="n"/>
      <c r="Q1000" s="477" t="n"/>
      <c r="R1000" s="477" t="n"/>
      <c r="S1000" s="477" t="n"/>
      <c r="T1000" s="477" t="n"/>
      <c r="U1000" s="477" t="n"/>
      <c r="V1000" s="477" t="n"/>
      <c r="W1000" s="477" t="n"/>
      <c r="X1000" s="477" t="n"/>
      <c r="Y1000" s="477" t="n"/>
      <c r="Z1000" s="477" t="n"/>
    </row>
    <row r="1001" ht="15.75" customHeight="1">
      <c r="A1001" s="477" t="n"/>
      <c r="B1001" s="477" t="n"/>
      <c r="C1001" s="477" t="n"/>
      <c r="D1001" s="477" t="n"/>
      <c r="E1001" s="477" t="n"/>
      <c r="F1001" s="477" t="n"/>
      <c r="G1001" s="477" t="n"/>
      <c r="H1001" s="505" t="n"/>
      <c r="I1001" s="477" t="n"/>
      <c r="J1001" s="477" t="n"/>
      <c r="K1001" s="477" t="n"/>
      <c r="L1001" s="477" t="n"/>
      <c r="M1001" s="477" t="n"/>
      <c r="N1001" s="477" t="n"/>
      <c r="O1001" s="477" t="n"/>
      <c r="P1001" s="477" t="n"/>
      <c r="Q1001" s="477" t="n"/>
      <c r="R1001" s="477" t="n"/>
      <c r="S1001" s="477" t="n"/>
      <c r="T1001" s="477" t="n"/>
      <c r="U1001" s="477" t="n"/>
      <c r="V1001" s="477" t="n"/>
      <c r="W1001" s="477" t="n"/>
      <c r="X1001" s="477" t="n"/>
      <c r="Y1001" s="477" t="n"/>
      <c r="Z1001" s="477" t="n"/>
    </row>
    <row r="1002" ht="15.75" customHeight="1">
      <c r="A1002" s="477" t="n"/>
      <c r="B1002" s="477" t="n"/>
      <c r="C1002" s="477" t="n"/>
      <c r="D1002" s="477" t="n"/>
      <c r="E1002" s="477" t="n"/>
      <c r="F1002" s="477" t="n"/>
      <c r="G1002" s="477" t="n"/>
      <c r="H1002" s="505" t="n"/>
      <c r="I1002" s="477" t="n"/>
      <c r="J1002" s="477" t="n"/>
      <c r="K1002" s="477" t="n"/>
      <c r="L1002" s="477" t="n"/>
      <c r="M1002" s="477" t="n"/>
      <c r="N1002" s="477" t="n"/>
      <c r="O1002" s="477" t="n"/>
      <c r="P1002" s="477" t="n"/>
      <c r="Q1002" s="477" t="n"/>
      <c r="R1002" s="477" t="n"/>
      <c r="S1002" s="477" t="n"/>
      <c r="T1002" s="477" t="n"/>
      <c r="U1002" s="477" t="n"/>
      <c r="V1002" s="477" t="n"/>
      <c r="W1002" s="477" t="n"/>
      <c r="X1002" s="477" t="n"/>
      <c r="Y1002" s="477" t="n"/>
      <c r="Z1002" s="477" t="n"/>
    </row>
    <row r="1003" ht="15.75" customHeight="1">
      <c r="A1003" s="477" t="n"/>
      <c r="B1003" s="477" t="n"/>
      <c r="C1003" s="477" t="n"/>
      <c r="D1003" s="477" t="n"/>
      <c r="E1003" s="477" t="n"/>
      <c r="F1003" s="477" t="n"/>
      <c r="G1003" s="477" t="n"/>
      <c r="H1003" s="505" t="n"/>
      <c r="I1003" s="477" t="n"/>
      <c r="J1003" s="477" t="n"/>
      <c r="K1003" s="477" t="n"/>
      <c r="L1003" s="477" t="n"/>
      <c r="M1003" s="477" t="n"/>
      <c r="N1003" s="477" t="n"/>
      <c r="O1003" s="477" t="n"/>
      <c r="P1003" s="477" t="n"/>
      <c r="Q1003" s="477" t="n"/>
      <c r="R1003" s="477" t="n"/>
      <c r="S1003" s="477" t="n"/>
      <c r="T1003" s="477" t="n"/>
      <c r="U1003" s="477" t="n"/>
      <c r="V1003" s="477" t="n"/>
      <c r="W1003" s="477" t="n"/>
      <c r="X1003" s="477" t="n"/>
      <c r="Y1003" s="477" t="n"/>
      <c r="Z1003" s="477" t="n"/>
    </row>
    <row r="1004" ht="15.75" customHeight="1">
      <c r="A1004" s="477" t="n"/>
      <c r="B1004" s="477" t="n"/>
      <c r="C1004" s="477" t="n"/>
      <c r="D1004" s="477" t="n"/>
      <c r="E1004" s="477" t="n"/>
      <c r="F1004" s="477" t="n"/>
      <c r="G1004" s="477" t="n"/>
      <c r="H1004" s="505" t="n"/>
      <c r="I1004" s="477" t="n"/>
      <c r="J1004" s="477" t="n"/>
      <c r="K1004" s="477" t="n"/>
      <c r="L1004" s="477" t="n"/>
      <c r="M1004" s="477" t="n"/>
      <c r="N1004" s="477" t="n"/>
      <c r="O1004" s="477" t="n"/>
      <c r="P1004" s="477" t="n"/>
      <c r="Q1004" s="477" t="n"/>
      <c r="R1004" s="477" t="n"/>
      <c r="S1004" s="477" t="n"/>
      <c r="T1004" s="477" t="n"/>
      <c r="U1004" s="477" t="n"/>
      <c r="V1004" s="477" t="n"/>
      <c r="W1004" s="477" t="n"/>
      <c r="X1004" s="477" t="n"/>
      <c r="Y1004" s="477" t="n"/>
      <c r="Z1004" s="477" t="n"/>
    </row>
    <row r="1005" ht="15.75" customHeight="1">
      <c r="A1005" s="477" t="n"/>
      <c r="B1005" s="477" t="n"/>
      <c r="C1005" s="477" t="n"/>
      <c r="D1005" s="477" t="n"/>
      <c r="E1005" s="477" t="n"/>
      <c r="F1005" s="477" t="n"/>
      <c r="G1005" s="477" t="n"/>
      <c r="H1005" s="505" t="n"/>
      <c r="I1005" s="477" t="n"/>
      <c r="J1005" s="477" t="n"/>
      <c r="K1005" s="477" t="n"/>
      <c r="L1005" s="477" t="n"/>
      <c r="M1005" s="477" t="n"/>
      <c r="N1005" s="477" t="n"/>
      <c r="O1005" s="477" t="n"/>
      <c r="P1005" s="477" t="n"/>
      <c r="Q1005" s="477" t="n"/>
      <c r="R1005" s="477" t="n"/>
      <c r="S1005" s="477" t="n"/>
      <c r="T1005" s="477" t="n"/>
      <c r="U1005" s="477" t="n"/>
      <c r="V1005" s="477" t="n"/>
      <c r="W1005" s="477" t="n"/>
      <c r="X1005" s="477" t="n"/>
      <c r="Y1005" s="477" t="n"/>
      <c r="Z1005" s="477" t="n"/>
    </row>
    <row r="1006" ht="15.75" customHeight="1">
      <c r="A1006" s="477" t="n"/>
      <c r="B1006" s="477" t="n"/>
      <c r="C1006" s="477" t="n"/>
      <c r="D1006" s="477" t="n"/>
      <c r="E1006" s="477" t="n"/>
      <c r="F1006" s="477" t="n"/>
      <c r="G1006" s="477" t="n"/>
      <c r="H1006" s="505" t="n"/>
      <c r="I1006" s="477" t="n"/>
      <c r="J1006" s="477" t="n"/>
      <c r="K1006" s="477" t="n"/>
      <c r="L1006" s="477" t="n"/>
      <c r="M1006" s="477" t="n"/>
      <c r="N1006" s="477" t="n"/>
      <c r="O1006" s="477" t="n"/>
      <c r="P1006" s="477" t="n"/>
      <c r="Q1006" s="477" t="n"/>
      <c r="R1006" s="477" t="n"/>
      <c r="S1006" s="477" t="n"/>
      <c r="T1006" s="477" t="n"/>
      <c r="U1006" s="477" t="n"/>
      <c r="V1006" s="477" t="n"/>
      <c r="W1006" s="477" t="n"/>
      <c r="X1006" s="477" t="n"/>
      <c r="Y1006" s="477" t="n"/>
      <c r="Z1006" s="477" t="n"/>
    </row>
    <row r="1007" ht="15.75" customHeight="1">
      <c r="A1007" s="477" t="n"/>
      <c r="B1007" s="477" t="n"/>
      <c r="C1007" s="477" t="n"/>
      <c r="D1007" s="477" t="n"/>
      <c r="E1007" s="477" t="n"/>
      <c r="F1007" s="477" t="n"/>
      <c r="G1007" s="477" t="n"/>
      <c r="H1007" s="505" t="n"/>
      <c r="I1007" s="477" t="n"/>
      <c r="J1007" s="477" t="n"/>
      <c r="K1007" s="477" t="n"/>
      <c r="L1007" s="477" t="n"/>
      <c r="M1007" s="477" t="n"/>
      <c r="N1007" s="477" t="n"/>
      <c r="O1007" s="477" t="n"/>
      <c r="P1007" s="477" t="n"/>
      <c r="Q1007" s="477" t="n"/>
      <c r="R1007" s="477" t="n"/>
      <c r="S1007" s="477" t="n"/>
      <c r="T1007" s="477" t="n"/>
      <c r="U1007" s="477" t="n"/>
      <c r="V1007" s="477" t="n"/>
      <c r="W1007" s="477" t="n"/>
      <c r="X1007" s="477" t="n"/>
      <c r="Y1007" s="477" t="n"/>
      <c r="Z1007" s="477" t="n"/>
    </row>
    <row r="1008" ht="15.75" customHeight="1">
      <c r="A1008" s="477" t="n"/>
      <c r="B1008" s="477" t="n"/>
      <c r="C1008" s="477" t="n"/>
      <c r="D1008" s="477" t="n"/>
      <c r="E1008" s="477" t="n"/>
      <c r="F1008" s="477" t="n"/>
      <c r="G1008" s="477" t="n"/>
      <c r="H1008" s="505" t="n"/>
      <c r="I1008" s="477" t="n"/>
      <c r="J1008" s="477" t="n"/>
      <c r="K1008" s="477" t="n"/>
      <c r="L1008" s="477" t="n"/>
      <c r="M1008" s="477" t="n"/>
      <c r="N1008" s="477" t="n"/>
      <c r="O1008" s="477" t="n"/>
      <c r="P1008" s="477" t="n"/>
      <c r="Q1008" s="477" t="n"/>
      <c r="R1008" s="477" t="n"/>
      <c r="S1008" s="477" t="n"/>
      <c r="T1008" s="477" t="n"/>
      <c r="U1008" s="477" t="n"/>
      <c r="V1008" s="477" t="n"/>
      <c r="W1008" s="477" t="n"/>
      <c r="X1008" s="477" t="n"/>
      <c r="Y1008" s="477" t="n"/>
      <c r="Z1008" s="477" t="n"/>
    </row>
    <row r="1009" ht="15.75" customHeight="1">
      <c r="A1009" s="477" t="n"/>
      <c r="B1009" s="477" t="n"/>
      <c r="C1009" s="477" t="n"/>
      <c r="D1009" s="477" t="n"/>
      <c r="E1009" s="477" t="n"/>
      <c r="F1009" s="477" t="n"/>
      <c r="G1009" s="477" t="n"/>
      <c r="H1009" s="505" t="n"/>
      <c r="I1009" s="477" t="n"/>
      <c r="J1009" s="477" t="n"/>
      <c r="K1009" s="477" t="n"/>
      <c r="L1009" s="477" t="n"/>
      <c r="M1009" s="477" t="n"/>
      <c r="N1009" s="477" t="n"/>
      <c r="O1009" s="477" t="n"/>
      <c r="P1009" s="477" t="n"/>
      <c r="Q1009" s="477" t="n"/>
      <c r="R1009" s="477" t="n"/>
      <c r="S1009" s="477" t="n"/>
      <c r="T1009" s="477" t="n"/>
      <c r="U1009" s="477" t="n"/>
      <c r="V1009" s="477" t="n"/>
      <c r="W1009" s="477" t="n"/>
      <c r="X1009" s="477" t="n"/>
      <c r="Y1009" s="477" t="n"/>
      <c r="Z1009" s="477" t="n"/>
    </row>
    <row r="1010" ht="15.75" customHeight="1">
      <c r="A1010" s="477" t="n"/>
      <c r="B1010" s="477" t="n"/>
      <c r="C1010" s="477" t="n"/>
      <c r="D1010" s="477" t="n"/>
      <c r="E1010" s="477" t="n"/>
      <c r="F1010" s="477" t="n"/>
      <c r="G1010" s="477" t="n"/>
      <c r="H1010" s="505" t="n"/>
      <c r="I1010" s="477" t="n"/>
      <c r="J1010" s="477" t="n"/>
      <c r="K1010" s="477" t="n"/>
      <c r="L1010" s="477" t="n"/>
      <c r="M1010" s="477" t="n"/>
      <c r="N1010" s="477" t="n"/>
      <c r="O1010" s="477" t="n"/>
      <c r="P1010" s="477" t="n"/>
      <c r="Q1010" s="477" t="n"/>
      <c r="R1010" s="477" t="n"/>
      <c r="S1010" s="477" t="n"/>
      <c r="T1010" s="477" t="n"/>
      <c r="U1010" s="477" t="n"/>
      <c r="V1010" s="477" t="n"/>
      <c r="W1010" s="477" t="n"/>
      <c r="X1010" s="477" t="n"/>
      <c r="Y1010" s="477" t="n"/>
      <c r="Z1010" s="477" t="n"/>
    </row>
    <row r="1011" ht="15.75" customHeight="1">
      <c r="A1011" s="477" t="n"/>
      <c r="B1011" s="477" t="n"/>
      <c r="C1011" s="477" t="n"/>
      <c r="D1011" s="477" t="n"/>
      <c r="E1011" s="477" t="n"/>
      <c r="F1011" s="477" t="n"/>
      <c r="G1011" s="477" t="n"/>
      <c r="H1011" s="505" t="n"/>
      <c r="I1011" s="477" t="n"/>
      <c r="J1011" s="477" t="n"/>
      <c r="K1011" s="477" t="n"/>
      <c r="L1011" s="477" t="n"/>
      <c r="M1011" s="477" t="n"/>
      <c r="N1011" s="477" t="n"/>
      <c r="O1011" s="477" t="n"/>
      <c r="P1011" s="477" t="n"/>
      <c r="Q1011" s="477" t="n"/>
      <c r="R1011" s="477" t="n"/>
      <c r="S1011" s="477" t="n"/>
      <c r="T1011" s="477" t="n"/>
      <c r="U1011" s="477" t="n"/>
      <c r="V1011" s="477" t="n"/>
      <c r="W1011" s="477" t="n"/>
      <c r="X1011" s="477" t="n"/>
      <c r="Y1011" s="477" t="n"/>
      <c r="Z1011" s="477" t="n"/>
    </row>
    <row r="1012" ht="15.75" customHeight="1">
      <c r="A1012" s="477" t="n"/>
      <c r="B1012" s="477" t="n"/>
      <c r="C1012" s="477" t="n"/>
      <c r="D1012" s="477" t="n"/>
      <c r="E1012" s="477" t="n"/>
      <c r="F1012" s="477" t="n"/>
      <c r="G1012" s="477" t="n"/>
      <c r="H1012" s="505" t="n"/>
      <c r="I1012" s="477" t="n"/>
      <c r="J1012" s="477" t="n"/>
      <c r="K1012" s="477" t="n"/>
      <c r="L1012" s="477" t="n"/>
      <c r="M1012" s="477" t="n"/>
      <c r="N1012" s="477" t="n"/>
      <c r="O1012" s="477" t="n"/>
      <c r="P1012" s="477" t="n"/>
      <c r="Q1012" s="477" t="n"/>
      <c r="R1012" s="477" t="n"/>
      <c r="S1012" s="477" t="n"/>
      <c r="T1012" s="477" t="n"/>
      <c r="U1012" s="477" t="n"/>
      <c r="V1012" s="477" t="n"/>
      <c r="W1012" s="477" t="n"/>
      <c r="X1012" s="477" t="n"/>
      <c r="Y1012" s="477" t="n"/>
      <c r="Z1012" s="477" t="n"/>
    </row>
    <row r="1013" ht="15.75" customHeight="1">
      <c r="A1013" s="477" t="n"/>
      <c r="B1013" s="477" t="n"/>
      <c r="C1013" s="477" t="n"/>
      <c r="D1013" s="477" t="n"/>
      <c r="E1013" s="477" t="n"/>
      <c r="F1013" s="477" t="n"/>
      <c r="G1013" s="477" t="n"/>
      <c r="H1013" s="505" t="n"/>
      <c r="I1013" s="477" t="n"/>
      <c r="J1013" s="477" t="n"/>
      <c r="K1013" s="477" t="n"/>
      <c r="L1013" s="477" t="n"/>
      <c r="M1013" s="477" t="n"/>
      <c r="N1013" s="477" t="n"/>
      <c r="O1013" s="477" t="n"/>
      <c r="P1013" s="477" t="n"/>
      <c r="Q1013" s="477" t="n"/>
      <c r="R1013" s="477" t="n"/>
      <c r="S1013" s="477" t="n"/>
      <c r="T1013" s="477" t="n"/>
      <c r="U1013" s="477" t="n"/>
      <c r="V1013" s="477" t="n"/>
      <c r="W1013" s="477" t="n"/>
      <c r="X1013" s="477" t="n"/>
      <c r="Y1013" s="477" t="n"/>
      <c r="Z1013" s="477" t="n"/>
    </row>
    <row r="1014" ht="15.75" customHeight="1">
      <c r="A1014" s="477" t="n"/>
      <c r="B1014" s="477" t="n"/>
      <c r="C1014" s="477" t="n"/>
      <c r="D1014" s="477" t="n"/>
      <c r="E1014" s="477" t="n"/>
      <c r="F1014" s="477" t="n"/>
      <c r="G1014" s="477" t="n"/>
      <c r="H1014" s="505" t="n"/>
      <c r="I1014" s="477" t="n"/>
      <c r="J1014" s="477" t="n"/>
      <c r="K1014" s="477" t="n"/>
      <c r="L1014" s="477" t="n"/>
      <c r="M1014" s="477" t="n"/>
      <c r="N1014" s="477" t="n"/>
      <c r="O1014" s="477" t="n"/>
      <c r="P1014" s="477" t="n"/>
      <c r="Q1014" s="477" t="n"/>
      <c r="R1014" s="477" t="n"/>
      <c r="S1014" s="477" t="n"/>
      <c r="T1014" s="477" t="n"/>
      <c r="U1014" s="477" t="n"/>
      <c r="V1014" s="477" t="n"/>
      <c r="W1014" s="477" t="n"/>
      <c r="X1014" s="477" t="n"/>
      <c r="Y1014" s="477" t="n"/>
      <c r="Z1014" s="477" t="n"/>
    </row>
    <row r="1015" ht="15.75" customHeight="1">
      <c r="A1015" s="477" t="n"/>
      <c r="B1015" s="477" t="n"/>
      <c r="C1015" s="477" t="n"/>
      <c r="D1015" s="477" t="n"/>
      <c r="E1015" s="477" t="n"/>
      <c r="F1015" s="477" t="n"/>
      <c r="G1015" s="477" t="n"/>
      <c r="H1015" s="505" t="n"/>
      <c r="I1015" s="477" t="n"/>
      <c r="J1015" s="477" t="n"/>
      <c r="K1015" s="477" t="n"/>
      <c r="L1015" s="477" t="n"/>
      <c r="M1015" s="477" t="n"/>
      <c r="N1015" s="477" t="n"/>
      <c r="O1015" s="477" t="n"/>
      <c r="P1015" s="477" t="n"/>
      <c r="Q1015" s="477" t="n"/>
      <c r="R1015" s="477" t="n"/>
      <c r="S1015" s="477" t="n"/>
      <c r="T1015" s="477" t="n"/>
      <c r="U1015" s="477" t="n"/>
      <c r="V1015" s="477" t="n"/>
      <c r="W1015" s="477" t="n"/>
      <c r="X1015" s="477" t="n"/>
      <c r="Y1015" s="477" t="n"/>
      <c r="Z1015" s="477" t="n"/>
    </row>
    <row r="1016" ht="15.75" customHeight="1">
      <c r="A1016" s="477" t="n"/>
      <c r="B1016" s="477" t="n"/>
      <c r="C1016" s="477" t="n"/>
      <c r="D1016" s="477" t="n"/>
      <c r="E1016" s="477" t="n"/>
      <c r="F1016" s="477" t="n"/>
      <c r="G1016" s="477" t="n"/>
      <c r="H1016" s="505" t="n"/>
      <c r="I1016" s="477" t="n"/>
      <c r="J1016" s="477" t="n"/>
      <c r="K1016" s="477" t="n"/>
      <c r="L1016" s="477" t="n"/>
      <c r="M1016" s="477" t="n"/>
      <c r="N1016" s="477" t="n"/>
      <c r="O1016" s="477" t="n"/>
      <c r="P1016" s="477" t="n"/>
      <c r="Q1016" s="477" t="n"/>
      <c r="R1016" s="477" t="n"/>
      <c r="S1016" s="477" t="n"/>
      <c r="T1016" s="477" t="n"/>
      <c r="U1016" s="477" t="n"/>
      <c r="V1016" s="477" t="n"/>
      <c r="W1016" s="477" t="n"/>
      <c r="X1016" s="477" t="n"/>
      <c r="Y1016" s="477" t="n"/>
      <c r="Z1016" s="477" t="n"/>
    </row>
    <row r="1017" ht="15.75" customHeight="1">
      <c r="A1017" s="477" t="n"/>
      <c r="B1017" s="477" t="n"/>
      <c r="C1017" s="477" t="n"/>
      <c r="D1017" s="477" t="n"/>
      <c r="E1017" s="477" t="n"/>
      <c r="F1017" s="477" t="n"/>
      <c r="G1017" s="477" t="n"/>
      <c r="H1017" s="505" t="n"/>
      <c r="I1017" s="477" t="n"/>
      <c r="J1017" s="477" t="n"/>
      <c r="K1017" s="477" t="n"/>
      <c r="L1017" s="477" t="n"/>
      <c r="M1017" s="477" t="n"/>
      <c r="N1017" s="477" t="n"/>
      <c r="O1017" s="477" t="n"/>
      <c r="P1017" s="477" t="n"/>
      <c r="Q1017" s="477" t="n"/>
      <c r="R1017" s="477" t="n"/>
      <c r="S1017" s="477" t="n"/>
      <c r="T1017" s="477" t="n"/>
      <c r="U1017" s="477" t="n"/>
      <c r="V1017" s="477" t="n"/>
      <c r="W1017" s="477" t="n"/>
      <c r="X1017" s="477" t="n"/>
      <c r="Y1017" s="477" t="n"/>
      <c r="Z1017" s="477" t="n"/>
    </row>
    <row r="1018" ht="15.75" customHeight="1">
      <c r="A1018" s="477" t="n"/>
      <c r="B1018" s="477" t="n"/>
      <c r="C1018" s="477" t="n"/>
      <c r="D1018" s="477" t="n"/>
      <c r="E1018" s="477" t="n"/>
      <c r="F1018" s="477" t="n"/>
      <c r="G1018" s="477" t="n"/>
      <c r="H1018" s="505" t="n"/>
      <c r="I1018" s="477" t="n"/>
      <c r="J1018" s="477" t="n"/>
      <c r="K1018" s="477" t="n"/>
      <c r="L1018" s="477" t="n"/>
      <c r="M1018" s="477" t="n"/>
      <c r="N1018" s="477" t="n"/>
      <c r="O1018" s="477" t="n"/>
      <c r="P1018" s="477" t="n"/>
      <c r="Q1018" s="477" t="n"/>
      <c r="R1018" s="477" t="n"/>
      <c r="S1018" s="477" t="n"/>
      <c r="T1018" s="477" t="n"/>
      <c r="U1018" s="477" t="n"/>
      <c r="V1018" s="477" t="n"/>
      <c r="W1018" s="477" t="n"/>
      <c r="X1018" s="477" t="n"/>
      <c r="Y1018" s="477" t="n"/>
      <c r="Z1018" s="477" t="n"/>
    </row>
    <row r="1019" ht="15.75" customHeight="1">
      <c r="A1019" s="477" t="n"/>
      <c r="B1019" s="477" t="n"/>
      <c r="C1019" s="477" t="n"/>
      <c r="D1019" s="477" t="n"/>
      <c r="E1019" s="477" t="n"/>
      <c r="F1019" s="477" t="n"/>
      <c r="G1019" s="477" t="n"/>
      <c r="H1019" s="505" t="n"/>
      <c r="I1019" s="477" t="n"/>
      <c r="J1019" s="477" t="n"/>
      <c r="K1019" s="477" t="n"/>
      <c r="L1019" s="477" t="n"/>
      <c r="M1019" s="477" t="n"/>
      <c r="N1019" s="477" t="n"/>
      <c r="O1019" s="477" t="n"/>
      <c r="P1019" s="477" t="n"/>
      <c r="Q1019" s="477" t="n"/>
      <c r="R1019" s="477" t="n"/>
      <c r="S1019" s="477" t="n"/>
      <c r="T1019" s="477" t="n"/>
      <c r="U1019" s="477" t="n"/>
      <c r="V1019" s="477" t="n"/>
      <c r="W1019" s="477" t="n"/>
      <c r="X1019" s="477" t="n"/>
      <c r="Y1019" s="477" t="n"/>
      <c r="Z1019" s="477" t="n"/>
    </row>
    <row r="1020" ht="15.75" customHeight="1">
      <c r="A1020" s="477" t="n"/>
      <c r="B1020" s="477" t="n"/>
      <c r="C1020" s="477" t="n"/>
      <c r="D1020" s="477" t="n"/>
      <c r="E1020" s="477" t="n"/>
      <c r="F1020" s="477" t="n"/>
      <c r="G1020" s="477" t="n"/>
      <c r="H1020" s="505" t="n"/>
      <c r="I1020" s="477" t="n"/>
      <c r="J1020" s="477" t="n"/>
      <c r="K1020" s="477" t="n"/>
      <c r="L1020" s="477" t="n"/>
      <c r="M1020" s="477" t="n"/>
      <c r="N1020" s="477" t="n"/>
      <c r="O1020" s="477" t="n"/>
      <c r="P1020" s="477" t="n"/>
      <c r="Q1020" s="477" t="n"/>
      <c r="R1020" s="477" t="n"/>
      <c r="S1020" s="477" t="n"/>
      <c r="T1020" s="477" t="n"/>
      <c r="U1020" s="477" t="n"/>
      <c r="V1020" s="477" t="n"/>
      <c r="W1020" s="477" t="n"/>
      <c r="X1020" s="477" t="n"/>
      <c r="Y1020" s="477" t="n"/>
      <c r="Z1020" s="477" t="n"/>
    </row>
    <row r="1021" ht="15.75" customHeight="1">
      <c r="A1021" s="477" t="n"/>
      <c r="B1021" s="477" t="n"/>
      <c r="C1021" s="477" t="n"/>
      <c r="D1021" s="477" t="n"/>
      <c r="E1021" s="477" t="n"/>
      <c r="F1021" s="477" t="n"/>
      <c r="G1021" s="477" t="n"/>
      <c r="H1021" s="505" t="n"/>
      <c r="I1021" s="477" t="n"/>
      <c r="J1021" s="477" t="n"/>
      <c r="K1021" s="477" t="n"/>
      <c r="L1021" s="477" t="n"/>
      <c r="M1021" s="477" t="n"/>
      <c r="N1021" s="477" t="n"/>
      <c r="O1021" s="477" t="n"/>
      <c r="P1021" s="477" t="n"/>
      <c r="Q1021" s="477" t="n"/>
      <c r="R1021" s="477" t="n"/>
      <c r="S1021" s="477" t="n"/>
      <c r="T1021" s="477" t="n"/>
      <c r="U1021" s="477" t="n"/>
      <c r="V1021" s="477" t="n"/>
      <c r="W1021" s="477" t="n"/>
      <c r="X1021" s="477" t="n"/>
      <c r="Y1021" s="477" t="n"/>
      <c r="Z1021" s="477" t="n"/>
    </row>
    <row r="1022" ht="15.75" customHeight="1">
      <c r="A1022" s="477" t="n"/>
      <c r="B1022" s="477" t="n"/>
      <c r="C1022" s="477" t="n"/>
      <c r="D1022" s="477" t="n"/>
      <c r="E1022" s="477" t="n"/>
      <c r="F1022" s="477" t="n"/>
      <c r="G1022" s="477" t="n"/>
      <c r="H1022" s="505" t="n"/>
      <c r="I1022" s="477" t="n"/>
      <c r="J1022" s="477" t="n"/>
      <c r="K1022" s="477" t="n"/>
      <c r="L1022" s="477" t="n"/>
      <c r="M1022" s="477" t="n"/>
      <c r="N1022" s="477" t="n"/>
      <c r="O1022" s="477" t="n"/>
      <c r="P1022" s="477" t="n"/>
      <c r="Q1022" s="477" t="n"/>
      <c r="R1022" s="477" t="n"/>
      <c r="S1022" s="477" t="n"/>
      <c r="T1022" s="477" t="n"/>
      <c r="U1022" s="477" t="n"/>
      <c r="V1022" s="477" t="n"/>
      <c r="W1022" s="477" t="n"/>
      <c r="X1022" s="477" t="n"/>
      <c r="Y1022" s="477" t="n"/>
      <c r="Z1022" s="477" t="n"/>
    </row>
    <row r="1023" ht="15.75" customHeight="1">
      <c r="A1023" s="477" t="n"/>
      <c r="B1023" s="477" t="n"/>
      <c r="C1023" s="477" t="n"/>
      <c r="D1023" s="477" t="n"/>
      <c r="E1023" s="477" t="n"/>
      <c r="F1023" s="477" t="n"/>
      <c r="G1023" s="477" t="n"/>
      <c r="H1023" s="505" t="n"/>
      <c r="I1023" s="477" t="n"/>
      <c r="J1023" s="477" t="n"/>
      <c r="K1023" s="477" t="n"/>
      <c r="L1023" s="477" t="n"/>
      <c r="M1023" s="477" t="n"/>
      <c r="N1023" s="477" t="n"/>
      <c r="O1023" s="477" t="n"/>
      <c r="P1023" s="477" t="n"/>
      <c r="Q1023" s="477" t="n"/>
      <c r="R1023" s="477" t="n"/>
      <c r="S1023" s="477" t="n"/>
      <c r="T1023" s="477" t="n"/>
      <c r="U1023" s="477" t="n"/>
      <c r="V1023" s="477" t="n"/>
      <c r="W1023" s="477" t="n"/>
      <c r="X1023" s="477" t="n"/>
      <c r="Y1023" s="477" t="n"/>
      <c r="Z1023" s="477" t="n"/>
    </row>
    <row r="1024" ht="15.75" customHeight="1">
      <c r="A1024" s="477" t="n"/>
      <c r="B1024" s="477" t="n"/>
      <c r="C1024" s="477" t="n"/>
      <c r="D1024" s="477" t="n"/>
      <c r="E1024" s="477" t="n"/>
      <c r="F1024" s="477" t="n"/>
      <c r="G1024" s="477" t="n"/>
      <c r="H1024" s="505" t="n"/>
      <c r="I1024" s="477" t="n"/>
      <c r="J1024" s="477" t="n"/>
      <c r="K1024" s="477" t="n"/>
      <c r="L1024" s="477" t="n"/>
      <c r="M1024" s="477" t="n"/>
      <c r="N1024" s="477" t="n"/>
      <c r="O1024" s="477" t="n"/>
      <c r="P1024" s="477" t="n"/>
      <c r="Q1024" s="477" t="n"/>
      <c r="R1024" s="477" t="n"/>
      <c r="S1024" s="477" t="n"/>
      <c r="T1024" s="477" t="n"/>
      <c r="U1024" s="477" t="n"/>
      <c r="V1024" s="477" t="n"/>
      <c r="W1024" s="477" t="n"/>
      <c r="X1024" s="477" t="n"/>
      <c r="Y1024" s="477" t="n"/>
      <c r="Z1024" s="477" t="n"/>
    </row>
    <row r="1025" ht="15.75" customHeight="1">
      <c r="A1025" s="477" t="n"/>
      <c r="B1025" s="477" t="n"/>
      <c r="C1025" s="477" t="n"/>
      <c r="D1025" s="477" t="n"/>
      <c r="E1025" s="477" t="n"/>
      <c r="F1025" s="477" t="n"/>
      <c r="G1025" s="477" t="n"/>
      <c r="H1025" s="505" t="n"/>
      <c r="I1025" s="477" t="n"/>
      <c r="J1025" s="477" t="n"/>
      <c r="K1025" s="477" t="n"/>
      <c r="L1025" s="477" t="n"/>
      <c r="M1025" s="477" t="n"/>
      <c r="N1025" s="477" t="n"/>
      <c r="O1025" s="477" t="n"/>
      <c r="P1025" s="477" t="n"/>
      <c r="Q1025" s="477" t="n"/>
      <c r="R1025" s="477" t="n"/>
      <c r="S1025" s="477" t="n"/>
      <c r="T1025" s="477" t="n"/>
      <c r="U1025" s="477" t="n"/>
      <c r="V1025" s="477" t="n"/>
      <c r="W1025" s="477" t="n"/>
      <c r="X1025" s="477" t="n"/>
      <c r="Y1025" s="477" t="n"/>
      <c r="Z1025" s="477" t="n"/>
    </row>
    <row r="1026" ht="15.75" customHeight="1">
      <c r="A1026" s="477" t="n"/>
      <c r="B1026" s="477" t="n"/>
      <c r="C1026" s="477" t="n"/>
      <c r="D1026" s="477" t="n"/>
      <c r="E1026" s="477" t="n"/>
      <c r="F1026" s="477" t="n"/>
      <c r="G1026" s="477" t="n"/>
      <c r="H1026" s="505" t="n"/>
      <c r="I1026" s="477" t="n"/>
      <c r="J1026" s="477" t="n"/>
      <c r="K1026" s="477" t="n"/>
      <c r="L1026" s="477" t="n"/>
      <c r="M1026" s="477" t="n"/>
      <c r="N1026" s="477" t="n"/>
      <c r="O1026" s="477" t="n"/>
      <c r="P1026" s="477" t="n"/>
      <c r="Q1026" s="477" t="n"/>
      <c r="R1026" s="477" t="n"/>
      <c r="S1026" s="477" t="n"/>
      <c r="T1026" s="477" t="n"/>
      <c r="U1026" s="477" t="n"/>
      <c r="V1026" s="477" t="n"/>
      <c r="W1026" s="477" t="n"/>
      <c r="X1026" s="477" t="n"/>
      <c r="Y1026" s="477" t="n"/>
      <c r="Z1026" s="477" t="n"/>
    </row>
    <row r="1027" ht="15.75" customHeight="1">
      <c r="A1027" s="477" t="n"/>
      <c r="B1027" s="477" t="n"/>
      <c r="C1027" s="477" t="n"/>
      <c r="D1027" s="477" t="n"/>
      <c r="E1027" s="477" t="n"/>
      <c r="F1027" s="477" t="n"/>
      <c r="G1027" s="477" t="n"/>
      <c r="H1027" s="505" t="n"/>
      <c r="I1027" s="477" t="n"/>
      <c r="J1027" s="477" t="n"/>
      <c r="K1027" s="477" t="n"/>
      <c r="L1027" s="477" t="n"/>
      <c r="M1027" s="477" t="n"/>
      <c r="N1027" s="477" t="n"/>
      <c r="O1027" s="477" t="n"/>
      <c r="P1027" s="477" t="n"/>
      <c r="Q1027" s="477" t="n"/>
      <c r="R1027" s="477" t="n"/>
      <c r="S1027" s="477" t="n"/>
      <c r="T1027" s="477" t="n"/>
      <c r="U1027" s="477" t="n"/>
      <c r="V1027" s="477" t="n"/>
      <c r="W1027" s="477" t="n"/>
      <c r="X1027" s="477" t="n"/>
      <c r="Y1027" s="477" t="n"/>
      <c r="Z1027" s="477" t="n"/>
    </row>
    <row r="1028" ht="15.75" customHeight="1">
      <c r="A1028" s="477" t="n"/>
      <c r="B1028" s="477" t="n"/>
      <c r="C1028" s="477" t="n"/>
      <c r="D1028" s="477" t="n"/>
      <c r="E1028" s="477" t="n"/>
      <c r="F1028" s="477" t="n"/>
      <c r="G1028" s="477" t="n"/>
      <c r="H1028" s="505" t="n"/>
      <c r="I1028" s="477" t="n"/>
      <c r="J1028" s="477" t="n"/>
      <c r="K1028" s="477" t="n"/>
      <c r="L1028" s="477" t="n"/>
      <c r="M1028" s="477" t="n"/>
      <c r="N1028" s="477" t="n"/>
      <c r="O1028" s="477" t="n"/>
      <c r="P1028" s="477" t="n"/>
      <c r="Q1028" s="477" t="n"/>
      <c r="R1028" s="477" t="n"/>
      <c r="S1028" s="477" t="n"/>
      <c r="T1028" s="477" t="n"/>
      <c r="U1028" s="477" t="n"/>
      <c r="V1028" s="477" t="n"/>
      <c r="W1028" s="477" t="n"/>
      <c r="X1028" s="477" t="n"/>
      <c r="Y1028" s="477" t="n"/>
      <c r="Z1028" s="477" t="n"/>
    </row>
    <row r="1029" ht="15.75" customHeight="1">
      <c r="A1029" s="477" t="n"/>
      <c r="B1029" s="477" t="n"/>
      <c r="C1029" s="477" t="n"/>
      <c r="D1029" s="477" t="n"/>
      <c r="E1029" s="477" t="n"/>
      <c r="F1029" s="477" t="n"/>
      <c r="G1029" s="477" t="n"/>
      <c r="H1029" s="505" t="n"/>
      <c r="I1029" s="477" t="n"/>
      <c r="J1029" s="477" t="n"/>
      <c r="K1029" s="477" t="n"/>
      <c r="L1029" s="477" t="n"/>
      <c r="M1029" s="477" t="n"/>
      <c r="N1029" s="477" t="n"/>
      <c r="O1029" s="477" t="n"/>
      <c r="P1029" s="477" t="n"/>
      <c r="Q1029" s="477" t="n"/>
      <c r="R1029" s="477" t="n"/>
      <c r="S1029" s="477" t="n"/>
      <c r="T1029" s="477" t="n"/>
      <c r="U1029" s="477" t="n"/>
      <c r="V1029" s="477" t="n"/>
      <c r="W1029" s="477" t="n"/>
      <c r="X1029" s="477" t="n"/>
      <c r="Y1029" s="477" t="n"/>
      <c r="Z1029" s="477" t="n"/>
    </row>
    <row r="1030" ht="15.75" customHeight="1">
      <c r="A1030" s="477" t="n"/>
      <c r="B1030" s="477" t="n"/>
      <c r="C1030" s="477" t="n"/>
      <c r="D1030" s="477" t="n"/>
      <c r="E1030" s="477" t="n"/>
      <c r="F1030" s="477" t="n"/>
      <c r="G1030" s="477" t="n"/>
      <c r="H1030" s="505" t="n"/>
      <c r="I1030" s="477" t="n"/>
      <c r="J1030" s="477" t="n"/>
      <c r="K1030" s="477" t="n"/>
      <c r="L1030" s="477" t="n"/>
      <c r="M1030" s="477" t="n"/>
      <c r="N1030" s="477" t="n"/>
      <c r="O1030" s="477" t="n"/>
      <c r="P1030" s="477" t="n"/>
      <c r="Q1030" s="477" t="n"/>
      <c r="R1030" s="477" t="n"/>
      <c r="S1030" s="477" t="n"/>
      <c r="T1030" s="477" t="n"/>
      <c r="U1030" s="477" t="n"/>
      <c r="V1030" s="477" t="n"/>
      <c r="W1030" s="477" t="n"/>
      <c r="X1030" s="477" t="n"/>
      <c r="Y1030" s="477" t="n"/>
      <c r="Z1030" s="477" t="n"/>
    </row>
    <row r="1031" ht="15.75" customHeight="1">
      <c r="A1031" s="477" t="n"/>
      <c r="B1031" s="477" t="n"/>
      <c r="C1031" s="477" t="n"/>
      <c r="D1031" s="477" t="n"/>
      <c r="E1031" s="477" t="n"/>
      <c r="F1031" s="477" t="n"/>
      <c r="G1031" s="477" t="n"/>
      <c r="H1031" s="505" t="n"/>
      <c r="I1031" s="477" t="n"/>
      <c r="J1031" s="477" t="n"/>
      <c r="K1031" s="477" t="n"/>
      <c r="L1031" s="477" t="n"/>
      <c r="M1031" s="477" t="n"/>
      <c r="N1031" s="477" t="n"/>
      <c r="O1031" s="477" t="n"/>
      <c r="P1031" s="477" t="n"/>
      <c r="Q1031" s="477" t="n"/>
      <c r="R1031" s="477" t="n"/>
      <c r="S1031" s="477" t="n"/>
      <c r="T1031" s="477" t="n"/>
      <c r="U1031" s="477" t="n"/>
      <c r="V1031" s="477" t="n"/>
      <c r="W1031" s="477" t="n"/>
      <c r="X1031" s="477" t="n"/>
      <c r="Y1031" s="477" t="n"/>
      <c r="Z1031" s="477" t="n"/>
    </row>
    <row r="1032" ht="15.75" customHeight="1">
      <c r="A1032" s="477" t="n"/>
      <c r="B1032" s="477" t="n"/>
      <c r="C1032" s="477" t="n"/>
      <c r="D1032" s="477" t="n"/>
      <c r="E1032" s="477" t="n"/>
      <c r="F1032" s="477" t="n"/>
      <c r="G1032" s="477" t="n"/>
      <c r="H1032" s="505" t="n"/>
      <c r="I1032" s="477" t="n"/>
      <c r="J1032" s="477" t="n"/>
      <c r="K1032" s="477" t="n"/>
      <c r="L1032" s="477" t="n"/>
      <c r="M1032" s="477" t="n"/>
      <c r="N1032" s="477" t="n"/>
      <c r="O1032" s="477" t="n"/>
      <c r="P1032" s="477" t="n"/>
      <c r="Q1032" s="477" t="n"/>
      <c r="R1032" s="477" t="n"/>
      <c r="S1032" s="477" t="n"/>
      <c r="T1032" s="477" t="n"/>
      <c r="U1032" s="477" t="n"/>
      <c r="V1032" s="477" t="n"/>
      <c r="W1032" s="477" t="n"/>
      <c r="X1032" s="477" t="n"/>
      <c r="Y1032" s="477" t="n"/>
      <c r="Z1032" s="477" t="n"/>
    </row>
    <row r="1033" ht="15.75" customHeight="1">
      <c r="A1033" s="477" t="n"/>
      <c r="B1033" s="477" t="n"/>
      <c r="C1033" s="477" t="n"/>
      <c r="D1033" s="477" t="n"/>
      <c r="E1033" s="477" t="n"/>
      <c r="F1033" s="477" t="n"/>
      <c r="G1033" s="477" t="n"/>
      <c r="H1033" s="505" t="n"/>
      <c r="I1033" s="477" t="n"/>
      <c r="J1033" s="477" t="n"/>
      <c r="K1033" s="477" t="n"/>
      <c r="L1033" s="477" t="n"/>
      <c r="M1033" s="477" t="n"/>
      <c r="N1033" s="477" t="n"/>
      <c r="O1033" s="477" t="n"/>
      <c r="P1033" s="477" t="n"/>
      <c r="Q1033" s="477" t="n"/>
      <c r="R1033" s="477" t="n"/>
      <c r="S1033" s="477" t="n"/>
      <c r="T1033" s="477" t="n"/>
      <c r="U1033" s="477" t="n"/>
      <c r="V1033" s="477" t="n"/>
      <c r="W1033" s="477" t="n"/>
      <c r="X1033" s="477" t="n"/>
      <c r="Y1033" s="477" t="n"/>
      <c r="Z1033" s="477" t="n"/>
    </row>
    <row r="1034" ht="15.75" customHeight="1">
      <c r="A1034" s="477" t="n"/>
      <c r="B1034" s="477" t="n"/>
      <c r="C1034" s="477" t="n"/>
      <c r="D1034" s="477" t="n"/>
      <c r="E1034" s="477" t="n"/>
      <c r="F1034" s="477" t="n"/>
      <c r="G1034" s="477" t="n"/>
      <c r="H1034" s="505" t="n"/>
      <c r="I1034" s="477" t="n"/>
      <c r="J1034" s="477" t="n"/>
      <c r="K1034" s="477" t="n"/>
      <c r="L1034" s="477" t="n"/>
      <c r="M1034" s="477" t="n"/>
      <c r="N1034" s="477" t="n"/>
      <c r="O1034" s="477" t="n"/>
      <c r="P1034" s="477" t="n"/>
      <c r="Q1034" s="477" t="n"/>
      <c r="R1034" s="477" t="n"/>
      <c r="S1034" s="477" t="n"/>
      <c r="T1034" s="477" t="n"/>
      <c r="U1034" s="477" t="n"/>
      <c r="V1034" s="477" t="n"/>
      <c r="W1034" s="477" t="n"/>
      <c r="X1034" s="477" t="n"/>
      <c r="Y1034" s="477" t="n"/>
      <c r="Z1034" s="477" t="n"/>
    </row>
    <row r="1035" ht="15.75" customHeight="1">
      <c r="A1035" s="477" t="n"/>
      <c r="B1035" s="477" t="n"/>
      <c r="C1035" s="477" t="n"/>
      <c r="D1035" s="477" t="n"/>
      <c r="E1035" s="477" t="n"/>
      <c r="F1035" s="477" t="n"/>
      <c r="G1035" s="477" t="n"/>
      <c r="H1035" s="505" t="n"/>
      <c r="I1035" s="477" t="n"/>
      <c r="J1035" s="477" t="n"/>
      <c r="K1035" s="477" t="n"/>
      <c r="L1035" s="477" t="n"/>
      <c r="M1035" s="477" t="n"/>
      <c r="N1035" s="477" t="n"/>
      <c r="O1035" s="477" t="n"/>
      <c r="P1035" s="477" t="n"/>
      <c r="Q1035" s="477" t="n"/>
      <c r="R1035" s="477" t="n"/>
      <c r="S1035" s="477" t="n"/>
      <c r="T1035" s="477" t="n"/>
      <c r="U1035" s="477" t="n"/>
      <c r="V1035" s="477" t="n"/>
      <c r="W1035" s="477" t="n"/>
      <c r="X1035" s="477" t="n"/>
      <c r="Y1035" s="477" t="n"/>
      <c r="Z1035" s="477" t="n"/>
    </row>
    <row r="1036" ht="15.75" customHeight="1">
      <c r="A1036" s="477" t="n"/>
      <c r="B1036" s="477" t="n"/>
      <c r="C1036" s="477" t="n"/>
      <c r="D1036" s="477" t="n"/>
      <c r="E1036" s="477" t="n"/>
      <c r="F1036" s="477" t="n"/>
      <c r="G1036" s="477" t="n"/>
      <c r="H1036" s="505" t="n"/>
      <c r="I1036" s="477" t="n"/>
      <c r="J1036" s="477" t="n"/>
      <c r="K1036" s="477" t="n"/>
      <c r="L1036" s="477" t="n"/>
      <c r="M1036" s="477" t="n"/>
      <c r="N1036" s="477" t="n"/>
      <c r="O1036" s="477" t="n"/>
      <c r="P1036" s="477" t="n"/>
      <c r="Q1036" s="477" t="n"/>
      <c r="R1036" s="477" t="n"/>
      <c r="S1036" s="477" t="n"/>
      <c r="T1036" s="477" t="n"/>
      <c r="U1036" s="477" t="n"/>
      <c r="V1036" s="477" t="n"/>
      <c r="W1036" s="477" t="n"/>
      <c r="X1036" s="477" t="n"/>
      <c r="Y1036" s="477" t="n"/>
      <c r="Z1036" s="477" t="n"/>
    </row>
    <row r="1037" ht="15.75" customHeight="1">
      <c r="A1037" s="477" t="n"/>
      <c r="B1037" s="477" t="n"/>
      <c r="C1037" s="477" t="n"/>
      <c r="D1037" s="477" t="n"/>
      <c r="E1037" s="477" t="n"/>
      <c r="F1037" s="477" t="n"/>
      <c r="G1037" s="477" t="n"/>
      <c r="H1037" s="505" t="n"/>
      <c r="I1037" s="477" t="n"/>
      <c r="J1037" s="477" t="n"/>
      <c r="K1037" s="477" t="n"/>
      <c r="L1037" s="477" t="n"/>
      <c r="M1037" s="477" t="n"/>
      <c r="N1037" s="477" t="n"/>
      <c r="O1037" s="477" t="n"/>
      <c r="P1037" s="477" t="n"/>
      <c r="Q1037" s="477" t="n"/>
      <c r="R1037" s="477" t="n"/>
      <c r="S1037" s="477" t="n"/>
      <c r="T1037" s="477" t="n"/>
      <c r="U1037" s="477" t="n"/>
      <c r="V1037" s="477" t="n"/>
      <c r="W1037" s="477" t="n"/>
      <c r="X1037" s="477" t="n"/>
      <c r="Y1037" s="477" t="n"/>
      <c r="Z1037" s="477" t="n"/>
    </row>
    <row r="1038" ht="15.75" customHeight="1">
      <c r="A1038" s="477" t="n"/>
      <c r="B1038" s="477" t="n"/>
      <c r="C1038" s="477" t="n"/>
      <c r="D1038" s="477" t="n"/>
      <c r="E1038" s="477" t="n"/>
      <c r="F1038" s="477" t="n"/>
      <c r="G1038" s="477" t="n"/>
      <c r="H1038" s="505" t="n"/>
      <c r="I1038" s="477" t="n"/>
      <c r="J1038" s="477" t="n"/>
      <c r="K1038" s="477" t="n"/>
      <c r="L1038" s="477" t="n"/>
      <c r="M1038" s="477" t="n"/>
      <c r="N1038" s="477" t="n"/>
      <c r="O1038" s="477" t="n"/>
      <c r="P1038" s="477" t="n"/>
      <c r="Q1038" s="477" t="n"/>
      <c r="R1038" s="477" t="n"/>
      <c r="S1038" s="477" t="n"/>
      <c r="T1038" s="477" t="n"/>
      <c r="U1038" s="477" t="n"/>
      <c r="V1038" s="477" t="n"/>
      <c r="W1038" s="477" t="n"/>
      <c r="X1038" s="477" t="n"/>
      <c r="Y1038" s="477" t="n"/>
      <c r="Z1038" s="477" t="n"/>
    </row>
    <row r="1039" ht="15.75" customHeight="1">
      <c r="A1039" s="477" t="n"/>
      <c r="B1039" s="477" t="n"/>
      <c r="C1039" s="477" t="n"/>
      <c r="D1039" s="477" t="n"/>
      <c r="E1039" s="477" t="n"/>
      <c r="F1039" s="477" t="n"/>
      <c r="G1039" s="477" t="n"/>
      <c r="H1039" s="505" t="n"/>
      <c r="I1039" s="477" t="n"/>
      <c r="J1039" s="477" t="n"/>
      <c r="K1039" s="477" t="n"/>
      <c r="L1039" s="477" t="n"/>
      <c r="M1039" s="477" t="n"/>
      <c r="N1039" s="477" t="n"/>
      <c r="O1039" s="477" t="n"/>
      <c r="P1039" s="477" t="n"/>
      <c r="Q1039" s="477" t="n"/>
      <c r="R1039" s="477" t="n"/>
      <c r="S1039" s="477" t="n"/>
      <c r="T1039" s="477" t="n"/>
      <c r="U1039" s="477" t="n"/>
      <c r="V1039" s="477" t="n"/>
      <c r="W1039" s="477" t="n"/>
      <c r="X1039" s="477" t="n"/>
      <c r="Y1039" s="477" t="n"/>
      <c r="Z1039" s="477" t="n"/>
    </row>
    <row r="1040" ht="15.75" customHeight="1">
      <c r="A1040" s="477" t="n"/>
      <c r="B1040" s="477" t="n"/>
      <c r="C1040" s="477" t="n"/>
      <c r="D1040" s="477" t="n"/>
      <c r="E1040" s="477" t="n"/>
      <c r="F1040" s="477" t="n"/>
      <c r="G1040" s="477" t="n"/>
      <c r="H1040" s="505" t="n"/>
      <c r="I1040" s="477" t="n"/>
      <c r="J1040" s="477" t="n"/>
      <c r="K1040" s="477" t="n"/>
      <c r="L1040" s="477" t="n"/>
      <c r="M1040" s="477" t="n"/>
      <c r="N1040" s="477" t="n"/>
      <c r="O1040" s="477" t="n"/>
      <c r="P1040" s="477" t="n"/>
      <c r="Q1040" s="477" t="n"/>
      <c r="R1040" s="477" t="n"/>
      <c r="S1040" s="477" t="n"/>
      <c r="T1040" s="477" t="n"/>
      <c r="U1040" s="477" t="n"/>
      <c r="V1040" s="477" t="n"/>
      <c r="W1040" s="477" t="n"/>
      <c r="X1040" s="477" t="n"/>
      <c r="Y1040" s="477" t="n"/>
      <c r="Z1040" s="477" t="n"/>
    </row>
    <row r="1041" ht="15.75" customHeight="1">
      <c r="A1041" s="477" t="n"/>
      <c r="B1041" s="477" t="n"/>
      <c r="C1041" s="477" t="n"/>
      <c r="D1041" s="477" t="n"/>
      <c r="E1041" s="477" t="n"/>
      <c r="F1041" s="477" t="n"/>
      <c r="G1041" s="477" t="n"/>
      <c r="H1041" s="505" t="n"/>
      <c r="I1041" s="477" t="n"/>
      <c r="J1041" s="477" t="n"/>
      <c r="K1041" s="477" t="n"/>
      <c r="L1041" s="477" t="n"/>
      <c r="M1041" s="477" t="n"/>
      <c r="N1041" s="477" t="n"/>
      <c r="O1041" s="477" t="n"/>
      <c r="P1041" s="477" t="n"/>
      <c r="Q1041" s="477" t="n"/>
      <c r="R1041" s="477" t="n"/>
      <c r="S1041" s="477" t="n"/>
      <c r="T1041" s="477" t="n"/>
      <c r="U1041" s="477" t="n"/>
      <c r="V1041" s="477" t="n"/>
      <c r="W1041" s="477" t="n"/>
      <c r="X1041" s="477" t="n"/>
      <c r="Y1041" s="477" t="n"/>
      <c r="Z1041" s="477" t="n"/>
    </row>
    <row r="1042" ht="15.75" customHeight="1">
      <c r="A1042" s="477" t="n"/>
      <c r="B1042" s="477" t="n"/>
      <c r="C1042" s="477" t="n"/>
      <c r="D1042" s="477" t="n"/>
      <c r="E1042" s="477" t="n"/>
      <c r="F1042" s="477" t="n"/>
      <c r="G1042" s="477" t="n"/>
      <c r="H1042" s="505" t="n"/>
      <c r="I1042" s="477" t="n"/>
      <c r="J1042" s="477" t="n"/>
      <c r="K1042" s="477" t="n"/>
      <c r="L1042" s="477" t="n"/>
      <c r="M1042" s="477" t="n"/>
      <c r="N1042" s="477" t="n"/>
      <c r="O1042" s="477" t="n"/>
      <c r="P1042" s="477" t="n"/>
      <c r="Q1042" s="477" t="n"/>
      <c r="R1042" s="477" t="n"/>
      <c r="S1042" s="477" t="n"/>
      <c r="T1042" s="477" t="n"/>
      <c r="U1042" s="477" t="n"/>
      <c r="V1042" s="477" t="n"/>
      <c r="W1042" s="477" t="n"/>
      <c r="X1042" s="477" t="n"/>
      <c r="Y1042" s="477" t="n"/>
      <c r="Z1042" s="477" t="n"/>
    </row>
    <row r="1043" ht="15.75" customHeight="1">
      <c r="A1043" s="477" t="n"/>
      <c r="B1043" s="477" t="n"/>
      <c r="C1043" s="477" t="n"/>
      <c r="D1043" s="477" t="n"/>
      <c r="E1043" s="477" t="n"/>
      <c r="F1043" s="477" t="n"/>
      <c r="G1043" s="477" t="n"/>
      <c r="H1043" s="505" t="n"/>
      <c r="I1043" s="477" t="n"/>
      <c r="J1043" s="477" t="n"/>
      <c r="K1043" s="477" t="n"/>
      <c r="L1043" s="477" t="n"/>
      <c r="M1043" s="477" t="n"/>
      <c r="N1043" s="477" t="n"/>
      <c r="O1043" s="477" t="n"/>
      <c r="P1043" s="477" t="n"/>
      <c r="Q1043" s="477" t="n"/>
      <c r="R1043" s="477" t="n"/>
      <c r="S1043" s="477" t="n"/>
      <c r="T1043" s="477" t="n"/>
      <c r="U1043" s="477" t="n"/>
      <c r="V1043" s="477" t="n"/>
      <c r="W1043" s="477" t="n"/>
      <c r="X1043" s="477" t="n"/>
      <c r="Y1043" s="477" t="n"/>
      <c r="Z1043" s="477" t="n"/>
    </row>
    <row r="1044" ht="15.75" customHeight="1">
      <c r="A1044" s="477" t="n"/>
      <c r="B1044" s="477" t="n"/>
      <c r="C1044" s="477" t="n"/>
      <c r="D1044" s="477" t="n"/>
      <c r="E1044" s="477" t="n"/>
      <c r="F1044" s="477" t="n"/>
      <c r="G1044" s="477" t="n"/>
      <c r="H1044" s="505" t="n"/>
      <c r="I1044" s="477" t="n"/>
      <c r="J1044" s="477" t="n"/>
      <c r="K1044" s="477" t="n"/>
      <c r="L1044" s="477" t="n"/>
      <c r="M1044" s="477" t="n"/>
      <c r="N1044" s="477" t="n"/>
      <c r="O1044" s="477" t="n"/>
      <c r="P1044" s="477" t="n"/>
      <c r="Q1044" s="477" t="n"/>
      <c r="R1044" s="477" t="n"/>
      <c r="S1044" s="477" t="n"/>
      <c r="T1044" s="477" t="n"/>
      <c r="U1044" s="477" t="n"/>
      <c r="V1044" s="477" t="n"/>
      <c r="W1044" s="477" t="n"/>
      <c r="X1044" s="477" t="n"/>
      <c r="Y1044" s="477" t="n"/>
      <c r="Z1044" s="477" t="n"/>
    </row>
    <row r="1045" ht="15.75" customHeight="1">
      <c r="A1045" s="477" t="n"/>
      <c r="B1045" s="477" t="n"/>
      <c r="C1045" s="477" t="n"/>
      <c r="D1045" s="477" t="n"/>
      <c r="E1045" s="477" t="n"/>
      <c r="F1045" s="477" t="n"/>
      <c r="G1045" s="477" t="n"/>
      <c r="H1045" s="505" t="n"/>
      <c r="I1045" s="477" t="n"/>
      <c r="J1045" s="477" t="n"/>
      <c r="K1045" s="477" t="n"/>
      <c r="L1045" s="477" t="n"/>
      <c r="M1045" s="477" t="n"/>
      <c r="N1045" s="477" t="n"/>
      <c r="O1045" s="477" t="n"/>
      <c r="P1045" s="477" t="n"/>
      <c r="Q1045" s="477" t="n"/>
      <c r="R1045" s="477" t="n"/>
      <c r="S1045" s="477" t="n"/>
      <c r="T1045" s="477" t="n"/>
      <c r="U1045" s="477" t="n"/>
      <c r="V1045" s="477" t="n"/>
      <c r="W1045" s="477" t="n"/>
      <c r="X1045" s="477" t="n"/>
      <c r="Y1045" s="477" t="n"/>
      <c r="Z1045" s="477" t="n"/>
    </row>
    <row r="1046" ht="15.75" customHeight="1">
      <c r="A1046" s="477" t="n"/>
      <c r="B1046" s="477" t="n"/>
      <c r="C1046" s="477" t="n"/>
      <c r="D1046" s="477" t="n"/>
      <c r="E1046" s="477" t="n"/>
      <c r="F1046" s="477" t="n"/>
      <c r="G1046" s="477" t="n"/>
      <c r="H1046" s="505" t="n"/>
      <c r="I1046" s="477" t="n"/>
      <c r="J1046" s="477" t="n"/>
      <c r="K1046" s="477" t="n"/>
      <c r="L1046" s="477" t="n"/>
      <c r="M1046" s="477" t="n"/>
      <c r="N1046" s="477" t="n"/>
      <c r="O1046" s="477" t="n"/>
      <c r="P1046" s="477" t="n"/>
      <c r="Q1046" s="477" t="n"/>
      <c r="R1046" s="477" t="n"/>
      <c r="S1046" s="477" t="n"/>
      <c r="T1046" s="477" t="n"/>
      <c r="U1046" s="477" t="n"/>
      <c r="V1046" s="477" t="n"/>
      <c r="W1046" s="477" t="n"/>
      <c r="X1046" s="477" t="n"/>
      <c r="Y1046" s="477" t="n"/>
      <c r="Z1046" s="477" t="n"/>
    </row>
    <row r="1047" ht="15.75" customHeight="1">
      <c r="A1047" s="477" t="n"/>
      <c r="B1047" s="477" t="n"/>
      <c r="C1047" s="477" t="n"/>
      <c r="D1047" s="477" t="n"/>
      <c r="E1047" s="477" t="n"/>
      <c r="F1047" s="477" t="n"/>
      <c r="G1047" s="477" t="n"/>
      <c r="H1047" s="505" t="n"/>
      <c r="I1047" s="477" t="n"/>
      <c r="J1047" s="477" t="n"/>
      <c r="K1047" s="477" t="n"/>
      <c r="L1047" s="477" t="n"/>
      <c r="M1047" s="477" t="n"/>
      <c r="N1047" s="477" t="n"/>
      <c r="O1047" s="477" t="n"/>
      <c r="P1047" s="477" t="n"/>
      <c r="Q1047" s="477" t="n"/>
      <c r="R1047" s="477" t="n"/>
      <c r="S1047" s="477" t="n"/>
      <c r="T1047" s="477" t="n"/>
      <c r="U1047" s="477" t="n"/>
      <c r="V1047" s="477" t="n"/>
      <c r="W1047" s="477" t="n"/>
      <c r="X1047" s="477" t="n"/>
      <c r="Y1047" s="477" t="n"/>
      <c r="Z1047" s="477" t="n"/>
    </row>
    <row r="1048" ht="15.75" customHeight="1">
      <c r="A1048" s="477" t="n"/>
      <c r="B1048" s="477" t="n"/>
      <c r="C1048" s="477" t="n"/>
      <c r="D1048" s="477" t="n"/>
      <c r="E1048" s="477" t="n"/>
      <c r="F1048" s="477" t="n"/>
      <c r="G1048" s="477" t="n"/>
      <c r="H1048" s="505" t="n"/>
      <c r="I1048" s="477" t="n"/>
      <c r="J1048" s="477" t="n"/>
      <c r="K1048" s="477" t="n"/>
      <c r="L1048" s="477" t="n"/>
      <c r="M1048" s="477" t="n"/>
      <c r="N1048" s="477" t="n"/>
      <c r="O1048" s="477" t="n"/>
      <c r="P1048" s="477" t="n"/>
      <c r="Q1048" s="477" t="n"/>
      <c r="R1048" s="477" t="n"/>
      <c r="S1048" s="477" t="n"/>
      <c r="T1048" s="477" t="n"/>
      <c r="U1048" s="477" t="n"/>
      <c r="V1048" s="477" t="n"/>
      <c r="W1048" s="477" t="n"/>
      <c r="X1048" s="477" t="n"/>
      <c r="Y1048" s="477" t="n"/>
      <c r="Z1048" s="477" t="n"/>
    </row>
    <row r="1049" ht="15.75" customHeight="1">
      <c r="A1049" s="477" t="n"/>
      <c r="B1049" s="477" t="n"/>
      <c r="C1049" s="477" t="n"/>
      <c r="D1049" s="477" t="n"/>
      <c r="E1049" s="477" t="n"/>
      <c r="F1049" s="477" t="n"/>
      <c r="G1049" s="477" t="n"/>
      <c r="H1049" s="505" t="n"/>
      <c r="I1049" s="477" t="n"/>
      <c r="J1049" s="477" t="n"/>
      <c r="K1049" s="477" t="n"/>
      <c r="L1049" s="477" t="n"/>
      <c r="M1049" s="477" t="n"/>
      <c r="N1049" s="477" t="n"/>
      <c r="O1049" s="477" t="n"/>
      <c r="P1049" s="477" t="n"/>
      <c r="Q1049" s="477" t="n"/>
      <c r="R1049" s="477" t="n"/>
      <c r="S1049" s="477" t="n"/>
      <c r="T1049" s="477" t="n"/>
      <c r="U1049" s="477" t="n"/>
      <c r="V1049" s="477" t="n"/>
      <c r="W1049" s="477" t="n"/>
      <c r="X1049" s="477" t="n"/>
      <c r="Y1049" s="477" t="n"/>
      <c r="Z1049" s="477" t="n"/>
    </row>
    <row r="1050" ht="15.75" customHeight="1">
      <c r="A1050" s="477" t="n"/>
      <c r="B1050" s="477" t="n"/>
      <c r="C1050" s="477" t="n"/>
      <c r="D1050" s="477" t="n"/>
      <c r="E1050" s="477" t="n"/>
      <c r="F1050" s="477" t="n"/>
      <c r="G1050" s="477" t="n"/>
      <c r="H1050" s="505" t="n"/>
      <c r="I1050" s="477" t="n"/>
      <c r="J1050" s="477" t="n"/>
      <c r="K1050" s="477" t="n"/>
      <c r="L1050" s="477" t="n"/>
      <c r="M1050" s="477" t="n"/>
      <c r="N1050" s="477" t="n"/>
      <c r="O1050" s="477" t="n"/>
      <c r="P1050" s="477" t="n"/>
      <c r="Q1050" s="477" t="n"/>
      <c r="R1050" s="477" t="n"/>
      <c r="S1050" s="477" t="n"/>
      <c r="T1050" s="477" t="n"/>
      <c r="U1050" s="477" t="n"/>
      <c r="V1050" s="477" t="n"/>
      <c r="W1050" s="477" t="n"/>
      <c r="X1050" s="477" t="n"/>
      <c r="Y1050" s="477" t="n"/>
      <c r="Z1050" s="477" t="n"/>
    </row>
  </sheetData>
  <autoFilter ref="A1:O1050"/>
  <dataValidations count="3">
    <dataValidation sqref="H62:H71" showDropDown="0" showInputMessage="0" showErrorMessage="1" allowBlank="1" type="list">
      <formula1>$AA$1:$AA$2</formula1>
    </dataValidation>
    <dataValidation sqref="H959:H962" showDropDown="0" showInputMessage="0" showErrorMessage="1" allowBlank="1" type="list">
      <formula1>$Z$1:$Z$2</formula1>
    </dataValidation>
    <dataValidation sqref="G62:G64 G66:G67 G70:G71" showDropDown="0" showInputMessage="0" showErrorMessage="1" allowBlank="1" type="list">
      <formula1>$AB$1</formula1>
    </dataValidation>
  </dataValidations>
  <pageMargins left="0.7086614173228347" right="0.7086614173228347" top="0.7480314960629921" bottom="0.7480314960629921" header="0" footer="0"/>
  <pageSetup orientation="landscape" paperSize="9" scale="40"/>
  <colBreaks count="1" manualBreakCount="1">
    <brk id="15" min="0" max="1048575" man="1"/>
  </colBreaks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EC7DF5"/>
    <outlinePr summaryBelow="1" summaryRight="1"/>
    <pageSetUpPr/>
  </sheetPr>
  <dimension ref="A1:S995"/>
  <sheetViews>
    <sheetView workbookViewId="0">
      <pane ySplit="1" topLeftCell="A2" activePane="bottomLeft" state="frozen"/>
      <selection activeCell="H66" sqref="H66"/>
      <selection pane="bottomLeft" activeCell="K7" sqref="K7"/>
    </sheetView>
  </sheetViews>
  <sheetFormatPr baseColWidth="10" defaultColWidth="8.88671875" defaultRowHeight="14.4"/>
  <cols>
    <col width="10.88671875" bestFit="1" customWidth="1" style="801" min="1" max="1"/>
    <col width="13.33203125" bestFit="1" customWidth="1" style="801" min="2" max="2"/>
    <col width="26.44140625" customWidth="1" style="801" min="3" max="3"/>
    <col width="8" customWidth="1" style="801" min="4" max="4"/>
    <col width="11.5546875" customWidth="1" style="801" min="5" max="5"/>
    <col width="12.6640625" customWidth="1" style="801" min="6" max="6"/>
    <col width="11.109375" customWidth="1" style="801" min="7" max="7"/>
    <col width="8.6640625" customWidth="1" style="801" min="8" max="8"/>
    <col width="16.88671875" customWidth="1" style="801" min="9" max="9"/>
    <col width="15.109375" bestFit="1" customWidth="1" style="801" min="10" max="10"/>
    <col width="15.6640625" bestFit="1" customWidth="1" style="801" min="11" max="11"/>
    <col width="9.44140625" bestFit="1" customWidth="1" style="801" min="12" max="12"/>
    <col width="18.33203125" customWidth="1" style="801" min="13" max="13"/>
    <col width="19.88671875" bestFit="1" customWidth="1" style="801" min="14" max="14"/>
    <col width="10" bestFit="1" customWidth="1" style="801" min="15" max="15"/>
    <col width="8.88671875" customWidth="1" style="801" min="16" max="18"/>
    <col width="14.6640625" bestFit="1" customWidth="1" style="801" min="19" max="19"/>
    <col width="8.88671875" customWidth="1" style="801" min="20" max="16384"/>
  </cols>
  <sheetData>
    <row r="1" ht="28.8">
      <c r="A1" s="806" t="inlineStr">
        <is>
          <t xml:space="preserve">fecha </t>
        </is>
      </c>
      <c r="B1" s="806" t="inlineStr">
        <is>
          <t xml:space="preserve">UF </t>
        </is>
      </c>
      <c r="C1" s="806" t="inlineStr">
        <is>
          <t xml:space="preserve">CLIENTE </t>
        </is>
      </c>
      <c r="D1" s="807" t="inlineStr">
        <is>
          <t>Región</t>
        </is>
      </c>
      <c r="E1" s="807" t="inlineStr">
        <is>
          <t>Comuna</t>
        </is>
      </c>
      <c r="F1" s="807" t="inlineStr">
        <is>
          <t xml:space="preserve">ROL </t>
        </is>
      </c>
      <c r="G1" s="808" t="inlineStr">
        <is>
          <t>Acciones /Regadores</t>
        </is>
      </c>
      <c r="H1" s="809" t="inlineStr">
        <is>
          <t xml:space="preserve">Lts/seg </t>
        </is>
      </c>
      <c r="I1" s="808" t="inlineStr">
        <is>
          <t xml:space="preserve">Canal </t>
        </is>
      </c>
      <c r="J1" s="808" t="inlineStr">
        <is>
          <t xml:space="preserve">Valor X Lts/seg </t>
        </is>
      </c>
      <c r="K1" s="808" t="inlineStr">
        <is>
          <t xml:space="preserve">Valor Total </t>
        </is>
      </c>
      <c r="L1" s="808" t="inlineStr">
        <is>
          <t>Valor UF X L/s</t>
        </is>
      </c>
      <c r="M1" s="808" t="inlineStr">
        <is>
          <t xml:space="preserve">Valor UF Total </t>
        </is>
      </c>
      <c r="N1" s="808" t="inlineStr">
        <is>
          <t xml:space="preserve">TASADOR </t>
        </is>
      </c>
    </row>
    <row r="2" ht="40.5" customHeight="1">
      <c r="A2" s="944">
        <f>PORTADA!H7</f>
        <v/>
      </c>
      <c r="B2" s="945">
        <f>UF</f>
        <v/>
      </c>
      <c r="C2" s="829">
        <f>PORTADA!C14</f>
        <v/>
      </c>
      <c r="D2" s="946">
        <f>PORTADA!H12</f>
        <v/>
      </c>
      <c r="E2" s="946">
        <f>PORTADA!H11</f>
        <v/>
      </c>
      <c r="F2" s="947">
        <f>'AGUA '!C25</f>
        <v/>
      </c>
      <c r="G2" s="948">
        <f>'AGUA '!F25</f>
        <v/>
      </c>
      <c r="H2" s="948">
        <f>'AGUA '!G25</f>
        <v/>
      </c>
      <c r="I2" s="949">
        <f>'AGUA '!B25</f>
        <v/>
      </c>
      <c r="J2" s="1335">
        <f>'AGUA '!I25</f>
        <v/>
      </c>
      <c r="K2" s="1335">
        <f>J2*H2</f>
        <v/>
      </c>
      <c r="L2" s="1336">
        <f>J2/B2</f>
        <v/>
      </c>
      <c r="M2" s="1336">
        <f>L2*H2</f>
        <v/>
      </c>
      <c r="N2" s="946">
        <f>'RESUMEN VALOR'!B26</f>
        <v/>
      </c>
    </row>
    <row r="3">
      <c r="A3" s="796" t="n"/>
      <c r="B3" s="797" t="n"/>
      <c r="C3" s="802" t="n"/>
      <c r="D3" s="802" t="n"/>
      <c r="E3" s="802" t="n"/>
      <c r="F3" s="810" t="n"/>
      <c r="G3" s="811" t="n"/>
      <c r="H3" s="812" t="n"/>
      <c r="I3" s="813" t="n"/>
      <c r="J3" s="1337" t="n"/>
      <c r="K3" s="1337" t="n"/>
      <c r="L3" s="1336" t="n"/>
      <c r="M3" s="1336" t="n"/>
      <c r="N3" s="802" t="n"/>
    </row>
    <row r="4">
      <c r="A4" s="796" t="n"/>
      <c r="B4" s="797" t="n"/>
      <c r="C4" s="802" t="n"/>
      <c r="D4" s="802" t="n"/>
      <c r="E4" s="802" t="n"/>
      <c r="F4" s="810" t="n"/>
      <c r="G4" s="811" t="n"/>
      <c r="H4" s="812" t="n"/>
      <c r="I4" s="813" t="n"/>
      <c r="J4" s="1337" t="n"/>
      <c r="K4" s="1337" t="n"/>
      <c r="L4" s="1336" t="n"/>
      <c r="M4" s="1336" t="n"/>
      <c r="N4" s="802" t="n"/>
    </row>
    <row r="5">
      <c r="A5" s="796" t="n"/>
      <c r="B5" s="797" t="n"/>
      <c r="C5" s="803" t="n"/>
      <c r="D5" s="803" t="n"/>
      <c r="E5" s="803" t="n"/>
      <c r="F5" s="803" t="n"/>
      <c r="G5" s="798" t="n"/>
      <c r="H5" s="812" t="n"/>
      <c r="I5" s="813" t="n"/>
      <c r="J5" s="1337" t="n"/>
      <c r="K5" s="1337" t="n"/>
      <c r="L5" s="1337" t="n"/>
      <c r="M5" s="1337" t="n"/>
      <c r="N5" s="802" t="n"/>
    </row>
    <row r="6">
      <c r="A6" s="796" t="n"/>
      <c r="B6" s="797" t="n"/>
      <c r="C6" s="803" t="n"/>
      <c r="D6" s="803" t="n"/>
      <c r="E6" s="803" t="n"/>
      <c r="F6" s="803" t="n"/>
      <c r="G6" s="802" t="n"/>
      <c r="H6" s="802" t="n"/>
      <c r="I6" s="802" t="n"/>
      <c r="J6" s="1337" t="n"/>
      <c r="K6" s="1337" t="n"/>
      <c r="L6" s="1337" t="n"/>
      <c r="M6" s="1337" t="n"/>
      <c r="N6" s="1337" t="n"/>
    </row>
    <row r="7">
      <c r="A7" s="796" t="n"/>
      <c r="B7" s="797" t="n"/>
      <c r="C7" s="803" t="n"/>
      <c r="D7" s="803" t="n"/>
      <c r="E7" s="803" t="n"/>
      <c r="F7" s="803" t="n"/>
      <c r="G7" s="802" t="n"/>
      <c r="H7" s="802" t="n"/>
      <c r="I7" s="802" t="n"/>
      <c r="J7" s="1337" t="n"/>
      <c r="K7" s="1337" t="n"/>
      <c r="L7" s="1337" t="n"/>
      <c r="M7" s="1337" t="n"/>
      <c r="N7" s="1337" t="n"/>
    </row>
    <row r="8">
      <c r="A8" s="796" t="n"/>
      <c r="B8" s="797" t="n"/>
      <c r="C8" s="803" t="n"/>
      <c r="D8" s="803" t="n"/>
      <c r="E8" s="803" t="n"/>
      <c r="F8" s="803" t="n"/>
      <c r="G8" s="802" t="n"/>
      <c r="H8" s="803" t="n"/>
      <c r="I8" s="802" t="n"/>
      <c r="J8" s="1337" t="n"/>
      <c r="K8" s="1337" t="n"/>
      <c r="L8" s="1337" t="n"/>
      <c r="M8" s="1337" t="n"/>
      <c r="N8" s="1337" t="n"/>
    </row>
    <row r="9">
      <c r="A9" s="796" t="n"/>
      <c r="B9" s="797" t="n"/>
      <c r="C9" s="803" t="n"/>
      <c r="D9" s="803" t="n"/>
      <c r="E9" s="803" t="n"/>
      <c r="F9" s="803" t="n"/>
      <c r="G9" s="802" t="n"/>
      <c r="H9" s="803" t="n"/>
      <c r="I9" s="802" t="n"/>
      <c r="J9" s="1337" t="n"/>
      <c r="K9" s="1337" t="n"/>
      <c r="L9" s="1337" t="n"/>
      <c r="M9" s="1337" t="n"/>
      <c r="N9" s="1337" t="n"/>
    </row>
    <row r="10">
      <c r="A10" s="796" t="n"/>
      <c r="B10" s="797" t="n"/>
      <c r="C10" s="803" t="n"/>
      <c r="D10" s="803" t="n"/>
      <c r="E10" s="803" t="n"/>
      <c r="F10" s="803" t="n"/>
      <c r="G10" s="802" t="n"/>
      <c r="H10" s="803" t="n"/>
      <c r="I10" s="802" t="n"/>
      <c r="J10" s="1337" t="n"/>
      <c r="K10" s="1337" t="n"/>
      <c r="L10" s="1337" t="n"/>
      <c r="M10" s="1337" t="n"/>
      <c r="N10" s="1337" t="n"/>
    </row>
    <row r="11">
      <c r="A11" s="796" t="n"/>
      <c r="B11" s="797" t="n"/>
      <c r="C11" s="803" t="n"/>
      <c r="D11" s="803" t="n"/>
      <c r="E11" s="803" t="n"/>
      <c r="F11" s="803" t="n"/>
      <c r="G11" s="802" t="n"/>
      <c r="H11" s="803" t="n"/>
      <c r="I11" s="802" t="n"/>
      <c r="J11" s="1337" t="n"/>
      <c r="K11" s="1337" t="n"/>
      <c r="L11" s="1337" t="n"/>
      <c r="M11" s="1337" t="n"/>
      <c r="N11" s="1337" t="n"/>
    </row>
    <row r="12">
      <c r="A12" s="796" t="n"/>
      <c r="B12" s="797" t="n"/>
      <c r="C12" s="803" t="n"/>
      <c r="D12" s="803" t="n"/>
      <c r="E12" s="803" t="n"/>
      <c r="F12" s="803" t="n"/>
      <c r="G12" s="802" t="n"/>
      <c r="H12" s="816" t="n"/>
      <c r="I12" s="802" t="n"/>
      <c r="J12" s="1337" t="n"/>
      <c r="K12" s="1337" t="n"/>
      <c r="L12" s="1337" t="n"/>
      <c r="M12" s="1337" t="n"/>
      <c r="N12" s="1337" t="n"/>
    </row>
    <row r="13">
      <c r="A13" s="796" t="n"/>
      <c r="B13" s="797" t="n"/>
      <c r="C13" s="803" t="n"/>
      <c r="D13" s="803" t="n"/>
      <c r="E13" s="803" t="n"/>
      <c r="F13" s="803" t="n"/>
      <c r="G13" s="802" t="n"/>
      <c r="H13" s="803" t="n"/>
      <c r="I13" s="802" t="n"/>
      <c r="J13" s="1337" t="n"/>
      <c r="K13" s="1337" t="n"/>
      <c r="L13" s="1337" t="n"/>
      <c r="M13" s="1337" t="n"/>
      <c r="N13" s="1337" t="n"/>
    </row>
    <row r="14">
      <c r="A14" s="796" t="n"/>
      <c r="B14" s="797" t="n"/>
      <c r="C14" s="803" t="n"/>
      <c r="D14" s="803" t="n"/>
      <c r="E14" s="803" t="n"/>
      <c r="F14" s="803" t="n"/>
      <c r="G14" s="802" t="n"/>
      <c r="H14" s="803" t="n"/>
      <c r="I14" s="802" t="n"/>
      <c r="J14" s="1337" t="n"/>
      <c r="K14" s="1337" t="n"/>
      <c r="L14" s="1337" t="n"/>
      <c r="M14" s="1337" t="n"/>
      <c r="N14" s="1337" t="n"/>
    </row>
    <row r="15">
      <c r="A15" s="796" t="n"/>
      <c r="B15" s="797" t="n"/>
      <c r="C15" s="803" t="n"/>
      <c r="D15" s="803" t="n"/>
      <c r="E15" s="803" t="n"/>
      <c r="F15" s="803" t="n"/>
      <c r="G15" s="802" t="n"/>
      <c r="H15" s="803" t="n"/>
      <c r="I15" s="802" t="n"/>
      <c r="J15" s="1337" t="n"/>
      <c r="K15" s="1337" t="n"/>
      <c r="L15" s="1337" t="n"/>
      <c r="M15" s="1337" t="n"/>
      <c r="N15" s="1337" t="n"/>
    </row>
    <row r="16">
      <c r="A16" s="796" t="n"/>
      <c r="B16" s="797" t="n"/>
      <c r="C16" s="803" t="n"/>
      <c r="D16" s="803" t="n"/>
      <c r="E16" s="803" t="n"/>
      <c r="F16" s="803" t="n"/>
      <c r="G16" s="802" t="n"/>
      <c r="H16" s="803" t="n"/>
      <c r="I16" s="802" t="n"/>
      <c r="J16" s="1337" t="n"/>
      <c r="K16" s="1337" t="n"/>
      <c r="L16" s="1337" t="n"/>
      <c r="M16" s="1337" t="n"/>
      <c r="N16" s="1337" t="n"/>
    </row>
    <row r="17">
      <c r="A17" s="796" t="n"/>
      <c r="B17" s="797" t="n"/>
      <c r="C17" s="803" t="n"/>
      <c r="D17" s="803" t="n"/>
      <c r="E17" s="803" t="n"/>
      <c r="F17" s="803" t="n"/>
      <c r="G17" s="802" t="n"/>
      <c r="H17" s="803" t="n"/>
      <c r="I17" s="802" t="n"/>
      <c r="J17" s="1337" t="n"/>
      <c r="K17" s="1337" t="n"/>
      <c r="L17" s="1337" t="n"/>
      <c r="M17" s="1337" t="n"/>
      <c r="N17" s="1337" t="n"/>
    </row>
    <row r="18">
      <c r="A18" s="796" t="n"/>
      <c r="B18" s="797" t="n"/>
      <c r="C18" s="803" t="n"/>
      <c r="D18" s="803" t="n"/>
      <c r="E18" s="803" t="n"/>
      <c r="F18" s="803" t="n"/>
      <c r="G18" s="802" t="n"/>
      <c r="H18" s="803" t="n"/>
      <c r="I18" s="802" t="n"/>
      <c r="J18" s="1337" t="n"/>
      <c r="K18" s="1337" t="n"/>
      <c r="L18" s="1337" t="n"/>
      <c r="M18" s="1337" t="n"/>
      <c r="N18" s="1337" t="n"/>
    </row>
    <row r="19">
      <c r="A19" s="796" t="n"/>
      <c r="B19" s="797" t="n"/>
      <c r="C19" s="803" t="n"/>
      <c r="D19" s="803" t="n"/>
      <c r="E19" s="803" t="n"/>
      <c r="F19" s="803" t="n"/>
      <c r="G19" s="802" t="n"/>
      <c r="H19" s="803" t="n"/>
      <c r="I19" s="802" t="n"/>
      <c r="J19" s="1337" t="n"/>
      <c r="K19" s="1337" t="n"/>
      <c r="L19" s="1337" t="n"/>
      <c r="M19" s="1337" t="n"/>
      <c r="N19" s="1337" t="n"/>
    </row>
    <row r="20">
      <c r="A20" s="796" t="n"/>
      <c r="B20" s="797" t="n"/>
      <c r="C20" s="803" t="n"/>
      <c r="D20" s="803" t="n"/>
      <c r="E20" s="803" t="n"/>
      <c r="F20" s="803" t="n"/>
      <c r="G20" s="802" t="n"/>
      <c r="H20" s="803" t="n"/>
      <c r="I20" s="802" t="n"/>
      <c r="J20" s="1337" t="n"/>
      <c r="K20" s="1337" t="n"/>
      <c r="L20" s="1337" t="n"/>
      <c r="M20" s="1337" t="n"/>
      <c r="N20" s="1337" t="n"/>
    </row>
    <row r="21">
      <c r="A21" s="796" t="n"/>
      <c r="B21" s="797" t="n"/>
      <c r="C21" s="803" t="n"/>
      <c r="D21" s="803" t="n"/>
      <c r="E21" s="803" t="n"/>
      <c r="F21" s="803" t="n"/>
      <c r="G21" s="802" t="n"/>
      <c r="H21" s="803" t="n"/>
      <c r="I21" s="802" t="n"/>
      <c r="J21" s="1337" t="n"/>
      <c r="K21" s="1337" t="n"/>
      <c r="L21" s="1337" t="n"/>
      <c r="M21" s="1337" t="n"/>
      <c r="N21" s="1337" t="n"/>
    </row>
    <row r="22">
      <c r="A22" s="796" t="n"/>
      <c r="B22" s="797" t="n"/>
      <c r="C22" s="803" t="n"/>
      <c r="D22" s="803" t="n"/>
      <c r="E22" s="803" t="n"/>
      <c r="F22" s="803" t="n"/>
      <c r="G22" s="802" t="n"/>
      <c r="H22" s="803" t="n"/>
      <c r="I22" s="802" t="n"/>
      <c r="J22" s="1337" t="n"/>
      <c r="K22" s="1337" t="n"/>
      <c r="L22" s="1337" t="n"/>
      <c r="M22" s="1337" t="n"/>
      <c r="N22" s="1337" t="n"/>
    </row>
    <row r="23">
      <c r="A23" s="796" t="n"/>
      <c r="B23" s="797" t="n"/>
      <c r="C23" s="803" t="n"/>
      <c r="D23" s="803" t="n"/>
      <c r="E23" s="803" t="n"/>
      <c r="F23" s="803" t="n"/>
      <c r="G23" s="802" t="n"/>
      <c r="H23" s="803" t="n"/>
      <c r="I23" s="802" t="n"/>
      <c r="J23" s="1337" t="n"/>
      <c r="K23" s="1337" t="n"/>
      <c r="L23" s="1337" t="n"/>
      <c r="M23" s="1337" t="n"/>
      <c r="N23" s="1337" t="n"/>
    </row>
    <row r="24">
      <c r="A24" s="796" t="n"/>
      <c r="B24" s="797" t="n"/>
      <c r="C24" s="803" t="n"/>
      <c r="D24" s="803" t="n"/>
      <c r="E24" s="803" t="n"/>
      <c r="F24" s="803" t="n"/>
      <c r="G24" s="802" t="n"/>
      <c r="H24" s="803" t="n"/>
      <c r="I24" s="802" t="n"/>
      <c r="J24" s="1337" t="n"/>
      <c r="K24" s="1337" t="n"/>
      <c r="L24" s="1337" t="n"/>
      <c r="M24" s="1337" t="n"/>
      <c r="N24" s="1337" t="n"/>
    </row>
    <row r="25">
      <c r="A25" s="796" t="n"/>
      <c r="B25" s="797" t="n"/>
      <c r="C25" s="803" t="n"/>
      <c r="D25" s="803" t="n"/>
      <c r="E25" s="803" t="n"/>
      <c r="F25" s="803" t="n"/>
      <c r="G25" s="802" t="n"/>
      <c r="H25" s="803" t="n"/>
      <c r="I25" s="802" t="n"/>
      <c r="J25" s="1337" t="n"/>
      <c r="K25" s="1337" t="n"/>
      <c r="L25" s="1337" t="n"/>
      <c r="M25" s="1337" t="n"/>
      <c r="N25" s="1337" t="n"/>
    </row>
    <row r="26">
      <c r="A26" s="796" t="n"/>
      <c r="B26" s="797" t="n"/>
      <c r="C26" s="803" t="n"/>
      <c r="D26" s="803" t="n"/>
      <c r="E26" s="803" t="n"/>
      <c r="F26" s="803" t="n"/>
      <c r="G26" s="802" t="n"/>
      <c r="H26" s="803" t="n"/>
      <c r="I26" s="802" t="n"/>
      <c r="J26" s="1337" t="n"/>
      <c r="K26" s="1337" t="n"/>
      <c r="L26" s="1337" t="n"/>
      <c r="M26" s="1337" t="n"/>
      <c r="N26" s="1337" t="n"/>
    </row>
    <row r="27">
      <c r="A27" s="796" t="n"/>
      <c r="B27" s="797" t="n"/>
      <c r="C27" s="803" t="n"/>
      <c r="D27" s="803" t="n"/>
      <c r="E27" s="803" t="n"/>
      <c r="F27" s="803" t="n"/>
      <c r="G27" s="802" t="n"/>
      <c r="H27" s="803" t="n"/>
      <c r="I27" s="802" t="n"/>
      <c r="J27" s="1337" t="n"/>
      <c r="K27" s="1337" t="n"/>
      <c r="L27" s="1337" t="n"/>
      <c r="M27" s="1337" t="n"/>
      <c r="N27" s="1337" t="n"/>
    </row>
    <row r="28">
      <c r="A28" s="796" t="n"/>
      <c r="B28" s="797" t="n"/>
      <c r="C28" s="803" t="n"/>
      <c r="D28" s="803" t="n"/>
      <c r="E28" s="803" t="n"/>
      <c r="F28" s="803" t="n"/>
      <c r="G28" s="802" t="n"/>
      <c r="H28" s="803" t="n"/>
      <c r="I28" s="802" t="n"/>
      <c r="J28" s="1337" t="n"/>
      <c r="K28" s="1337" t="n"/>
      <c r="L28" s="1337" t="n"/>
      <c r="M28" s="1337" t="n"/>
      <c r="N28" s="1337" t="n"/>
    </row>
    <row r="29">
      <c r="A29" s="796" t="n"/>
      <c r="B29" s="797" t="n"/>
      <c r="C29" s="803" t="n"/>
      <c r="D29" s="803" t="n"/>
      <c r="E29" s="803" t="n"/>
      <c r="F29" s="803" t="n"/>
      <c r="G29" s="802" t="n"/>
      <c r="H29" s="803" t="n"/>
      <c r="I29" s="802" t="n"/>
      <c r="J29" s="1337" t="n"/>
      <c r="K29" s="1337" t="n"/>
      <c r="L29" s="1337" t="n"/>
      <c r="M29" s="1337" t="n"/>
      <c r="N29" s="1337" t="n"/>
    </row>
    <row r="30">
      <c r="A30" s="796" t="n"/>
      <c r="B30" s="797" t="n"/>
      <c r="C30" s="803" t="n"/>
      <c r="D30" s="803" t="n"/>
      <c r="E30" s="803" t="n"/>
      <c r="F30" s="803" t="n"/>
      <c r="G30" s="802" t="n"/>
      <c r="H30" s="803" t="n"/>
      <c r="I30" s="802" t="n"/>
      <c r="J30" s="1337" t="n"/>
      <c r="K30" s="1337" t="n"/>
      <c r="L30" s="1337" t="n"/>
      <c r="M30" s="1337" t="n"/>
      <c r="N30" s="1337" t="n"/>
    </row>
    <row r="31">
      <c r="A31" s="796" t="n"/>
      <c r="B31" s="797" t="n"/>
      <c r="C31" s="803" t="n"/>
      <c r="D31" s="803" t="n"/>
      <c r="E31" s="803" t="n"/>
      <c r="F31" s="803" t="n"/>
      <c r="G31" s="802" t="n"/>
      <c r="H31" s="803" t="n"/>
      <c r="I31" s="802" t="n"/>
      <c r="J31" s="1337" t="n"/>
      <c r="K31" s="1337" t="n"/>
      <c r="L31" s="1337" t="n"/>
      <c r="M31" s="1337" t="n"/>
      <c r="N31" s="1337" t="n"/>
    </row>
    <row r="32">
      <c r="A32" s="796" t="n"/>
      <c r="B32" s="797" t="n"/>
      <c r="C32" s="803" t="n"/>
      <c r="D32" s="803" t="n"/>
      <c r="E32" s="803" t="n"/>
      <c r="F32" s="803" t="n"/>
      <c r="G32" s="802" t="n"/>
      <c r="H32" s="803" t="n"/>
      <c r="I32" s="802" t="n"/>
      <c r="J32" s="1337" t="n"/>
      <c r="K32" s="1337" t="n"/>
      <c r="L32" s="1337" t="n"/>
      <c r="M32" s="1337" t="n"/>
      <c r="N32" s="1337" t="n"/>
    </row>
    <row r="33">
      <c r="A33" s="796" t="n"/>
      <c r="B33" s="797" t="n"/>
      <c r="C33" s="803" t="n"/>
      <c r="D33" s="803" t="n"/>
      <c r="E33" s="803" t="n"/>
      <c r="F33" s="803" t="n"/>
      <c r="G33" s="802" t="n"/>
      <c r="H33" s="803" t="n"/>
      <c r="I33" s="802" t="n"/>
      <c r="J33" s="1337" t="n"/>
      <c r="K33" s="1337" t="n"/>
      <c r="L33" s="1337" t="n"/>
      <c r="M33" s="1337" t="n"/>
      <c r="N33" s="1337" t="n"/>
    </row>
    <row r="34">
      <c r="A34" s="796" t="n"/>
      <c r="B34" s="797" t="n"/>
      <c r="C34" s="803" t="n"/>
      <c r="D34" s="803" t="n"/>
      <c r="E34" s="803" t="n"/>
      <c r="F34" s="803" t="n"/>
      <c r="G34" s="802" t="n"/>
      <c r="H34" s="803" t="n"/>
      <c r="I34" s="802" t="n"/>
      <c r="J34" s="1337" t="n"/>
      <c r="K34" s="1337" t="n"/>
      <c r="L34" s="1337" t="n"/>
      <c r="M34" s="1337" t="n"/>
      <c r="N34" s="1337" t="n"/>
    </row>
    <row r="35">
      <c r="A35" s="796" t="n"/>
      <c r="B35" s="797" t="n"/>
      <c r="C35" s="803" t="n"/>
      <c r="D35" s="803" t="n"/>
      <c r="E35" s="803" t="n"/>
      <c r="F35" s="803" t="n"/>
      <c r="G35" s="802" t="n"/>
      <c r="H35" s="803" t="n"/>
      <c r="I35" s="802" t="n"/>
      <c r="J35" s="1337" t="n"/>
      <c r="K35" s="1337" t="n"/>
      <c r="L35" s="1337" t="n"/>
      <c r="M35" s="1337" t="n"/>
      <c r="N35" s="1337" t="n"/>
    </row>
    <row r="36">
      <c r="A36" s="796" t="n"/>
      <c r="B36" s="797" t="n"/>
      <c r="C36" s="803" t="n"/>
      <c r="D36" s="803" t="n"/>
      <c r="E36" s="803" t="n"/>
      <c r="F36" s="803" t="n"/>
      <c r="G36" s="802" t="n"/>
      <c r="H36" s="803" t="n"/>
      <c r="I36" s="802" t="n"/>
      <c r="J36" s="1337" t="n"/>
      <c r="K36" s="1337" t="n"/>
      <c r="L36" s="1337" t="n"/>
      <c r="M36" s="1337" t="n"/>
      <c r="N36" s="1337" t="n"/>
    </row>
    <row r="37">
      <c r="A37" s="796" t="n"/>
      <c r="B37" s="797" t="n"/>
      <c r="C37" s="803" t="n"/>
      <c r="D37" s="803" t="n"/>
      <c r="E37" s="803" t="n"/>
      <c r="F37" s="803" t="n"/>
      <c r="G37" s="802" t="n"/>
      <c r="H37" s="803" t="n"/>
      <c r="I37" s="802" t="n"/>
      <c r="J37" s="1337" t="n"/>
      <c r="K37" s="1337" t="n"/>
      <c r="L37" s="1337" t="n"/>
      <c r="M37" s="1337" t="n"/>
      <c r="N37" s="1337" t="n"/>
    </row>
    <row r="38">
      <c r="A38" s="796" t="n"/>
      <c r="B38" s="797" t="n"/>
      <c r="C38" s="803" t="n"/>
      <c r="D38" s="803" t="n"/>
      <c r="E38" s="803" t="n"/>
      <c r="F38" s="803" t="n"/>
      <c r="G38" s="802" t="n"/>
      <c r="H38" s="803" t="n"/>
      <c r="I38" s="802" t="n"/>
      <c r="J38" s="1337" t="n"/>
      <c r="K38" s="1337" t="n"/>
      <c r="L38" s="1337" t="n"/>
      <c r="M38" s="1337" t="n"/>
      <c r="N38" s="1337" t="n"/>
    </row>
    <row r="39">
      <c r="A39" s="796" t="n"/>
      <c r="B39" s="797" t="n"/>
      <c r="C39" s="803" t="n"/>
      <c r="D39" s="803" t="n"/>
      <c r="E39" s="803" t="n"/>
      <c r="F39" s="803" t="n"/>
      <c r="G39" s="802" t="n"/>
      <c r="H39" s="803" t="n"/>
      <c r="I39" s="802" t="n"/>
      <c r="J39" s="1337" t="n"/>
      <c r="K39" s="1337" t="n"/>
      <c r="L39" s="1337" t="n"/>
      <c r="M39" s="1337" t="n"/>
      <c r="N39" s="1337" t="n"/>
    </row>
    <row r="40">
      <c r="A40" s="796" t="n"/>
      <c r="B40" s="797" t="n"/>
      <c r="C40" s="803" t="n"/>
      <c r="D40" s="803" t="n"/>
      <c r="E40" s="803" t="n"/>
      <c r="F40" s="803" t="n"/>
      <c r="G40" s="802" t="n"/>
      <c r="H40" s="803" t="n"/>
      <c r="I40" s="802" t="n"/>
      <c r="J40" s="1337" t="n"/>
      <c r="K40" s="1337" t="n"/>
      <c r="L40" s="1337" t="n"/>
      <c r="M40" s="1337" t="n"/>
      <c r="N40" s="1337" t="n"/>
    </row>
    <row r="41">
      <c r="A41" s="796" t="n"/>
      <c r="B41" s="797" t="n"/>
      <c r="C41" s="803" t="n"/>
      <c r="D41" s="803" t="n"/>
      <c r="E41" s="803" t="n"/>
      <c r="F41" s="803" t="n"/>
      <c r="G41" s="802" t="n"/>
      <c r="H41" s="803" t="n"/>
      <c r="I41" s="802" t="n"/>
      <c r="J41" s="1337" t="n"/>
      <c r="K41" s="1337" t="n"/>
      <c r="L41" s="1337" t="n"/>
      <c r="M41" s="1337" t="n"/>
      <c r="N41" s="1337" t="n"/>
    </row>
    <row r="42">
      <c r="A42" s="796" t="n"/>
      <c r="B42" s="797" t="n"/>
      <c r="C42" s="803" t="n"/>
      <c r="D42" s="803" t="n"/>
      <c r="E42" s="803" t="n"/>
      <c r="F42" s="803" t="n"/>
      <c r="G42" s="802" t="n"/>
      <c r="H42" s="803" t="n"/>
      <c r="I42" s="802" t="n"/>
      <c r="J42" s="1337" t="n"/>
      <c r="K42" s="1337" t="n"/>
      <c r="L42" s="1337" t="n"/>
      <c r="M42" s="1337" t="n"/>
      <c r="N42" s="1337" t="n"/>
    </row>
    <row r="43">
      <c r="A43" s="796" t="n"/>
      <c r="B43" s="797" t="n"/>
      <c r="C43" s="803" t="n"/>
      <c r="D43" s="803" t="n"/>
      <c r="E43" s="803" t="n"/>
      <c r="F43" s="803" t="n"/>
      <c r="G43" s="802" t="n"/>
      <c r="H43" s="803" t="n"/>
      <c r="I43" s="802" t="n"/>
      <c r="J43" s="1337" t="n"/>
      <c r="K43" s="1337" t="n"/>
      <c r="L43" s="1337" t="n"/>
      <c r="M43" s="1337" t="n"/>
      <c r="N43" s="1337" t="n"/>
    </row>
    <row r="44">
      <c r="A44" s="796" t="n"/>
      <c r="B44" s="797" t="n"/>
      <c r="C44" s="803" t="n"/>
      <c r="D44" s="803" t="n"/>
      <c r="E44" s="803" t="n"/>
      <c r="F44" s="803" t="n"/>
      <c r="G44" s="802" t="n"/>
      <c r="H44" s="803" t="n"/>
      <c r="I44" s="802" t="n"/>
      <c r="J44" s="1337" t="n"/>
      <c r="K44" s="1337" t="n"/>
      <c r="L44" s="1337" t="n"/>
      <c r="M44" s="1337" t="n"/>
      <c r="N44" s="1337" t="n"/>
    </row>
    <row r="45">
      <c r="A45" s="796" t="n"/>
      <c r="B45" s="797" t="n"/>
      <c r="C45" s="803" t="n"/>
      <c r="D45" s="803" t="n"/>
      <c r="E45" s="803" t="n"/>
      <c r="F45" s="803" t="n"/>
      <c r="G45" s="802" t="n"/>
      <c r="H45" s="803" t="n"/>
      <c r="I45" s="802" t="n"/>
      <c r="J45" s="1337" t="n"/>
      <c r="K45" s="1337" t="n"/>
      <c r="L45" s="1337" t="n"/>
      <c r="M45" s="1337" t="n"/>
      <c r="N45" s="1337" t="n"/>
    </row>
    <row r="46">
      <c r="A46" s="796" t="n"/>
      <c r="B46" s="797" t="n"/>
      <c r="C46" s="803" t="n"/>
      <c r="D46" s="803" t="n"/>
      <c r="E46" s="803" t="n"/>
      <c r="F46" s="803" t="n"/>
      <c r="G46" s="802" t="n"/>
      <c r="H46" s="803" t="n"/>
      <c r="I46" s="802" t="n"/>
      <c r="J46" s="1337" t="n"/>
      <c r="K46" s="1337" t="n"/>
      <c r="L46" s="1337" t="n"/>
      <c r="M46" s="1337" t="n"/>
      <c r="N46" s="1337" t="n"/>
    </row>
    <row r="47">
      <c r="A47" s="796" t="n"/>
      <c r="B47" s="797" t="n"/>
      <c r="C47" s="803" t="n"/>
      <c r="D47" s="803" t="n"/>
      <c r="E47" s="803" t="n"/>
      <c r="F47" s="803" t="n"/>
      <c r="G47" s="802" t="n"/>
      <c r="H47" s="803" t="n"/>
      <c r="I47" s="802" t="n"/>
      <c r="J47" s="1337" t="n"/>
      <c r="K47" s="1337" t="n"/>
      <c r="L47" s="1337" t="n"/>
      <c r="M47" s="1337" t="n"/>
      <c r="N47" s="1337" t="n"/>
    </row>
    <row r="48">
      <c r="A48" s="796" t="n"/>
      <c r="B48" s="797" t="n"/>
      <c r="C48" s="803" t="n"/>
      <c r="D48" s="803" t="n"/>
      <c r="E48" s="803" t="n"/>
      <c r="F48" s="803" t="n"/>
      <c r="G48" s="802" t="n"/>
      <c r="H48" s="803" t="n"/>
      <c r="I48" s="802" t="n"/>
      <c r="J48" s="1337" t="n"/>
      <c r="K48" s="1337" t="n"/>
      <c r="L48" s="1337" t="n"/>
      <c r="M48" s="1337" t="n"/>
      <c r="N48" s="1337" t="n"/>
    </row>
    <row r="49">
      <c r="A49" s="796" t="n"/>
      <c r="B49" s="797" t="n"/>
      <c r="C49" s="803" t="n"/>
      <c r="D49" s="803" t="n"/>
      <c r="E49" s="803" t="n"/>
      <c r="F49" s="803" t="n"/>
      <c r="G49" s="802" t="n"/>
      <c r="H49" s="803" t="n"/>
      <c r="I49" s="802" t="n"/>
      <c r="J49" s="1337" t="n"/>
      <c r="K49" s="1337" t="n"/>
      <c r="L49" s="1337" t="n"/>
      <c r="M49" s="1337" t="n"/>
      <c r="N49" s="1337" t="n"/>
    </row>
    <row r="50">
      <c r="A50" s="796" t="n"/>
      <c r="B50" s="797" t="n"/>
      <c r="C50" s="803" t="n"/>
      <c r="D50" s="803" t="n"/>
      <c r="E50" s="803" t="n"/>
      <c r="F50" s="803" t="n"/>
      <c r="G50" s="802" t="n"/>
      <c r="H50" s="803" t="n"/>
      <c r="I50" s="802" t="n"/>
      <c r="J50" s="1337" t="n"/>
      <c r="K50" s="1337" t="n"/>
      <c r="L50" s="1337" t="n"/>
      <c r="M50" s="1337" t="n"/>
      <c r="N50" s="1337" t="n"/>
    </row>
    <row r="51">
      <c r="A51" s="796" t="n"/>
      <c r="B51" s="797" t="n"/>
      <c r="C51" s="803" t="n"/>
      <c r="D51" s="803" t="n"/>
      <c r="E51" s="803" t="n"/>
      <c r="F51" s="803" t="n"/>
      <c r="G51" s="802" t="n"/>
      <c r="H51" s="803" t="n"/>
      <c r="I51" s="802" t="n"/>
      <c r="J51" s="1337" t="n"/>
      <c r="K51" s="1337" t="n"/>
      <c r="L51" s="1337" t="n"/>
      <c r="M51" s="1337" t="n"/>
      <c r="N51" s="1337" t="n"/>
    </row>
    <row r="52">
      <c r="A52" s="796" t="n"/>
      <c r="B52" s="797" t="n"/>
      <c r="C52" s="803" t="n"/>
      <c r="D52" s="803" t="n"/>
      <c r="E52" s="803" t="n"/>
      <c r="F52" s="803" t="n"/>
      <c r="G52" s="802" t="n"/>
      <c r="H52" s="803" t="n"/>
      <c r="I52" s="802" t="n"/>
      <c r="J52" s="1337" t="n"/>
      <c r="K52" s="1337" t="n"/>
      <c r="L52" s="1337" t="n"/>
      <c r="M52" s="1337" t="n"/>
      <c r="N52" s="1337" t="n"/>
    </row>
    <row r="53">
      <c r="A53" s="796" t="n"/>
      <c r="B53" s="797" t="n"/>
      <c r="C53" s="803" t="n"/>
      <c r="D53" s="803" t="n"/>
      <c r="E53" s="803" t="n"/>
      <c r="F53" s="803" t="n"/>
      <c r="G53" s="802" t="n"/>
      <c r="H53" s="803" t="n"/>
      <c r="I53" s="802" t="n"/>
      <c r="J53" s="1337" t="n"/>
      <c r="K53" s="1337" t="n"/>
      <c r="L53" s="1337" t="n"/>
      <c r="M53" s="1337" t="n"/>
      <c r="N53" s="1337" t="n"/>
    </row>
    <row r="54">
      <c r="A54" s="796" t="n"/>
      <c r="B54" s="797" t="n"/>
      <c r="C54" s="803" t="n"/>
      <c r="D54" s="803" t="n"/>
      <c r="E54" s="803" t="n"/>
      <c r="F54" s="803" t="n"/>
      <c r="G54" s="802" t="n"/>
      <c r="H54" s="803" t="n"/>
      <c r="I54" s="802" t="n"/>
      <c r="J54" s="1337" t="n"/>
      <c r="K54" s="1337" t="n"/>
      <c r="L54" s="1337" t="n"/>
      <c r="M54" s="1337" t="n"/>
      <c r="N54" s="1337" t="n"/>
    </row>
    <row r="55">
      <c r="A55" s="796" t="n"/>
      <c r="B55" s="797" t="n"/>
      <c r="C55" s="803" t="n"/>
      <c r="D55" s="803" t="n"/>
      <c r="E55" s="803" t="n"/>
      <c r="F55" s="803" t="n"/>
      <c r="G55" s="802" t="n"/>
      <c r="H55" s="803" t="n"/>
      <c r="I55" s="802" t="n"/>
      <c r="J55" s="1337" t="n"/>
      <c r="K55" s="1337" t="n"/>
      <c r="L55" s="1337" t="n"/>
      <c r="M55" s="1337" t="n"/>
      <c r="N55" s="1337" t="n"/>
    </row>
    <row r="56">
      <c r="A56" s="796" t="n"/>
      <c r="B56" s="797" t="n"/>
      <c r="C56" s="803" t="n"/>
      <c r="D56" s="803" t="n"/>
      <c r="E56" s="803" t="n"/>
      <c r="F56" s="803" t="n"/>
      <c r="G56" s="802" t="n"/>
      <c r="H56" s="803" t="n"/>
      <c r="I56" s="802" t="n"/>
      <c r="J56" s="1337" t="n"/>
      <c r="K56" s="1337" t="n"/>
      <c r="L56" s="1337" t="n"/>
      <c r="M56" s="1337" t="n"/>
      <c r="N56" s="1337" t="n"/>
    </row>
    <row r="57">
      <c r="A57" s="796" t="n"/>
      <c r="B57" s="797" t="n"/>
      <c r="C57" s="803" t="n"/>
      <c r="D57" s="803" t="n"/>
      <c r="E57" s="803" t="n"/>
      <c r="F57" s="803" t="n"/>
      <c r="G57" s="802" t="n"/>
      <c r="H57" s="803" t="n"/>
      <c r="I57" s="802" t="n"/>
      <c r="J57" s="1337" t="n"/>
      <c r="K57" s="1337" t="n"/>
      <c r="L57" s="1337" t="n"/>
      <c r="M57" s="1337" t="n"/>
      <c r="N57" s="1337" t="n"/>
    </row>
    <row r="58">
      <c r="A58" s="796" t="n"/>
      <c r="B58" s="797" t="n"/>
      <c r="C58" s="803" t="n"/>
      <c r="D58" s="803" t="n"/>
      <c r="E58" s="803" t="n"/>
      <c r="F58" s="803" t="n"/>
      <c r="G58" s="802" t="n"/>
      <c r="H58" s="803" t="n"/>
      <c r="I58" s="802" t="n"/>
      <c r="J58" s="1337" t="n"/>
      <c r="K58" s="1337" t="n"/>
      <c r="L58" s="1337" t="n"/>
      <c r="M58" s="1337" t="n"/>
      <c r="N58" s="1337" t="n"/>
    </row>
    <row r="59">
      <c r="A59" s="796" t="n"/>
      <c r="B59" s="797" t="n"/>
      <c r="C59" s="803" t="n"/>
      <c r="D59" s="803" t="n"/>
      <c r="E59" s="803" t="n"/>
      <c r="F59" s="803" t="n"/>
      <c r="G59" s="802" t="n"/>
      <c r="H59" s="803" t="n"/>
      <c r="I59" s="802" t="n"/>
      <c r="J59" s="1337" t="n"/>
      <c r="K59" s="1337" t="n"/>
      <c r="L59" s="1337" t="n"/>
      <c r="M59" s="1337" t="n"/>
      <c r="N59" s="1337" t="n"/>
    </row>
    <row r="60">
      <c r="A60" s="796" t="n"/>
      <c r="B60" s="797" t="n"/>
      <c r="C60" s="803" t="n"/>
      <c r="D60" s="803" t="n"/>
      <c r="E60" s="803" t="n"/>
      <c r="F60" s="803" t="n"/>
      <c r="G60" s="802" t="n"/>
      <c r="H60" s="803" t="n"/>
      <c r="I60" s="802" t="n"/>
      <c r="J60" s="1337" t="n"/>
      <c r="K60" s="1337" t="n"/>
      <c r="L60" s="1337" t="n"/>
      <c r="M60" s="1337" t="n"/>
      <c r="N60" s="1337" t="n"/>
    </row>
    <row r="61">
      <c r="A61" s="796" t="n"/>
      <c r="B61" s="797" t="n"/>
      <c r="C61" s="803" t="n"/>
      <c r="D61" s="803" t="n"/>
      <c r="E61" s="803" t="n"/>
      <c r="F61" s="803" t="n"/>
      <c r="G61" s="802" t="n"/>
      <c r="H61" s="803" t="n"/>
      <c r="I61" s="802" t="n"/>
      <c r="J61" s="1337" t="n"/>
      <c r="K61" s="1337" t="n"/>
      <c r="L61" s="1337" t="n"/>
      <c r="M61" s="1337" t="n"/>
      <c r="N61" s="1337" t="n"/>
    </row>
    <row r="62">
      <c r="A62" s="796" t="n"/>
      <c r="B62" s="797" t="n"/>
      <c r="C62" s="803" t="n"/>
      <c r="D62" s="803" t="n"/>
      <c r="E62" s="803" t="n"/>
      <c r="F62" s="803" t="n"/>
      <c r="G62" s="802" t="n"/>
      <c r="H62" s="803" t="n"/>
      <c r="I62" s="802" t="n"/>
      <c r="J62" s="1337" t="n"/>
      <c r="K62" s="1337" t="n"/>
      <c r="L62" s="1337" t="n"/>
      <c r="M62" s="1337" t="n"/>
      <c r="N62" s="1337" t="n"/>
    </row>
    <row r="63">
      <c r="A63" s="796" t="n"/>
      <c r="B63" s="797" t="n"/>
      <c r="C63" s="803" t="n"/>
      <c r="D63" s="803" t="n"/>
      <c r="E63" s="803" t="n"/>
      <c r="F63" s="803" t="n"/>
      <c r="G63" s="802" t="n"/>
      <c r="H63" s="803" t="n"/>
      <c r="I63" s="802" t="n"/>
      <c r="J63" s="1337" t="n"/>
      <c r="K63" s="1337" t="n"/>
      <c r="L63" s="1337" t="n"/>
      <c r="M63" s="1337" t="n"/>
      <c r="N63" s="1337" t="n"/>
    </row>
    <row r="64">
      <c r="A64" s="796" t="n"/>
      <c r="B64" s="797" t="n"/>
      <c r="C64" s="799" t="n"/>
      <c r="D64" s="799" t="n"/>
      <c r="E64" s="799" t="n"/>
      <c r="F64" s="799" t="n"/>
      <c r="G64" s="802" t="n"/>
      <c r="H64" s="803" t="n"/>
      <c r="I64" s="802" t="n"/>
      <c r="J64" s="1337" t="n"/>
      <c r="K64" s="1337" t="n"/>
      <c r="L64" s="1337" t="n"/>
      <c r="M64" s="1337" t="n"/>
      <c r="N64" s="1338" t="n"/>
    </row>
    <row r="65">
      <c r="A65" s="796" t="n"/>
      <c r="B65" s="797" t="n"/>
      <c r="C65" s="799" t="n"/>
      <c r="D65" s="799" t="n"/>
      <c r="E65" s="799" t="n"/>
      <c r="F65" s="799" t="n"/>
      <c r="G65" s="802" t="n"/>
      <c r="H65" s="818" t="n"/>
      <c r="I65" s="819" t="n"/>
      <c r="J65" s="1339" t="n"/>
      <c r="K65" s="1339" t="n"/>
      <c r="L65" s="1339" t="n"/>
      <c r="M65" s="1337" t="n"/>
      <c r="N65" s="1338" t="n"/>
    </row>
    <row r="66">
      <c r="A66" s="796" t="n"/>
      <c r="B66" s="797" t="n"/>
      <c r="C66" s="799" t="n"/>
      <c r="D66" s="799" t="n"/>
      <c r="E66" s="799" t="n"/>
      <c r="F66" s="799" t="n"/>
      <c r="G66" s="802" t="n"/>
      <c r="H66" s="821" t="n"/>
      <c r="I66" s="822" t="n"/>
      <c r="J66" s="1340" t="n"/>
      <c r="K66" s="1337" t="n"/>
      <c r="L66" s="1339" t="n"/>
      <c r="M66" s="1337" t="n"/>
      <c r="N66" s="1338" t="n"/>
    </row>
    <row r="67">
      <c r="A67" s="796" t="n"/>
      <c r="B67" s="797" t="n"/>
      <c r="C67" s="799" t="n"/>
      <c r="D67" s="799" t="n"/>
      <c r="E67" s="799" t="n"/>
      <c r="F67" s="799" t="n"/>
      <c r="G67" s="802" t="n"/>
      <c r="H67" s="821" t="n"/>
      <c r="I67" s="822" t="n"/>
      <c r="J67" s="1340" t="n"/>
      <c r="K67" s="1337" t="n"/>
      <c r="L67" s="1339" t="n"/>
      <c r="M67" s="1337" t="n"/>
      <c r="N67" s="1338" t="n"/>
    </row>
    <row r="68">
      <c r="A68" s="796" t="n"/>
      <c r="B68" s="797" t="n"/>
      <c r="C68" s="799" t="n"/>
      <c r="D68" s="799" t="n"/>
      <c r="E68" s="799" t="n"/>
      <c r="F68" s="799" t="n"/>
      <c r="G68" s="802" t="n"/>
      <c r="H68" s="824" t="n"/>
      <c r="I68" s="822" t="n"/>
      <c r="J68" s="1340" t="n"/>
      <c r="K68" s="1337" t="n"/>
      <c r="L68" s="1339" t="n"/>
      <c r="M68" s="1337" t="n"/>
      <c r="N68" s="1338" t="n"/>
    </row>
    <row r="69">
      <c r="A69" s="796" t="n"/>
      <c r="B69" s="797" t="n"/>
      <c r="C69" s="799" t="n"/>
      <c r="D69" s="799" t="n"/>
      <c r="E69" s="799" t="n"/>
      <c r="F69" s="799" t="n"/>
      <c r="G69" s="802" t="n"/>
      <c r="H69" s="822" t="n"/>
      <c r="I69" s="822" t="n"/>
      <c r="J69" s="1340" t="n"/>
      <c r="K69" s="1337" t="n"/>
      <c r="L69" s="1339" t="n"/>
      <c r="M69" s="1337" t="n"/>
      <c r="N69" s="1338" t="n"/>
    </row>
    <row r="70">
      <c r="A70" s="796" t="n"/>
      <c r="B70" s="797" t="n"/>
      <c r="C70" s="799" t="n"/>
      <c r="D70" s="799" t="n"/>
      <c r="E70" s="799" t="n"/>
      <c r="F70" s="799" t="n"/>
      <c r="G70" s="802" t="n"/>
      <c r="H70" s="822" t="n"/>
      <c r="I70" s="802" t="n"/>
      <c r="J70" s="1337" t="n"/>
      <c r="K70" s="1337" t="n"/>
      <c r="L70" s="1339" t="n"/>
      <c r="M70" s="1337" t="n"/>
      <c r="N70" s="1338" t="n"/>
    </row>
    <row r="71">
      <c r="A71" s="796" t="n"/>
      <c r="B71" s="797" t="n"/>
      <c r="C71" s="799" t="n"/>
      <c r="D71" s="799" t="n"/>
      <c r="E71" s="799" t="n"/>
      <c r="F71" s="799" t="n"/>
      <c r="G71" s="802" t="n"/>
      <c r="H71" s="825" t="n"/>
      <c r="I71" s="802" t="n"/>
      <c r="J71" s="1337" t="n"/>
      <c r="K71" s="1337" t="n"/>
      <c r="L71" s="1339" t="n"/>
      <c r="M71" s="1337" t="n"/>
      <c r="N71" s="1338" t="n"/>
    </row>
    <row r="72">
      <c r="A72" s="796" t="n"/>
      <c r="B72" s="797" t="n"/>
      <c r="C72" s="799" t="n"/>
      <c r="D72" s="799" t="n"/>
      <c r="E72" s="799" t="n"/>
      <c r="F72" s="799" t="n"/>
      <c r="G72" s="802" t="n"/>
      <c r="H72" s="803" t="n"/>
      <c r="I72" s="802" t="n"/>
      <c r="J72" s="1337" t="n"/>
      <c r="K72" s="1337" t="n"/>
      <c r="L72" s="1339" t="n"/>
      <c r="M72" s="1337" t="n"/>
      <c r="N72" s="1338" t="n"/>
    </row>
    <row r="73">
      <c r="A73" s="796" t="n"/>
      <c r="B73" s="797" t="n"/>
      <c r="C73" s="799" t="n"/>
      <c r="D73" s="799" t="n"/>
      <c r="E73" s="799" t="n"/>
      <c r="F73" s="799" t="n"/>
      <c r="G73" s="802" t="n"/>
      <c r="H73" s="803" t="n"/>
      <c r="I73" s="802" t="n"/>
      <c r="J73" s="1337" t="n"/>
      <c r="K73" s="1337" t="n"/>
      <c r="L73" s="1339" t="n"/>
      <c r="M73" s="1337" t="n"/>
      <c r="N73" s="1338" t="n"/>
    </row>
    <row r="74">
      <c r="A74" s="796" t="n"/>
      <c r="B74" s="797" t="n"/>
      <c r="C74" s="799" t="n"/>
      <c r="D74" s="799" t="n"/>
      <c r="E74" s="799" t="n"/>
      <c r="F74" s="799" t="n"/>
      <c r="G74" s="802" t="n"/>
      <c r="H74" s="803" t="n"/>
      <c r="I74" s="802" t="n"/>
      <c r="J74" s="1337" t="n"/>
      <c r="K74" s="1337" t="n"/>
      <c r="L74" s="1339" t="n"/>
      <c r="M74" s="1337" t="n"/>
      <c r="N74" s="1338" t="n"/>
    </row>
    <row r="75">
      <c r="A75" s="796" t="n"/>
      <c r="B75" s="797" t="n"/>
      <c r="C75" s="799" t="n"/>
      <c r="D75" s="799" t="n"/>
      <c r="E75" s="799" t="n"/>
      <c r="F75" s="799" t="n"/>
      <c r="G75" s="802" t="n"/>
      <c r="H75" s="803" t="n"/>
      <c r="I75" s="802" t="n"/>
      <c r="J75" s="1337" t="n"/>
      <c r="K75" s="1337" t="n"/>
      <c r="L75" s="1339" t="n"/>
      <c r="M75" s="1337" t="n"/>
      <c r="N75" s="1338" t="n"/>
    </row>
    <row r="76">
      <c r="A76" s="796" t="n"/>
      <c r="B76" s="797" t="n"/>
      <c r="C76" s="799" t="n"/>
      <c r="D76" s="799" t="n"/>
      <c r="E76" s="799" t="n"/>
      <c r="F76" s="799" t="n"/>
      <c r="G76" s="802" t="n"/>
      <c r="H76" s="803" t="n"/>
      <c r="I76" s="802" t="n"/>
      <c r="J76" s="1337" t="n"/>
      <c r="K76" s="1337" t="n"/>
      <c r="L76" s="1339" t="n"/>
      <c r="M76" s="1337" t="n"/>
      <c r="N76" s="1338" t="n"/>
    </row>
    <row r="77">
      <c r="A77" s="796" t="n"/>
      <c r="B77" s="797" t="n"/>
      <c r="C77" s="799" t="n"/>
      <c r="D77" s="799" t="n"/>
      <c r="E77" s="799" t="n"/>
      <c r="F77" s="799" t="n"/>
      <c r="G77" s="802" t="n"/>
      <c r="H77" s="803" t="n"/>
      <c r="I77" s="802" t="n"/>
      <c r="J77" s="1337" t="n"/>
      <c r="K77" s="1337" t="n"/>
      <c r="L77" s="1339" t="n"/>
      <c r="M77" s="1337" t="n"/>
      <c r="N77" s="1338" t="n"/>
    </row>
    <row r="78">
      <c r="A78" s="796" t="n"/>
      <c r="B78" s="797" t="n"/>
      <c r="C78" s="799" t="n"/>
      <c r="D78" s="799" t="n"/>
      <c r="E78" s="799" t="n"/>
      <c r="F78" s="799" t="n"/>
      <c r="G78" s="802" t="n"/>
      <c r="H78" s="803" t="n"/>
      <c r="I78" s="802" t="n"/>
      <c r="J78" s="1337" t="n"/>
      <c r="K78" s="1337" t="n"/>
      <c r="L78" s="1339" t="n"/>
      <c r="M78" s="1337" t="n"/>
      <c r="N78" s="1338" t="n"/>
    </row>
    <row r="79">
      <c r="A79" s="796" t="n"/>
      <c r="B79" s="797" t="n"/>
      <c r="C79" s="799" t="n"/>
      <c r="D79" s="799" t="n"/>
      <c r="E79" s="799" t="n"/>
      <c r="F79" s="799" t="n"/>
      <c r="G79" s="802" t="n"/>
      <c r="H79" s="803" t="n"/>
      <c r="I79" s="802" t="n"/>
      <c r="J79" s="1337" t="n"/>
      <c r="K79" s="1337" t="n"/>
      <c r="L79" s="1339" t="n"/>
      <c r="M79" s="1337" t="n"/>
      <c r="N79" s="1338" t="n"/>
    </row>
    <row r="80">
      <c r="A80" s="796" t="n"/>
      <c r="B80" s="797" t="n"/>
      <c r="C80" s="799" t="n"/>
      <c r="D80" s="799" t="n"/>
      <c r="E80" s="799" t="n"/>
      <c r="F80" s="799" t="n"/>
      <c r="G80" s="802" t="n"/>
      <c r="H80" s="803" t="n"/>
      <c r="I80" s="802" t="n"/>
      <c r="J80" s="1337" t="n"/>
      <c r="K80" s="1337" t="n"/>
      <c r="L80" s="1339" t="n"/>
      <c r="M80" s="1337" t="n"/>
      <c r="N80" s="1338" t="n"/>
    </row>
    <row r="81">
      <c r="A81" s="796" t="n"/>
      <c r="B81" s="797" t="n"/>
      <c r="C81" s="799" t="n"/>
      <c r="D81" s="799" t="n"/>
      <c r="E81" s="799" t="n"/>
      <c r="F81" s="799" t="n"/>
      <c r="G81" s="802" t="n"/>
      <c r="H81" s="803" t="n"/>
      <c r="I81" s="802" t="n"/>
      <c r="J81" s="1337" t="n"/>
      <c r="K81" s="1337" t="n"/>
      <c r="L81" s="1339" t="n"/>
      <c r="M81" s="1337" t="n"/>
      <c r="N81" s="1338" t="n"/>
    </row>
    <row r="82">
      <c r="A82" s="796" t="n"/>
      <c r="B82" s="797" t="n"/>
      <c r="C82" s="799" t="n"/>
      <c r="D82" s="799" t="n"/>
      <c r="E82" s="799" t="n"/>
      <c r="F82" s="799" t="n"/>
      <c r="G82" s="802" t="n"/>
      <c r="H82" s="803" t="n"/>
      <c r="I82" s="802" t="n"/>
      <c r="J82" s="1337" t="n"/>
      <c r="K82" s="1337" t="n"/>
      <c r="L82" s="1339" t="n"/>
      <c r="M82" s="1337" t="n"/>
      <c r="N82" s="1338" t="n"/>
    </row>
    <row r="83">
      <c r="A83" s="796" t="n"/>
      <c r="B83" s="797" t="n"/>
      <c r="C83" s="799" t="n"/>
      <c r="D83" s="799" t="n"/>
      <c r="E83" s="799" t="n"/>
      <c r="F83" s="799" t="n"/>
      <c r="G83" s="802" t="n"/>
      <c r="H83" s="803" t="n"/>
      <c r="I83" s="802" t="n"/>
      <c r="J83" s="1337" t="n"/>
      <c r="K83" s="1337" t="n"/>
      <c r="L83" s="1339" t="n"/>
      <c r="M83" s="1337" t="n"/>
      <c r="N83" s="1338" t="n"/>
    </row>
    <row r="84">
      <c r="A84" s="796" t="n"/>
      <c r="B84" s="797" t="n"/>
      <c r="C84" s="799" t="n"/>
      <c r="D84" s="799" t="n"/>
      <c r="E84" s="799" t="n"/>
      <c r="F84" s="799" t="n"/>
      <c r="G84" s="802" t="n"/>
      <c r="H84" s="803" t="n"/>
      <c r="I84" s="802" t="n"/>
      <c r="J84" s="1337" t="n"/>
      <c r="K84" s="1337" t="n"/>
      <c r="L84" s="1339" t="n"/>
      <c r="M84" s="1337" t="n"/>
      <c r="N84" s="1338" t="n"/>
    </row>
    <row r="85">
      <c r="A85" s="796" t="n"/>
      <c r="B85" s="797" t="n"/>
      <c r="C85" s="799" t="n"/>
      <c r="D85" s="799" t="n"/>
      <c r="E85" s="799" t="n"/>
      <c r="F85" s="799" t="n"/>
      <c r="G85" s="802" t="n"/>
      <c r="H85" s="803" t="n"/>
      <c r="I85" s="802" t="n"/>
      <c r="J85" s="1337" t="n"/>
      <c r="K85" s="1337" t="n"/>
      <c r="L85" s="1339" t="n"/>
      <c r="M85" s="1337" t="n"/>
      <c r="N85" s="1338" t="n"/>
      <c r="S85" s="1341" t="n"/>
    </row>
    <row r="86">
      <c r="A86" s="796" t="n"/>
      <c r="B86" s="797" t="n"/>
      <c r="C86" s="799" t="n"/>
      <c r="D86" s="799" t="n"/>
      <c r="E86" s="799" t="n"/>
      <c r="F86" s="799" t="n"/>
      <c r="G86" s="802" t="n"/>
      <c r="H86" s="803" t="n"/>
      <c r="I86" s="802" t="n"/>
      <c r="J86" s="1337" t="n"/>
      <c r="K86" s="1337" t="n"/>
      <c r="L86" s="1339" t="n"/>
      <c r="M86" s="1337" t="n"/>
      <c r="N86" s="1338" t="n"/>
    </row>
    <row r="87">
      <c r="A87" s="796" t="n"/>
      <c r="B87" s="797" t="n"/>
      <c r="C87" s="799" t="n"/>
      <c r="D87" s="799" t="n"/>
      <c r="E87" s="799" t="n"/>
      <c r="F87" s="799" t="n"/>
      <c r="G87" s="802" t="n"/>
      <c r="H87" s="803" t="n"/>
      <c r="I87" s="802" t="n"/>
      <c r="J87" s="1337" t="n"/>
      <c r="K87" s="1337" t="n"/>
      <c r="L87" s="1339" t="n"/>
      <c r="M87" s="1337" t="n"/>
      <c r="N87" s="1338" t="n"/>
    </row>
    <row r="88">
      <c r="A88" s="796" t="n"/>
      <c r="B88" s="797" t="n"/>
      <c r="C88" s="799" t="n"/>
      <c r="D88" s="799" t="n"/>
      <c r="E88" s="799" t="n"/>
      <c r="F88" s="799" t="n"/>
      <c r="G88" s="802" t="n"/>
      <c r="H88" s="803" t="n"/>
      <c r="I88" s="802" t="n"/>
      <c r="J88" s="1337" t="n"/>
      <c r="K88" s="1337" t="n"/>
      <c r="L88" s="1339" t="n"/>
      <c r="M88" s="1337" t="n"/>
      <c r="N88" s="1338" t="n"/>
    </row>
    <row r="89">
      <c r="A89" s="796" t="n"/>
      <c r="B89" s="797" t="n"/>
      <c r="C89" s="799" t="n"/>
      <c r="D89" s="799" t="n"/>
      <c r="E89" s="799" t="n"/>
      <c r="F89" s="799" t="n"/>
      <c r="G89" s="802" t="n"/>
      <c r="H89" s="803" t="n"/>
      <c r="I89" s="1342" t="n"/>
      <c r="J89" s="1337" t="n"/>
      <c r="K89" s="1337" t="n"/>
      <c r="L89" s="1339" t="n"/>
      <c r="M89" s="1337" t="n"/>
      <c r="N89" s="1338" t="n"/>
    </row>
    <row r="90">
      <c r="A90" s="796" t="n"/>
      <c r="B90" s="797" t="n"/>
      <c r="C90" s="799" t="n"/>
      <c r="D90" s="799" t="n"/>
      <c r="E90" s="799" t="n"/>
      <c r="F90" s="799" t="n"/>
      <c r="G90" s="802" t="n"/>
      <c r="H90" s="803" t="n"/>
      <c r="I90" s="1342" t="n"/>
      <c r="J90" s="1337" t="n"/>
      <c r="K90" s="1337" t="n"/>
      <c r="L90" s="1339" t="n"/>
      <c r="M90" s="1337" t="n"/>
      <c r="N90" s="1338" t="n"/>
    </row>
    <row r="91">
      <c r="A91" s="796" t="n"/>
      <c r="B91" s="797" t="n"/>
      <c r="C91" s="799" t="n"/>
      <c r="D91" s="799" t="n"/>
      <c r="E91" s="799" t="n"/>
      <c r="F91" s="799" t="n"/>
      <c r="G91" s="802" t="n"/>
      <c r="H91" s="803" t="n"/>
      <c r="I91" s="1342" t="n"/>
      <c r="J91" s="1337" t="n"/>
      <c r="K91" s="1337" t="n"/>
      <c r="L91" s="1339" t="n"/>
      <c r="M91" s="1337" t="n"/>
      <c r="N91" s="1338" t="n"/>
    </row>
    <row r="92" ht="15" thickBot="1">
      <c r="A92" s="796" t="n"/>
      <c r="B92" s="797" t="n"/>
      <c r="C92" s="799" t="n"/>
      <c r="D92" s="799" t="n"/>
      <c r="E92" s="799" t="n"/>
      <c r="F92" s="799" t="n"/>
      <c r="G92" s="802" t="n"/>
      <c r="H92" s="803" t="n"/>
      <c r="I92" s="1343" t="n"/>
      <c r="J92" s="1337" t="n"/>
      <c r="K92" s="1337" t="n"/>
      <c r="L92" s="1339" t="n"/>
      <c r="M92" s="1337" t="n"/>
      <c r="N92" s="1338" t="n"/>
    </row>
    <row r="93">
      <c r="A93" s="796" t="n"/>
      <c r="B93" s="797" t="n"/>
      <c r="C93" s="799" t="n"/>
      <c r="D93" s="799" t="n"/>
      <c r="E93" s="799" t="n"/>
      <c r="F93" s="799" t="n"/>
      <c r="G93" s="802" t="n"/>
      <c r="H93" s="803" t="n"/>
      <c r="I93" s="802" t="n"/>
      <c r="J93" s="1337" t="n"/>
      <c r="K93" s="1337" t="n"/>
      <c r="L93" s="1337" t="n"/>
      <c r="M93" s="1337" t="n"/>
      <c r="N93" s="1338" t="n"/>
    </row>
    <row r="94">
      <c r="A94" s="796" t="n"/>
      <c r="B94" s="797" t="n"/>
      <c r="C94" s="799" t="n"/>
      <c r="D94" s="799" t="n"/>
      <c r="E94" s="799" t="n"/>
      <c r="F94" s="799" t="n"/>
      <c r="G94" s="802" t="n"/>
      <c r="H94" s="803" t="n"/>
      <c r="I94" s="802" t="n"/>
      <c r="J94" s="1337" t="n"/>
      <c r="K94" s="1337" t="n"/>
      <c r="L94" s="1337" t="n"/>
      <c r="M94" s="1337" t="n"/>
      <c r="N94" s="1338" t="n"/>
    </row>
    <row r="95">
      <c r="A95" s="796" t="n"/>
      <c r="B95" s="797" t="n"/>
      <c r="C95" s="799" t="n"/>
      <c r="D95" s="799" t="n"/>
      <c r="E95" s="799" t="n"/>
      <c r="F95" s="799" t="n"/>
      <c r="G95" s="802" t="n"/>
      <c r="H95" s="803" t="n"/>
      <c r="I95" s="802" t="n"/>
      <c r="J95" s="1337" t="n"/>
      <c r="K95" s="1337" t="n"/>
      <c r="L95" s="1337" t="n"/>
      <c r="M95" s="1337" t="n"/>
      <c r="N95" s="1338" t="n"/>
    </row>
    <row r="96">
      <c r="A96" s="796" t="n"/>
      <c r="B96" s="797" t="n"/>
      <c r="C96" s="799" t="n"/>
      <c r="D96" s="799" t="n"/>
      <c r="E96" s="799" t="n"/>
      <c r="F96" s="799" t="n"/>
      <c r="G96" s="802" t="n"/>
      <c r="H96" s="803" t="n"/>
      <c r="J96" s="1337" t="n"/>
      <c r="K96" s="1337" t="n"/>
      <c r="L96" s="1337" t="n"/>
      <c r="M96" s="1337" t="n"/>
      <c r="N96" s="1338" t="n"/>
    </row>
    <row r="97">
      <c r="A97" s="796" t="n"/>
      <c r="B97" s="797" t="n"/>
      <c r="C97" s="799" t="n"/>
      <c r="D97" s="799" t="n"/>
      <c r="E97" s="799" t="n"/>
      <c r="F97" s="799" t="n"/>
      <c r="G97" s="802" t="n"/>
      <c r="H97" s="803" t="n"/>
      <c r="J97" s="1337" t="n"/>
      <c r="K97" s="1337" t="n"/>
      <c r="L97" s="1337" t="n"/>
      <c r="M97" s="1337" t="n"/>
      <c r="N97" s="1338" t="n"/>
    </row>
    <row r="98">
      <c r="A98" s="796" t="n"/>
      <c r="B98" s="797" t="n"/>
      <c r="C98" s="799" t="n"/>
      <c r="D98" s="799" t="n"/>
      <c r="E98" s="799" t="n"/>
      <c r="F98" s="799" t="n"/>
      <c r="G98" s="802" t="n"/>
      <c r="H98" s="803" t="n"/>
      <c r="J98" s="1337" t="n"/>
      <c r="K98" s="1337" t="n"/>
      <c r="L98" s="1337" t="n"/>
      <c r="M98" s="1337" t="n"/>
      <c r="N98" s="1338" t="n"/>
    </row>
    <row r="99">
      <c r="A99" s="796" t="n"/>
      <c r="B99" s="797" t="n"/>
      <c r="C99" s="799" t="n"/>
      <c r="D99" s="799" t="n"/>
      <c r="E99" s="799" t="n"/>
      <c r="F99" s="799" t="n"/>
      <c r="G99" s="802" t="n"/>
      <c r="H99" s="803" t="n"/>
      <c r="I99" s="802" t="n"/>
      <c r="J99" s="1337" t="n"/>
      <c r="K99" s="1337" t="n"/>
      <c r="L99" s="1337" t="n"/>
      <c r="M99" s="1337" t="n"/>
      <c r="N99" s="1338" t="n"/>
    </row>
    <row r="100">
      <c r="A100" s="796" t="n"/>
      <c r="B100" s="797" t="n"/>
      <c r="C100" s="799" t="n"/>
      <c r="D100" s="799" t="n"/>
      <c r="E100" s="799" t="n"/>
      <c r="F100" s="799" t="n"/>
      <c r="G100" s="802" t="n"/>
      <c r="H100" s="803" t="n"/>
      <c r="I100" s="802" t="n"/>
      <c r="J100" s="1337" t="n"/>
      <c r="K100" s="1337" t="n"/>
      <c r="L100" s="1337" t="n"/>
      <c r="M100" s="1337" t="n"/>
      <c r="N100" s="1338" t="n"/>
    </row>
    <row r="101">
      <c r="A101" s="796" t="n"/>
      <c r="B101" s="797" t="n"/>
      <c r="C101" s="799" t="n"/>
      <c r="D101" s="799" t="n"/>
      <c r="E101" s="799" t="n"/>
      <c r="F101" s="799" t="n"/>
      <c r="G101" s="802" t="n"/>
      <c r="H101" s="803" t="n"/>
      <c r="I101" s="802" t="n"/>
      <c r="J101" s="1337" t="n"/>
      <c r="K101" s="1337" t="n"/>
      <c r="L101" s="1337" t="n"/>
      <c r="M101" s="1337" t="n"/>
      <c r="N101" s="1338" t="n"/>
    </row>
    <row r="102">
      <c r="A102" s="796" t="n"/>
      <c r="B102" s="797" t="n"/>
      <c r="C102" s="799" t="n"/>
      <c r="D102" s="799" t="n"/>
      <c r="E102" s="799" t="n"/>
      <c r="F102" s="799" t="n"/>
      <c r="G102" s="802" t="n"/>
      <c r="H102" s="803" t="n"/>
      <c r="I102" s="802" t="n"/>
      <c r="J102" s="1337" t="n"/>
      <c r="K102" s="1337" t="n"/>
      <c r="L102" s="1337" t="n"/>
      <c r="M102" s="1337" t="n"/>
      <c r="N102" s="1338" t="n"/>
    </row>
    <row r="103">
      <c r="A103" s="796" t="n"/>
      <c r="B103" s="797" t="n"/>
      <c r="C103" s="799" t="n"/>
      <c r="D103" s="799" t="n"/>
      <c r="E103" s="799" t="n"/>
      <c r="F103" s="799" t="n"/>
      <c r="G103" s="802" t="n"/>
      <c r="H103" s="803" t="n"/>
      <c r="I103" s="802" t="n"/>
      <c r="J103" s="1337" t="n"/>
      <c r="K103" s="1337" t="n"/>
      <c r="L103" s="1337" t="n"/>
      <c r="M103" s="1337" t="n"/>
      <c r="N103" s="1338" t="n"/>
    </row>
    <row r="104">
      <c r="A104" s="796" t="n"/>
      <c r="B104" s="797" t="n"/>
      <c r="C104" s="799" t="n"/>
      <c r="D104" s="799" t="n"/>
      <c r="E104" s="799" t="n"/>
      <c r="F104" s="799" t="n"/>
      <c r="G104" s="802" t="n"/>
      <c r="H104" s="803" t="n"/>
      <c r="I104" s="802" t="n"/>
      <c r="J104" s="1337" t="n"/>
      <c r="K104" s="1337" t="n"/>
      <c r="L104" s="1337" t="n"/>
      <c r="M104" s="1337" t="n"/>
      <c r="N104" s="1338" t="n"/>
    </row>
    <row r="105">
      <c r="A105" s="796" t="n"/>
      <c r="B105" s="797" t="n"/>
      <c r="C105" s="799" t="n"/>
      <c r="D105" s="799" t="n"/>
      <c r="E105" s="799" t="n"/>
      <c r="F105" s="799" t="n"/>
      <c r="G105" s="802" t="n"/>
      <c r="H105" s="803" t="n"/>
      <c r="I105" s="802" t="n"/>
      <c r="J105" s="1337" t="n"/>
      <c r="K105" s="1337" t="n"/>
      <c r="L105" s="1337" t="n"/>
      <c r="M105" s="1337" t="n"/>
      <c r="N105" s="1338" t="n"/>
    </row>
    <row r="106">
      <c r="A106" s="796" t="n"/>
      <c r="B106" s="797" t="n"/>
      <c r="C106" s="799" t="n"/>
      <c r="D106" s="799" t="n"/>
      <c r="E106" s="799" t="n"/>
      <c r="F106" s="799" t="n"/>
      <c r="G106" s="802" t="n"/>
      <c r="H106" s="803" t="n"/>
      <c r="I106" s="802" t="n"/>
      <c r="J106" s="1337" t="n"/>
      <c r="K106" s="1337" t="n"/>
      <c r="L106" s="1337" t="n"/>
      <c r="M106" s="1337" t="n"/>
      <c r="N106" s="1338" t="n"/>
    </row>
    <row r="107">
      <c r="A107" s="796" t="n"/>
      <c r="B107" s="797" t="n"/>
      <c r="C107" s="799" t="n"/>
      <c r="D107" s="799" t="n"/>
      <c r="E107" s="799" t="n"/>
      <c r="F107" s="799" t="n"/>
      <c r="G107" s="802" t="n"/>
      <c r="H107" s="803" t="n"/>
      <c r="I107" s="802" t="n"/>
      <c r="J107" s="1337" t="n"/>
      <c r="K107" s="1337" t="n"/>
      <c r="L107" s="1337" t="n"/>
      <c r="M107" s="1337" t="n"/>
      <c r="N107" s="1338" t="n"/>
    </row>
    <row r="108">
      <c r="A108" s="796" t="n"/>
      <c r="B108" s="797" t="n"/>
      <c r="C108" s="799" t="n"/>
      <c r="D108" s="799" t="n"/>
      <c r="E108" s="799" t="n"/>
      <c r="F108" s="799" t="n"/>
      <c r="G108" s="799" t="n"/>
      <c r="H108" s="810" t="n"/>
      <c r="I108" s="802" t="n"/>
      <c r="J108" s="1337" t="n"/>
      <c r="K108" s="1337" t="n"/>
      <c r="L108" s="1337" t="n"/>
      <c r="M108" s="1337" t="n"/>
      <c r="N108" s="1338" t="n"/>
    </row>
    <row r="109">
      <c r="A109" s="796" t="n"/>
      <c r="B109" s="797" t="n"/>
      <c r="C109" s="799" t="n"/>
      <c r="D109" s="799" t="n"/>
      <c r="E109" s="799" t="n"/>
      <c r="F109" s="799" t="n"/>
      <c r="G109" s="802" t="n"/>
      <c r="H109" s="810" t="n"/>
      <c r="I109" s="802" t="n"/>
      <c r="J109" s="1337" t="n"/>
      <c r="K109" s="1337" t="n"/>
      <c r="L109" s="1337" t="n"/>
      <c r="M109" s="1337" t="n"/>
      <c r="N109" s="1338" t="n"/>
    </row>
    <row r="110">
      <c r="A110" s="796" t="n"/>
      <c r="B110" s="797" t="n"/>
      <c r="C110" s="799" t="n"/>
      <c r="D110" s="799" t="n"/>
      <c r="E110" s="799" t="n"/>
      <c r="F110" s="799" t="n"/>
      <c r="G110" s="802" t="n"/>
      <c r="H110" s="810" t="n"/>
      <c r="I110" s="802" t="n"/>
      <c r="J110" s="1337" t="n"/>
      <c r="K110" s="1337" t="n"/>
      <c r="L110" s="1337" t="n"/>
      <c r="M110" s="1337" t="n"/>
      <c r="N110" s="1338" t="n"/>
    </row>
    <row r="111">
      <c r="A111" s="796" t="n"/>
      <c r="B111" s="797" t="n"/>
      <c r="C111" s="799" t="n"/>
      <c r="D111" s="799" t="n"/>
      <c r="E111" s="799" t="n"/>
      <c r="F111" s="799" t="n"/>
      <c r="G111" s="802" t="n"/>
      <c r="H111" s="810" t="n"/>
      <c r="I111" s="802" t="n"/>
      <c r="J111" s="1337" t="n"/>
      <c r="K111" s="1337" t="n"/>
      <c r="L111" s="1337" t="n"/>
      <c r="M111" s="1337" t="n"/>
      <c r="N111" s="1338" t="n"/>
    </row>
    <row r="112">
      <c r="A112" s="796" t="n"/>
      <c r="B112" s="797" t="n"/>
      <c r="C112" s="799" t="n"/>
      <c r="D112" s="799" t="n"/>
      <c r="E112" s="799" t="n"/>
      <c r="F112" s="799" t="n"/>
      <c r="G112" s="802" t="n"/>
      <c r="H112" s="810" t="n"/>
      <c r="I112" s="802" t="n"/>
      <c r="J112" s="1337" t="n"/>
      <c r="K112" s="1337" t="n"/>
      <c r="L112" s="1337" t="n"/>
      <c r="M112" s="1337" t="n"/>
      <c r="N112" s="1338" t="n"/>
    </row>
    <row r="113">
      <c r="A113" s="796" t="n"/>
      <c r="B113" s="797" t="n"/>
      <c r="C113" s="799" t="n"/>
      <c r="D113" s="799" t="n"/>
      <c r="E113" s="799" t="n"/>
      <c r="F113" s="799" t="n"/>
      <c r="G113" s="802" t="n"/>
      <c r="H113" s="810" t="n"/>
      <c r="I113" s="802" t="n"/>
      <c r="J113" s="1337" t="n"/>
      <c r="K113" s="1337" t="n"/>
      <c r="L113" s="1337" t="n"/>
      <c r="M113" s="1337" t="n"/>
      <c r="N113" s="1338" t="n"/>
    </row>
    <row r="114">
      <c r="A114" s="796" t="n"/>
      <c r="B114" s="797" t="n"/>
      <c r="C114" s="799" t="n"/>
      <c r="D114" s="799" t="n"/>
      <c r="E114" s="799" t="n"/>
      <c r="F114" s="799" t="n"/>
      <c r="G114" s="802" t="n"/>
      <c r="H114" s="810" t="n"/>
      <c r="I114" s="802" t="n"/>
      <c r="J114" s="1337" t="n"/>
      <c r="K114" s="1337" t="n"/>
      <c r="L114" s="1337" t="n"/>
      <c r="M114" s="1337" t="n"/>
      <c r="N114" s="1338" t="n"/>
    </row>
    <row r="115">
      <c r="A115" s="796" t="n"/>
      <c r="B115" s="797" t="n"/>
      <c r="C115" s="799" t="n"/>
      <c r="D115" s="799" t="n"/>
      <c r="E115" s="799" t="n"/>
      <c r="F115" s="799" t="n"/>
      <c r="G115" s="802" t="n"/>
      <c r="H115" s="810" t="n"/>
      <c r="I115" s="802" t="n"/>
      <c r="J115" s="1337" t="n"/>
      <c r="K115" s="1337" t="n"/>
      <c r="L115" s="1337" t="n"/>
      <c r="M115" s="1337" t="n"/>
      <c r="N115" s="1338" t="n"/>
    </row>
    <row r="116">
      <c r="A116" s="796" t="n"/>
      <c r="B116" s="797" t="n"/>
      <c r="C116" s="799" t="n"/>
      <c r="D116" s="799" t="n"/>
      <c r="E116" s="799" t="n"/>
      <c r="F116" s="799" t="n"/>
      <c r="G116" s="802" t="n"/>
      <c r="H116" s="810" t="n"/>
      <c r="I116" s="802" t="n"/>
      <c r="J116" s="1337" t="n"/>
      <c r="K116" s="1337" t="n"/>
      <c r="L116" s="1337" t="n"/>
      <c r="M116" s="1337" t="n"/>
      <c r="N116" s="1338" t="n"/>
    </row>
    <row r="117">
      <c r="A117" s="796" t="n"/>
      <c r="B117" s="797" t="n"/>
      <c r="C117" s="799" t="n"/>
      <c r="D117" s="799" t="n"/>
      <c r="E117" s="799" t="n"/>
      <c r="F117" s="799" t="n"/>
      <c r="G117" s="802" t="n"/>
      <c r="H117" s="810" t="n"/>
      <c r="I117" s="802" t="n"/>
      <c r="J117" s="1337" t="n"/>
      <c r="K117" s="1337" t="n"/>
      <c r="L117" s="1337" t="n"/>
      <c r="M117" s="1337" t="n"/>
      <c r="N117" s="1338" t="n"/>
    </row>
    <row r="118">
      <c r="A118" s="796" t="n"/>
      <c r="B118" s="797" t="n"/>
      <c r="C118" s="799" t="n"/>
      <c r="D118" s="799" t="n"/>
      <c r="E118" s="799" t="n"/>
      <c r="F118" s="799" t="n"/>
      <c r="G118" s="802" t="n"/>
      <c r="H118" s="810" t="n"/>
      <c r="I118" s="802" t="n"/>
      <c r="J118" s="1337" t="n"/>
      <c r="K118" s="1337" t="n"/>
      <c r="L118" s="1337" t="n"/>
      <c r="M118" s="1337" t="n"/>
      <c r="N118" s="1338" t="n"/>
    </row>
    <row r="119">
      <c r="A119" s="796" t="n"/>
      <c r="B119" s="797" t="n"/>
      <c r="C119" s="799" t="n"/>
      <c r="D119" s="799" t="n"/>
      <c r="E119" s="799" t="n"/>
      <c r="F119" s="799" t="n"/>
      <c r="G119" s="802" t="n"/>
      <c r="H119" s="810" t="n"/>
      <c r="I119" s="802" t="n"/>
      <c r="J119" s="1337" t="n"/>
      <c r="K119" s="1337" t="n"/>
      <c r="L119" s="1337" t="n"/>
      <c r="M119" s="1337" t="n"/>
      <c r="N119" s="1338" t="n"/>
    </row>
    <row r="120">
      <c r="A120" s="796" t="n"/>
      <c r="B120" s="797" t="n"/>
      <c r="C120" s="799" t="n"/>
      <c r="D120" s="799" t="n"/>
      <c r="E120" s="799" t="n"/>
      <c r="F120" s="799" t="n"/>
      <c r="G120" s="802" t="n"/>
      <c r="H120" s="810" t="n"/>
      <c r="I120" s="802" t="n"/>
      <c r="J120" s="1337" t="n"/>
      <c r="K120" s="1337" t="n"/>
      <c r="L120" s="1337" t="n"/>
      <c r="M120" s="1337" t="n"/>
      <c r="N120" s="1338" t="n"/>
    </row>
    <row r="121">
      <c r="A121" s="796" t="n"/>
      <c r="B121" s="797" t="n"/>
      <c r="C121" s="799" t="n"/>
      <c r="D121" s="799" t="n"/>
      <c r="E121" s="799" t="n"/>
      <c r="F121" s="799" t="n"/>
      <c r="G121" s="802" t="n"/>
      <c r="H121" s="810" t="n"/>
      <c r="I121" s="802" t="n"/>
      <c r="J121" s="1337" t="n"/>
      <c r="K121" s="1337" t="n"/>
      <c r="L121" s="1337" t="n"/>
      <c r="M121" s="1337" t="n"/>
      <c r="N121" s="1338" t="n"/>
    </row>
    <row r="122">
      <c r="A122" s="796" t="n"/>
      <c r="B122" s="797" t="n"/>
      <c r="C122" s="799" t="n"/>
      <c r="D122" s="799" t="n"/>
      <c r="E122" s="799" t="n"/>
      <c r="F122" s="799" t="n"/>
      <c r="G122" s="802" t="n"/>
      <c r="H122" s="810" t="n"/>
      <c r="I122" s="802" t="n"/>
      <c r="J122" s="1337" t="n"/>
      <c r="K122" s="1337" t="n"/>
      <c r="L122" s="1337" t="n"/>
      <c r="M122" s="1337" t="n"/>
      <c r="N122" s="1338" t="n"/>
    </row>
    <row r="123">
      <c r="A123" s="796" t="n"/>
      <c r="B123" s="797" t="n"/>
      <c r="C123" s="799" t="n"/>
      <c r="D123" s="799" t="n"/>
      <c r="E123" s="799" t="n"/>
      <c r="F123" s="799" t="n"/>
      <c r="G123" s="802" t="n"/>
      <c r="H123" s="810" t="n"/>
      <c r="I123" s="802" t="n"/>
      <c r="J123" s="1337" t="n"/>
      <c r="K123" s="1337" t="n"/>
      <c r="L123" s="1337" t="n"/>
      <c r="M123" s="1337" t="n"/>
      <c r="N123" s="1338" t="n"/>
    </row>
    <row r="124">
      <c r="A124" s="796" t="n"/>
      <c r="B124" s="797" t="n"/>
      <c r="C124" s="799" t="n"/>
      <c r="D124" s="799" t="n"/>
      <c r="E124" s="799" t="n"/>
      <c r="F124" s="799" t="n"/>
      <c r="G124" s="802" t="n"/>
      <c r="H124" s="803" t="n"/>
      <c r="I124" s="802" t="n"/>
      <c r="J124" s="1337" t="n"/>
      <c r="K124" s="1337" t="n"/>
      <c r="L124" s="1337" t="n"/>
      <c r="M124" s="1337" t="n"/>
      <c r="N124" s="1338" t="n"/>
    </row>
    <row r="125">
      <c r="A125" s="796" t="n"/>
      <c r="B125" s="797" t="n"/>
      <c r="C125" s="799" t="n"/>
      <c r="D125" s="799" t="n"/>
      <c r="E125" s="799" t="n"/>
      <c r="F125" s="799" t="n"/>
      <c r="G125" s="802" t="n"/>
      <c r="H125" s="803" t="n"/>
      <c r="I125" s="802" t="n"/>
      <c r="J125" s="1337" t="n"/>
      <c r="K125" s="1337" t="n"/>
      <c r="L125" s="1337" t="n"/>
      <c r="M125" s="1337" t="n"/>
      <c r="N125" s="1338" t="n"/>
    </row>
    <row r="126">
      <c r="A126" s="796" t="n"/>
      <c r="B126" s="797" t="n"/>
      <c r="C126" s="799" t="n"/>
      <c r="D126" s="799" t="n"/>
      <c r="E126" s="799" t="n"/>
      <c r="F126" s="799" t="n"/>
      <c r="G126" s="802" t="n"/>
      <c r="H126" s="803" t="n"/>
      <c r="I126" s="802" t="n"/>
      <c r="J126" s="1337" t="n"/>
      <c r="K126" s="1337" t="n"/>
      <c r="L126" s="1337" t="n"/>
      <c r="M126" s="1337" t="n"/>
      <c r="N126" s="1338" t="n"/>
    </row>
    <row r="127">
      <c r="A127" s="796" t="n"/>
      <c r="B127" s="797" t="n"/>
      <c r="C127" s="799" t="n"/>
      <c r="D127" s="799" t="n"/>
      <c r="E127" s="799" t="n"/>
      <c r="F127" s="799" t="n"/>
      <c r="G127" s="802" t="n"/>
      <c r="H127" s="803" t="n"/>
      <c r="I127" s="802" t="n"/>
      <c r="J127" s="1337" t="n"/>
      <c r="K127" s="1337" t="n"/>
      <c r="L127" s="1337" t="n"/>
      <c r="M127" s="1337" t="n"/>
      <c r="N127" s="1338" t="n"/>
    </row>
    <row r="128">
      <c r="A128" s="796" t="n"/>
      <c r="B128" s="797" t="n"/>
      <c r="C128" s="799" t="n"/>
      <c r="D128" s="799" t="n"/>
      <c r="E128" s="799" t="n"/>
      <c r="F128" s="799" t="n"/>
      <c r="G128" s="802" t="n"/>
      <c r="H128" s="803" t="n"/>
      <c r="I128" s="802" t="n"/>
      <c r="J128" s="1337" t="n"/>
      <c r="K128" s="1337" t="n"/>
      <c r="L128" s="1337" t="n"/>
      <c r="M128" s="1337" t="n"/>
      <c r="N128" s="1338" t="n"/>
    </row>
    <row r="129">
      <c r="A129" s="796" t="n"/>
      <c r="B129" s="797" t="n"/>
      <c r="C129" s="799" t="n"/>
      <c r="D129" s="799" t="n"/>
      <c r="E129" s="799" t="n"/>
      <c r="F129" s="799" t="n"/>
      <c r="G129" s="802" t="n"/>
      <c r="H129" s="803" t="n"/>
      <c r="I129" s="802" t="n"/>
      <c r="J129" s="1337" t="n"/>
      <c r="K129" s="1337" t="n"/>
      <c r="L129" s="1337" t="n"/>
      <c r="M129" s="1337" t="n"/>
      <c r="N129" s="1338" t="n"/>
    </row>
    <row r="130">
      <c r="A130" s="796" t="n"/>
      <c r="B130" s="797" t="n"/>
      <c r="C130" s="799" t="n"/>
      <c r="D130" s="799" t="n"/>
      <c r="E130" s="799" t="n"/>
      <c r="F130" s="799" t="n"/>
      <c r="G130" s="802" t="n"/>
      <c r="H130" s="803" t="n"/>
      <c r="I130" s="802" t="n"/>
      <c r="J130" s="1337" t="n"/>
      <c r="K130" s="1337" t="n"/>
      <c r="L130" s="1337" t="n"/>
      <c r="M130" s="1337" t="n"/>
      <c r="N130" s="1338" t="n"/>
    </row>
    <row r="131">
      <c r="A131" s="796" t="n"/>
      <c r="B131" s="797" t="n"/>
      <c r="C131" s="803" t="n"/>
      <c r="D131" s="803" t="n"/>
      <c r="E131" s="803" t="n"/>
      <c r="F131" s="803" t="n"/>
      <c r="G131" s="802" t="n"/>
      <c r="H131" s="803" t="n"/>
      <c r="I131" s="802" t="n"/>
      <c r="J131" s="1337" t="n"/>
      <c r="K131" s="1337" t="n"/>
      <c r="L131" s="1337" t="n"/>
      <c r="M131" s="1337" t="n"/>
      <c r="N131" s="1338" t="n"/>
    </row>
    <row r="132">
      <c r="A132" s="796" t="n"/>
      <c r="B132" s="797" t="n"/>
      <c r="C132" s="799" t="n"/>
      <c r="D132" s="799" t="n"/>
      <c r="E132" s="799" t="n"/>
      <c r="F132" s="829" t="n"/>
      <c r="G132" s="802" t="n"/>
      <c r="H132" s="803" t="n"/>
      <c r="I132" s="802" t="n"/>
      <c r="J132" s="1337" t="n"/>
      <c r="K132" s="1337" t="n"/>
      <c r="L132" s="1337" t="n"/>
      <c r="M132" s="1337" t="n"/>
      <c r="N132" s="1338" t="n"/>
    </row>
    <row r="133">
      <c r="A133" s="796" t="n"/>
      <c r="B133" s="797" t="n"/>
      <c r="C133" s="799" t="n"/>
      <c r="D133" s="799" t="n"/>
      <c r="E133" s="799" t="n"/>
      <c r="F133" s="829" t="n"/>
      <c r="G133" s="802" t="n"/>
      <c r="H133" s="803" t="n"/>
      <c r="I133" s="802" t="n"/>
      <c r="J133" s="1337" t="n"/>
      <c r="K133" s="1337" t="n"/>
      <c r="L133" s="1337" t="n"/>
      <c r="M133" s="1337" t="n"/>
      <c r="N133" s="1338" t="n"/>
    </row>
    <row r="134">
      <c r="A134" s="796" t="n"/>
      <c r="B134" s="797" t="n"/>
      <c r="C134" s="799" t="n"/>
      <c r="D134" s="799" t="n"/>
      <c r="E134" s="799" t="n"/>
      <c r="F134" s="803" t="n"/>
      <c r="G134" s="802" t="n"/>
      <c r="H134" s="803" t="n"/>
      <c r="I134" s="802" t="n"/>
      <c r="J134" s="1337" t="n"/>
      <c r="K134" s="1337" t="n"/>
      <c r="L134" s="1337" t="n"/>
      <c r="M134" s="1337" t="n"/>
      <c r="N134" s="1338" t="n"/>
    </row>
    <row r="135">
      <c r="A135" s="796" t="n"/>
      <c r="B135" s="797" t="n"/>
      <c r="C135" s="799" t="n"/>
      <c r="D135" s="799" t="n"/>
      <c r="E135" s="799" t="n"/>
      <c r="F135" s="799" t="n"/>
      <c r="G135" s="802" t="n"/>
      <c r="H135" s="803" t="n"/>
      <c r="I135" s="802" t="n"/>
      <c r="J135" s="1337" t="n"/>
      <c r="K135" s="1337" t="n"/>
      <c r="L135" s="1337" t="n"/>
      <c r="M135" s="1337" t="n"/>
      <c r="N135" s="1338" t="n"/>
    </row>
    <row r="136">
      <c r="A136" s="796" t="n"/>
      <c r="B136" s="797" t="n"/>
      <c r="C136" s="799" t="n"/>
      <c r="D136" s="799" t="n"/>
      <c r="E136" s="799" t="n"/>
      <c r="F136" s="799" t="n"/>
      <c r="G136" s="802" t="n"/>
      <c r="H136" s="803" t="n"/>
      <c r="I136" s="802" t="n"/>
      <c r="J136" s="1337" t="n"/>
      <c r="K136" s="1337" t="n"/>
      <c r="L136" s="1337" t="n"/>
      <c r="M136" s="1337" t="n"/>
      <c r="N136" s="1338" t="n"/>
    </row>
    <row r="137">
      <c r="A137" s="796" t="n"/>
      <c r="B137" s="797" t="n"/>
      <c r="C137" s="799" t="n"/>
      <c r="D137" s="799" t="n"/>
      <c r="E137" s="799" t="n"/>
      <c r="F137" s="799" t="n"/>
      <c r="G137" s="802" t="n"/>
      <c r="H137" s="803" t="n"/>
      <c r="I137" s="802" t="n"/>
      <c r="J137" s="1337" t="n"/>
      <c r="K137" s="1337" t="n"/>
      <c r="L137" s="1337" t="n"/>
      <c r="M137" s="1337" t="n"/>
      <c r="N137" s="800" t="n"/>
    </row>
    <row r="138">
      <c r="A138" s="796" t="n"/>
      <c r="B138" s="797" t="n"/>
      <c r="C138" s="799" t="n"/>
      <c r="D138" s="799" t="n"/>
      <c r="E138" s="799" t="n"/>
      <c r="F138" s="799" t="n"/>
      <c r="G138" s="802" t="n"/>
      <c r="H138" s="803" t="n"/>
      <c r="I138" s="802" t="n"/>
      <c r="J138" s="1337" t="n"/>
      <c r="K138" s="1337" t="n"/>
      <c r="L138" s="1337" t="n"/>
      <c r="M138" s="1337" t="n"/>
      <c r="N138" s="800" t="n"/>
    </row>
    <row r="139">
      <c r="A139" s="796" t="n"/>
      <c r="B139" s="797" t="n"/>
      <c r="C139" s="799" t="n"/>
      <c r="D139" s="799" t="n"/>
      <c r="E139" s="799" t="n"/>
      <c r="F139" s="799" t="n"/>
      <c r="G139" s="802" t="n"/>
      <c r="H139" s="803" t="n"/>
      <c r="I139" s="802" t="n"/>
      <c r="J139" s="1337" t="n"/>
      <c r="K139" s="1337" t="n"/>
      <c r="L139" s="1337" t="n"/>
      <c r="M139" s="1337" t="n"/>
      <c r="N139" s="800" t="n"/>
    </row>
    <row r="140">
      <c r="A140" s="796" t="n"/>
      <c r="B140" s="797" t="n"/>
      <c r="C140" s="799" t="n"/>
      <c r="D140" s="799" t="n"/>
      <c r="E140" s="799" t="n"/>
      <c r="F140" s="799" t="n"/>
      <c r="G140" s="802" t="n"/>
      <c r="H140" s="803" t="n"/>
      <c r="I140" s="802" t="n"/>
      <c r="J140" s="1337" t="n"/>
      <c r="K140" s="1337" t="n"/>
      <c r="L140" s="1337" t="n"/>
      <c r="M140" s="1337" t="n"/>
      <c r="N140" s="800" t="n"/>
    </row>
    <row r="141">
      <c r="A141" s="796" t="n"/>
      <c r="B141" s="797" t="n"/>
      <c r="C141" s="799" t="n"/>
      <c r="D141" s="799" t="n"/>
      <c r="E141" s="799" t="n"/>
      <c r="F141" s="799" t="n"/>
      <c r="G141" s="802" t="n"/>
      <c r="H141" s="803" t="n"/>
      <c r="I141" s="802" t="n"/>
      <c r="J141" s="1337" t="n"/>
      <c r="K141" s="1337" t="n"/>
      <c r="L141" s="1337" t="n"/>
      <c r="M141" s="1337" t="n"/>
      <c r="N141" s="800" t="n"/>
    </row>
    <row r="142">
      <c r="A142" s="796" t="n"/>
      <c r="B142" s="797" t="n"/>
      <c r="C142" s="799" t="n"/>
      <c r="D142" s="799" t="n"/>
      <c r="E142" s="799" t="n"/>
      <c r="F142" s="799" t="n"/>
      <c r="G142" s="802" t="n"/>
      <c r="H142" s="803" t="n"/>
      <c r="I142" s="802" t="n"/>
      <c r="J142" s="1337" t="n"/>
      <c r="K142" s="1337" t="n"/>
      <c r="L142" s="1337" t="n"/>
      <c r="M142" s="1337" t="n"/>
      <c r="N142" s="800" t="n"/>
    </row>
    <row r="143">
      <c r="A143" s="796" t="n"/>
      <c r="B143" s="797" t="n"/>
      <c r="C143" s="799" t="n"/>
      <c r="D143" s="799" t="n"/>
      <c r="E143" s="799" t="n"/>
      <c r="F143" s="803" t="n"/>
      <c r="G143" s="802" t="n"/>
      <c r="H143" s="803" t="n"/>
      <c r="I143" s="802" t="n"/>
      <c r="J143" s="1337" t="n"/>
      <c r="K143" s="1337" t="n"/>
      <c r="L143" s="1337" t="n"/>
      <c r="M143" s="1337" t="n"/>
      <c r="N143" s="800" t="n"/>
    </row>
    <row r="144">
      <c r="A144" s="796" t="n"/>
      <c r="B144" s="797" t="n"/>
      <c r="C144" s="799" t="n"/>
      <c r="D144" s="799" t="n"/>
      <c r="E144" s="799" t="n"/>
      <c r="F144" s="803" t="n"/>
      <c r="G144" s="802" t="n"/>
      <c r="H144" s="803" t="n"/>
      <c r="I144" s="802" t="n"/>
      <c r="J144" s="1337" t="n"/>
      <c r="K144" s="1337" t="n"/>
      <c r="L144" s="1337" t="n"/>
      <c r="M144" s="1337" t="n"/>
      <c r="N144" s="800" t="n"/>
    </row>
    <row r="145">
      <c r="A145" s="796" t="n"/>
      <c r="B145" s="797" t="n"/>
      <c r="C145" s="799" t="n"/>
      <c r="D145" s="799" t="n"/>
      <c r="E145" s="799" t="n"/>
      <c r="F145" s="803" t="n"/>
      <c r="G145" s="802" t="n"/>
      <c r="H145" s="803" t="n"/>
      <c r="I145" s="802" t="n"/>
      <c r="J145" s="1337" t="n"/>
      <c r="K145" s="1337" t="n"/>
      <c r="L145" s="1337" t="n"/>
      <c r="M145" s="1337" t="n"/>
      <c r="N145" s="800" t="n"/>
    </row>
    <row r="146">
      <c r="A146" s="796" t="n"/>
      <c r="B146" s="797" t="n"/>
      <c r="C146" s="799" t="n"/>
      <c r="D146" s="799" t="n"/>
      <c r="E146" s="799" t="n"/>
      <c r="F146" s="803" t="n"/>
      <c r="G146" s="802" t="n"/>
      <c r="H146" s="803" t="n"/>
      <c r="I146" s="802" t="n"/>
      <c r="J146" s="1337" t="n"/>
      <c r="K146" s="1337" t="n"/>
      <c r="L146" s="1337" t="n"/>
      <c r="M146" s="1337" t="n"/>
      <c r="N146" s="800" t="n"/>
    </row>
    <row r="147">
      <c r="A147" s="796" t="n"/>
      <c r="B147" s="797" t="n"/>
      <c r="C147" s="799" t="n"/>
      <c r="D147" s="799" t="n"/>
      <c r="E147" s="799" t="n"/>
      <c r="F147" s="803" t="n"/>
      <c r="G147" s="802" t="n"/>
      <c r="H147" s="803" t="n"/>
      <c r="I147" s="802" t="n"/>
      <c r="J147" s="1337" t="n"/>
      <c r="K147" s="1337" t="n"/>
      <c r="L147" s="1337" t="n"/>
      <c r="M147" s="1337" t="n"/>
      <c r="N147" s="800" t="n"/>
    </row>
    <row r="148">
      <c r="A148" s="796" t="n"/>
      <c r="B148" s="797" t="n"/>
      <c r="C148" s="799" t="n"/>
      <c r="D148" s="799" t="n"/>
      <c r="E148" s="799" t="n"/>
      <c r="F148" s="803" t="n"/>
      <c r="G148" s="802" t="n"/>
      <c r="H148" s="803" t="n"/>
      <c r="I148" s="802" t="n"/>
      <c r="J148" s="1337" t="n"/>
      <c r="K148" s="1337" t="n"/>
      <c r="L148" s="1337" t="n"/>
      <c r="M148" s="1337" t="n"/>
      <c r="N148" s="800" t="n"/>
    </row>
    <row r="149">
      <c r="A149" s="796" t="n"/>
      <c r="B149" s="797" t="n"/>
      <c r="C149" s="799" t="n"/>
      <c r="D149" s="799" t="n"/>
      <c r="E149" s="799" t="n"/>
      <c r="F149" s="803" t="n"/>
      <c r="G149" s="802" t="n"/>
      <c r="H149" s="803" t="n"/>
      <c r="I149" s="802" t="n"/>
      <c r="J149" s="1337" t="n"/>
      <c r="K149" s="1337" t="n"/>
      <c r="L149" s="1337" t="n"/>
      <c r="M149" s="1337" t="n"/>
      <c r="N149" s="800" t="n"/>
    </row>
    <row r="150">
      <c r="A150" s="796" t="n"/>
      <c r="B150" s="797" t="n"/>
      <c r="C150" s="799" t="n"/>
      <c r="D150" s="799" t="n"/>
      <c r="E150" s="799" t="n"/>
      <c r="F150" s="803" t="n"/>
      <c r="G150" s="802" t="n"/>
      <c r="H150" s="803" t="n"/>
      <c r="I150" s="802" t="n"/>
      <c r="J150" s="1337" t="n"/>
      <c r="K150" s="1337" t="n"/>
      <c r="L150" s="1337" t="n"/>
      <c r="M150" s="1337" t="n"/>
      <c r="N150" s="800" t="n"/>
    </row>
    <row r="151">
      <c r="A151" s="796" t="n"/>
      <c r="B151" s="797" t="n"/>
      <c r="C151" s="799" t="n"/>
      <c r="D151" s="799" t="n"/>
      <c r="E151" s="799" t="n"/>
      <c r="F151" s="803" t="n"/>
      <c r="G151" s="830" t="n"/>
      <c r="H151" s="803" t="n"/>
      <c r="I151" s="802" t="n"/>
      <c r="J151" s="1337" t="n"/>
      <c r="K151" s="1337" t="n"/>
      <c r="L151" s="1337" t="n"/>
      <c r="M151" s="1337" t="n"/>
      <c r="N151" s="800" t="n"/>
    </row>
    <row r="152">
      <c r="A152" s="796" t="n"/>
      <c r="B152" s="797" t="n"/>
      <c r="C152" s="799" t="n"/>
      <c r="D152" s="799" t="n"/>
      <c r="E152" s="799" t="n"/>
      <c r="F152" s="803" t="n"/>
      <c r="G152" s="802" t="n"/>
      <c r="H152" s="803" t="n"/>
      <c r="I152" s="802" t="n"/>
      <c r="J152" s="1337" t="n"/>
      <c r="K152" s="1337" t="n"/>
      <c r="L152" s="1337" t="n"/>
      <c r="M152" s="1337" t="n"/>
      <c r="N152" s="800" t="n"/>
    </row>
    <row r="153">
      <c r="A153" s="796" t="n"/>
      <c r="B153" s="797" t="n"/>
      <c r="C153" s="799" t="n"/>
      <c r="D153" s="799" t="n"/>
      <c r="E153" s="799" t="n"/>
      <c r="F153" s="803" t="n"/>
      <c r="G153" s="802" t="n"/>
      <c r="H153" s="803" t="n"/>
      <c r="I153" s="802" t="n"/>
      <c r="J153" s="1337" t="n"/>
      <c r="K153" s="1337" t="n"/>
      <c r="L153" s="1337" t="n"/>
      <c r="M153" s="1337" t="n"/>
      <c r="N153" s="800" t="n"/>
    </row>
    <row r="154">
      <c r="A154" s="796" t="n"/>
      <c r="B154" s="797" t="n"/>
      <c r="C154" s="799" t="n"/>
      <c r="D154" s="799" t="n"/>
      <c r="E154" s="799" t="n"/>
      <c r="F154" s="803" t="n"/>
      <c r="G154" s="802" t="n"/>
      <c r="H154" s="803" t="n"/>
      <c r="I154" s="802" t="n"/>
      <c r="J154" s="1337" t="n"/>
      <c r="K154" s="1337" t="n"/>
      <c r="L154" s="1337" t="n"/>
      <c r="M154" s="1337" t="n"/>
      <c r="N154" s="800" t="n"/>
    </row>
    <row r="155">
      <c r="A155" s="796" t="n"/>
      <c r="B155" s="797" t="n"/>
      <c r="C155" s="799" t="n"/>
      <c r="D155" s="799" t="n"/>
      <c r="E155" s="799" t="n"/>
      <c r="F155" s="803" t="n"/>
      <c r="G155" s="802" t="n"/>
      <c r="H155" s="803" t="n"/>
      <c r="I155" s="802" t="n"/>
      <c r="J155" s="1337" t="n"/>
      <c r="K155" s="1337" t="n"/>
      <c r="L155" s="1337" t="n"/>
      <c r="M155" s="1337" t="n"/>
      <c r="N155" s="800" t="n"/>
    </row>
    <row r="156">
      <c r="A156" s="796" t="n"/>
      <c r="B156" s="797" t="n"/>
      <c r="C156" s="799" t="n"/>
      <c r="D156" s="799" t="n"/>
      <c r="E156" s="799" t="n"/>
      <c r="F156" s="803" t="n"/>
      <c r="G156" s="802" t="n"/>
      <c r="H156" s="803" t="n"/>
      <c r="I156" s="802" t="n"/>
      <c r="J156" s="1337" t="n"/>
      <c r="K156" s="1337" t="n"/>
      <c r="L156" s="1337" t="n"/>
      <c r="M156" s="1337" t="n"/>
      <c r="N156" s="800" t="n"/>
    </row>
    <row r="157">
      <c r="A157" s="796" t="n"/>
      <c r="B157" s="797" t="n"/>
      <c r="C157" s="799" t="n"/>
      <c r="D157" s="799" t="n"/>
      <c r="E157" s="799" t="n"/>
      <c r="F157" s="803" t="n"/>
      <c r="G157" s="802" t="n"/>
      <c r="H157" s="803" t="n"/>
      <c r="I157" s="802" t="n"/>
      <c r="J157" s="1337" t="n"/>
      <c r="K157" s="1337" t="n"/>
      <c r="L157" s="1337" t="n"/>
      <c r="M157" s="1337" t="n"/>
      <c r="N157" s="800" t="n"/>
    </row>
    <row r="158">
      <c r="A158" s="796" t="n"/>
      <c r="B158" s="797" t="n"/>
      <c r="C158" s="799" t="n"/>
      <c r="D158" s="799" t="n"/>
      <c r="E158" s="799" t="n"/>
      <c r="F158" s="803" t="n"/>
      <c r="G158" s="802" t="n"/>
      <c r="H158" s="803" t="n"/>
      <c r="I158" s="802" t="n"/>
      <c r="J158" s="1337" t="n"/>
      <c r="K158" s="1337" t="n"/>
      <c r="L158" s="1337" t="n"/>
      <c r="M158" s="1337" t="n"/>
      <c r="N158" s="800" t="n"/>
    </row>
    <row r="159">
      <c r="A159" s="796" t="n"/>
      <c r="B159" s="797" t="n"/>
      <c r="C159" s="799" t="n"/>
      <c r="D159" s="799" t="n"/>
      <c r="E159" s="799" t="n"/>
      <c r="F159" s="803" t="n"/>
      <c r="G159" s="802" t="n"/>
      <c r="H159" s="803" t="n"/>
      <c r="I159" s="802" t="n"/>
      <c r="J159" s="1337" t="n"/>
      <c r="K159" s="1337" t="n"/>
      <c r="L159" s="1337" t="n"/>
      <c r="M159" s="1337" t="n"/>
      <c r="N159" s="800" t="n"/>
    </row>
    <row r="160">
      <c r="A160" s="796" t="n"/>
      <c r="B160" s="797" t="n"/>
      <c r="C160" s="799" t="n"/>
      <c r="D160" s="799" t="n"/>
      <c r="E160" s="799" t="n"/>
      <c r="F160" s="803" t="n"/>
      <c r="G160" s="802" t="n"/>
      <c r="H160" s="803" t="n"/>
      <c r="I160" s="802" t="n"/>
      <c r="J160" s="1337" t="n"/>
      <c r="K160" s="1337" t="n"/>
      <c r="L160" s="1337" t="n"/>
      <c r="M160" s="1337" t="n"/>
      <c r="N160" s="800" t="n"/>
    </row>
    <row r="161">
      <c r="A161" s="796" t="n"/>
      <c r="B161" s="797" t="n"/>
      <c r="C161" s="799" t="n"/>
      <c r="D161" s="799" t="n"/>
      <c r="E161" s="799" t="n"/>
      <c r="F161" s="803" t="n"/>
      <c r="G161" s="802" t="n"/>
      <c r="H161" s="803" t="n"/>
      <c r="I161" s="802" t="n"/>
      <c r="J161" s="1337" t="n"/>
      <c r="K161" s="1337" t="n"/>
      <c r="L161" s="1337" t="n"/>
      <c r="M161" s="1337" t="n"/>
      <c r="N161" s="800" t="n"/>
    </row>
    <row r="162">
      <c r="A162" s="796" t="n"/>
      <c r="B162" s="797" t="n"/>
      <c r="C162" s="799" t="n"/>
      <c r="D162" s="799" t="n"/>
      <c r="E162" s="799" t="n"/>
      <c r="F162" s="803" t="n"/>
      <c r="G162" s="802" t="n"/>
      <c r="H162" s="803" t="n"/>
      <c r="I162" s="802" t="n"/>
      <c r="J162" s="1337" t="n"/>
      <c r="K162" s="1337" t="n"/>
      <c r="L162" s="1337" t="n"/>
      <c r="M162" s="1337" t="n"/>
      <c r="N162" s="800" t="n"/>
    </row>
    <row r="163">
      <c r="A163" s="796" t="n"/>
      <c r="B163" s="797" t="n"/>
      <c r="C163" s="799" t="n"/>
      <c r="D163" s="799" t="n"/>
      <c r="E163" s="799" t="n"/>
      <c r="F163" s="803" t="n"/>
      <c r="G163" s="802" t="n"/>
      <c r="H163" s="803" t="n"/>
      <c r="I163" s="802" t="n"/>
      <c r="J163" s="1337" t="n"/>
      <c r="K163" s="1337" t="n"/>
      <c r="L163" s="1337" t="n"/>
      <c r="M163" s="1337" t="n"/>
      <c r="N163" s="800" t="n"/>
    </row>
    <row r="164">
      <c r="A164" s="796" t="n"/>
      <c r="B164" s="797" t="n"/>
      <c r="C164" s="799" t="n"/>
      <c r="D164" s="799" t="n"/>
      <c r="E164" s="799" t="n"/>
      <c r="F164" s="803" t="n"/>
      <c r="G164" s="802" t="n"/>
      <c r="H164" s="803" t="n"/>
      <c r="I164" s="802" t="n"/>
      <c r="J164" s="1337" t="n"/>
      <c r="K164" s="1337" t="n"/>
      <c r="L164" s="1337" t="n"/>
      <c r="M164" s="1337" t="n"/>
      <c r="N164" s="800" t="n"/>
    </row>
    <row r="165">
      <c r="A165" s="796" t="n"/>
      <c r="B165" s="797" t="n"/>
      <c r="C165" s="799" t="n"/>
      <c r="D165" s="799" t="n"/>
      <c r="E165" s="799" t="n"/>
      <c r="F165" s="803" t="n"/>
      <c r="G165" s="802" t="n"/>
      <c r="H165" s="803" t="n"/>
      <c r="I165" s="802" t="n"/>
      <c r="J165" s="1337" t="n"/>
      <c r="K165" s="1337" t="n"/>
      <c r="L165" s="1337" t="n"/>
      <c r="M165" s="1337" t="n"/>
      <c r="N165" s="800" t="n"/>
    </row>
    <row r="166">
      <c r="A166" s="796" t="n"/>
      <c r="B166" s="797" t="n"/>
      <c r="C166" s="799" t="n"/>
      <c r="D166" s="799" t="n"/>
      <c r="E166" s="799" t="n"/>
      <c r="F166" s="803" t="n"/>
      <c r="G166" s="802" t="n"/>
      <c r="H166" s="803" t="n"/>
      <c r="I166" s="802" t="n"/>
      <c r="J166" s="1337" t="n"/>
      <c r="K166" s="1337" t="n"/>
      <c r="L166" s="1337" t="n"/>
      <c r="M166" s="1337" t="n"/>
      <c r="N166" s="1338" t="n"/>
    </row>
    <row r="167">
      <c r="A167" s="796" t="n"/>
      <c r="B167" s="797" t="n"/>
      <c r="C167" s="799" t="n"/>
      <c r="D167" s="799" t="n"/>
      <c r="E167" s="799" t="n"/>
      <c r="F167" s="803" t="n"/>
      <c r="G167" s="802" t="n"/>
      <c r="H167" s="803" t="n"/>
      <c r="I167" s="802" t="n"/>
      <c r="J167" s="1337" t="n"/>
      <c r="K167" s="1337" t="n"/>
      <c r="L167" s="1337" t="n"/>
      <c r="M167" s="1337" t="n"/>
      <c r="N167" s="1338" t="n"/>
    </row>
    <row r="168">
      <c r="A168" s="796" t="n"/>
      <c r="B168" s="797" t="n"/>
      <c r="C168" s="799" t="n"/>
      <c r="D168" s="799" t="n"/>
      <c r="E168" s="799" t="n"/>
      <c r="F168" s="799" t="n"/>
      <c r="G168" s="802" t="n"/>
      <c r="H168" s="803" t="n"/>
      <c r="I168" s="802" t="n"/>
      <c r="J168" s="1337" t="n"/>
      <c r="K168" s="1337" t="n"/>
      <c r="L168" s="1337" t="n"/>
      <c r="M168" s="1337" t="n"/>
      <c r="N168" s="1338" t="n"/>
    </row>
    <row r="169">
      <c r="A169" s="796" t="n"/>
      <c r="B169" s="797" t="n"/>
      <c r="C169" s="799" t="n"/>
      <c r="D169" s="799" t="n"/>
      <c r="E169" s="799" t="n"/>
      <c r="F169" s="799" t="n"/>
      <c r="G169" s="802" t="n"/>
      <c r="H169" s="803" t="n"/>
      <c r="I169" s="802" t="n"/>
      <c r="J169" s="1337" t="n"/>
      <c r="K169" s="1337" t="n"/>
      <c r="L169" s="1337" t="n"/>
      <c r="M169" s="1337" t="n"/>
      <c r="N169" s="1338" t="n"/>
    </row>
    <row r="170">
      <c r="A170" s="796" t="n"/>
      <c r="B170" s="797" t="n"/>
      <c r="C170" s="799" t="n"/>
      <c r="D170" s="799" t="n"/>
      <c r="E170" s="799" t="n"/>
      <c r="F170" s="799" t="n"/>
      <c r="G170" s="802" t="n"/>
      <c r="H170" s="803" t="n"/>
      <c r="I170" s="802" t="n"/>
      <c r="J170" s="1337" t="n"/>
      <c r="K170" s="1337" t="n"/>
      <c r="L170" s="1337" t="n"/>
      <c r="M170" s="1337" t="n"/>
      <c r="N170" s="1338" t="n"/>
    </row>
    <row r="171">
      <c r="A171" s="796" t="n"/>
      <c r="B171" s="797" t="n"/>
      <c r="C171" s="799" t="n"/>
      <c r="D171" s="799" t="n"/>
      <c r="E171" s="799" t="n"/>
      <c r="F171" s="799" t="n"/>
      <c r="G171" s="802" t="n"/>
      <c r="H171" s="803" t="n"/>
      <c r="I171" s="802" t="n"/>
      <c r="J171" s="1337" t="n"/>
      <c r="K171" s="1337" t="n"/>
      <c r="L171" s="1337" t="n"/>
      <c r="M171" s="1337" t="n"/>
      <c r="N171" s="1338" t="n"/>
    </row>
    <row r="172">
      <c r="A172" s="796" t="n"/>
      <c r="B172" s="797" t="n"/>
      <c r="C172" s="799" t="n"/>
      <c r="D172" s="799" t="n"/>
      <c r="E172" s="799" t="n"/>
      <c r="F172" s="799" t="n"/>
      <c r="G172" s="802" t="n"/>
      <c r="H172" s="810" t="n"/>
      <c r="I172" s="802" t="n"/>
      <c r="J172" s="1337" t="n"/>
      <c r="K172" s="1337" t="n"/>
      <c r="L172" s="1337" t="n"/>
      <c r="M172" s="1337" t="n"/>
      <c r="N172" s="1338" t="n"/>
    </row>
    <row r="173">
      <c r="A173" s="796" t="n"/>
      <c r="B173" s="797" t="n"/>
      <c r="C173" s="799" t="n"/>
      <c r="D173" s="799" t="n"/>
      <c r="E173" s="799" t="n"/>
      <c r="F173" s="803" t="n"/>
      <c r="G173" s="802" t="n"/>
      <c r="H173" s="810" t="n"/>
      <c r="I173" s="802" t="n"/>
      <c r="J173" s="1337" t="n"/>
      <c r="K173" s="1337" t="n"/>
      <c r="L173" s="1337" t="n"/>
      <c r="M173" s="1337" t="n"/>
      <c r="N173" s="1338" t="n"/>
    </row>
    <row r="174">
      <c r="A174" s="796" t="n"/>
      <c r="B174" s="797" t="n"/>
      <c r="C174" s="799" t="n"/>
      <c r="D174" s="799" t="n"/>
      <c r="E174" s="799" t="n"/>
      <c r="F174" s="799" t="n"/>
      <c r="G174" s="802" t="n"/>
      <c r="H174" s="803" t="n"/>
      <c r="I174" s="802" t="n"/>
      <c r="J174" s="1337" t="n"/>
      <c r="K174" s="1337" t="n"/>
      <c r="L174" s="1337" t="n"/>
      <c r="M174" s="1337" t="n"/>
      <c r="N174" s="1338" t="n"/>
    </row>
    <row r="175">
      <c r="A175" s="796" t="n"/>
      <c r="B175" s="797" t="n"/>
      <c r="C175" s="799" t="n"/>
      <c r="D175" s="799" t="n"/>
      <c r="E175" s="799" t="n"/>
      <c r="F175" s="799" t="n"/>
      <c r="G175" s="802" t="n"/>
      <c r="H175" s="803" t="n"/>
      <c r="I175" s="802" t="n"/>
      <c r="J175" s="1337" t="n"/>
      <c r="K175" s="1337" t="n"/>
      <c r="L175" s="1337" t="n"/>
      <c r="M175" s="1337" t="n"/>
      <c r="N175" s="1338" t="n"/>
    </row>
    <row r="176">
      <c r="A176" s="796" t="n"/>
      <c r="B176" s="797" t="n"/>
      <c r="C176" s="799" t="n"/>
      <c r="D176" s="799" t="n"/>
      <c r="E176" s="799" t="n"/>
      <c r="F176" s="799" t="n"/>
      <c r="G176" s="802" t="n"/>
      <c r="H176" s="803" t="n"/>
      <c r="I176" s="802" t="n"/>
      <c r="J176" s="1337" t="n"/>
      <c r="K176" s="1337" t="n"/>
      <c r="L176" s="1337" t="n"/>
      <c r="M176" s="1337" t="n"/>
      <c r="N176" s="1338" t="n"/>
    </row>
    <row r="177">
      <c r="A177" s="796" t="n"/>
      <c r="B177" s="797" t="n"/>
      <c r="C177" s="799" t="n"/>
      <c r="D177" s="799" t="n"/>
      <c r="E177" s="799" t="n"/>
      <c r="F177" s="799" t="n"/>
      <c r="G177" s="802" t="n"/>
      <c r="H177" s="803" t="n"/>
      <c r="I177" s="802" t="n"/>
      <c r="J177" s="1337" t="n"/>
      <c r="K177" s="1337" t="n"/>
      <c r="L177" s="1337" t="n"/>
      <c r="M177" s="1337" t="n"/>
      <c r="N177" s="1338" t="n"/>
    </row>
    <row r="178">
      <c r="A178" s="796" t="n"/>
      <c r="B178" s="797" t="n"/>
      <c r="C178" s="799" t="n"/>
      <c r="D178" s="799" t="n"/>
      <c r="E178" s="799" t="n"/>
      <c r="F178" s="803" t="n"/>
      <c r="G178" s="802" t="n"/>
      <c r="H178" s="803" t="n"/>
      <c r="I178" s="802" t="n"/>
      <c r="J178" s="1337" t="n"/>
      <c r="K178" s="1337" t="n"/>
      <c r="L178" s="1337" t="n"/>
      <c r="M178" s="1337" t="n"/>
      <c r="N178" s="1338" t="n"/>
    </row>
    <row r="179">
      <c r="A179" s="796" t="n"/>
      <c r="B179" s="797" t="n"/>
      <c r="C179" s="799" t="n"/>
      <c r="D179" s="799" t="n"/>
      <c r="E179" s="799" t="n"/>
      <c r="F179" s="803" t="n"/>
      <c r="G179" s="802" t="n"/>
      <c r="H179" s="803" t="n"/>
      <c r="I179" s="802" t="n"/>
      <c r="J179" s="1337" t="n"/>
      <c r="K179" s="1337" t="n"/>
      <c r="L179" s="1337" t="n"/>
      <c r="M179" s="1337" t="n"/>
      <c r="N179" s="1338" t="n"/>
    </row>
    <row r="180">
      <c r="A180" s="796" t="n"/>
      <c r="B180" s="797" t="n"/>
      <c r="C180" s="799" t="n"/>
      <c r="D180" s="799" t="n"/>
      <c r="E180" s="799" t="n"/>
      <c r="F180" s="799" t="n"/>
      <c r="G180" s="802" t="n"/>
      <c r="H180" s="803" t="n"/>
      <c r="I180" s="802" t="n"/>
      <c r="J180" s="1337" t="n"/>
      <c r="K180" s="1337" t="n"/>
      <c r="L180" s="1337" t="n"/>
      <c r="M180" s="1337" t="n"/>
      <c r="N180" s="1338" t="n"/>
    </row>
    <row r="181">
      <c r="A181" s="796" t="n"/>
      <c r="B181" s="797" t="n"/>
      <c r="C181" s="799" t="n"/>
      <c r="D181" s="799" t="n"/>
      <c r="E181" s="799" t="n"/>
      <c r="F181" s="799" t="n"/>
      <c r="G181" s="802" t="n"/>
      <c r="H181" s="803" t="n"/>
      <c r="I181" s="802" t="n"/>
      <c r="J181" s="1337" t="n"/>
      <c r="K181" s="1337" t="n"/>
      <c r="L181" s="1337" t="n"/>
      <c r="M181" s="1337" t="n"/>
      <c r="N181" s="1338" t="n"/>
    </row>
    <row r="182">
      <c r="A182" s="796" t="n"/>
      <c r="B182" s="797" t="n"/>
      <c r="C182" s="799" t="n"/>
      <c r="D182" s="799" t="n"/>
      <c r="E182" s="799" t="n"/>
      <c r="F182" s="799" t="n"/>
      <c r="G182" s="802" t="n"/>
      <c r="H182" s="803" t="n"/>
      <c r="I182" s="802" t="n"/>
      <c r="J182" s="1337" t="n"/>
      <c r="K182" s="1337" t="n"/>
      <c r="L182" s="1337" t="n"/>
      <c r="M182" s="1337" t="n"/>
      <c r="N182" s="1338" t="n"/>
    </row>
    <row r="183">
      <c r="A183" s="796" t="n"/>
      <c r="B183" s="797" t="n"/>
      <c r="C183" s="799" t="n"/>
      <c r="D183" s="799" t="n"/>
      <c r="E183" s="799" t="n"/>
      <c r="F183" s="799" t="n"/>
      <c r="G183" s="802" t="n"/>
      <c r="H183" s="803" t="n"/>
      <c r="I183" s="802" t="n"/>
      <c r="J183" s="1337" t="n"/>
      <c r="K183" s="1337" t="n"/>
      <c r="L183" s="1337" t="n"/>
      <c r="M183" s="1337" t="n"/>
      <c r="N183" s="1338" t="n"/>
    </row>
    <row r="184">
      <c r="A184" s="796" t="n"/>
      <c r="B184" s="797" t="n"/>
      <c r="C184" s="799" t="n"/>
      <c r="D184" s="799" t="n"/>
      <c r="E184" s="799" t="n"/>
      <c r="F184" s="799" t="n"/>
      <c r="G184" s="802" t="n"/>
      <c r="H184" s="803" t="n"/>
      <c r="I184" s="802" t="n"/>
      <c r="J184" s="1337" t="n"/>
      <c r="K184" s="1337" t="n"/>
      <c r="L184" s="1337" t="n"/>
      <c r="M184" s="1337" t="n"/>
      <c r="N184" s="1338" t="n"/>
    </row>
    <row r="185">
      <c r="A185" s="796" t="n"/>
      <c r="B185" s="797" t="n"/>
      <c r="C185" s="799" t="n"/>
      <c r="D185" s="799" t="n"/>
      <c r="E185" s="799" t="n"/>
      <c r="F185" s="799" t="n"/>
      <c r="G185" s="802" t="n"/>
      <c r="H185" s="803" t="n"/>
      <c r="I185" s="802" t="n"/>
      <c r="J185" s="1337" t="n"/>
      <c r="K185" s="1337" t="n"/>
      <c r="L185" s="1337" t="n"/>
      <c r="M185" s="1337" t="n"/>
      <c r="N185" s="1338" t="n"/>
    </row>
    <row r="186">
      <c r="A186" s="796" t="n"/>
      <c r="B186" s="797" t="n"/>
      <c r="C186" s="799" t="n"/>
      <c r="D186" s="799" t="n"/>
      <c r="E186" s="799" t="n"/>
      <c r="F186" s="803" t="n"/>
      <c r="G186" s="802" t="n"/>
      <c r="H186" s="803" t="n"/>
      <c r="I186" s="802" t="n"/>
      <c r="J186" s="1337" t="n"/>
      <c r="K186" s="1337" t="n"/>
      <c r="L186" s="1337" t="n"/>
      <c r="M186" s="1337" t="n"/>
      <c r="N186" s="1338" t="n"/>
    </row>
    <row r="187">
      <c r="A187" s="796" t="n"/>
      <c r="B187" s="797" t="n"/>
      <c r="C187" s="799" t="n"/>
      <c r="D187" s="799" t="n"/>
      <c r="E187" s="799" t="n"/>
      <c r="F187" s="803" t="n"/>
      <c r="G187" s="802" t="n"/>
      <c r="H187" s="803" t="n"/>
      <c r="I187" s="802" t="n"/>
      <c r="J187" s="1337" t="n"/>
      <c r="K187" s="1337" t="n"/>
      <c r="L187" s="1337" t="n"/>
      <c r="M187" s="1337" t="n"/>
      <c r="N187" s="1338" t="n"/>
    </row>
    <row r="188">
      <c r="A188" s="796" t="n"/>
      <c r="B188" s="797" t="n"/>
      <c r="C188" s="799" t="n"/>
      <c r="D188" s="799" t="n"/>
      <c r="E188" s="799" t="n"/>
      <c r="F188" s="803" t="n"/>
      <c r="G188" s="802" t="n"/>
      <c r="H188" s="803" t="n"/>
      <c r="I188" s="802" t="n"/>
      <c r="J188" s="1337" t="n"/>
      <c r="K188" s="1337" t="n"/>
      <c r="L188" s="1337" t="n"/>
      <c r="M188" s="1337" t="n"/>
      <c r="N188" s="1338" t="n"/>
    </row>
    <row r="189">
      <c r="A189" s="796" t="n"/>
      <c r="B189" s="797" t="n"/>
      <c r="C189" s="799" t="n"/>
      <c r="D189" s="799" t="n"/>
      <c r="E189" s="799" t="n"/>
      <c r="F189" s="799" t="n"/>
      <c r="G189" s="802" t="n"/>
      <c r="H189" s="803" t="n"/>
      <c r="I189" s="802" t="n"/>
      <c r="J189" s="1337" t="n"/>
      <c r="K189" s="1337" t="n"/>
      <c r="L189" s="1337" t="n"/>
      <c r="M189" s="1337" t="n"/>
      <c r="N189" s="1338" t="n"/>
    </row>
    <row r="190">
      <c r="A190" s="796" t="n"/>
      <c r="B190" s="797" t="n"/>
      <c r="C190" s="799" t="n"/>
      <c r="D190" s="799" t="n"/>
      <c r="E190" s="799" t="n"/>
      <c r="F190" s="799" t="n"/>
      <c r="G190" s="802" t="n"/>
      <c r="H190" s="803" t="n"/>
      <c r="I190" s="802" t="n"/>
      <c r="J190" s="1337" t="n"/>
      <c r="K190" s="1337" t="n"/>
      <c r="L190" s="1337" t="n"/>
      <c r="M190" s="1337" t="n"/>
      <c r="N190" s="1338" t="n"/>
    </row>
    <row r="191">
      <c r="A191" s="796" t="n"/>
      <c r="B191" s="797" t="n"/>
      <c r="C191" s="799" t="n"/>
      <c r="D191" s="799" t="n"/>
      <c r="E191" s="799" t="n"/>
      <c r="F191" s="803" t="n"/>
      <c r="G191" s="802" t="n"/>
      <c r="H191" s="803" t="n"/>
      <c r="I191" s="802" t="n"/>
      <c r="J191" s="1337" t="n"/>
      <c r="K191" s="1337" t="n"/>
      <c r="L191" s="1337" t="n"/>
      <c r="M191" s="1337" t="n"/>
      <c r="N191" s="1338" t="n"/>
    </row>
    <row r="192">
      <c r="A192" s="796" t="n"/>
      <c r="B192" s="797" t="n"/>
      <c r="C192" s="799" t="n"/>
      <c r="D192" s="799" t="n"/>
      <c r="E192" s="799" t="n"/>
      <c r="F192" s="803" t="n"/>
      <c r="G192" s="802" t="n"/>
      <c r="H192" s="803" t="n"/>
      <c r="I192" s="802" t="n"/>
      <c r="J192" s="1337" t="n"/>
      <c r="K192" s="1337" t="n"/>
      <c r="L192" s="1337" t="n"/>
      <c r="M192" s="1337" t="n"/>
      <c r="N192" s="1338" t="n"/>
    </row>
    <row r="193">
      <c r="A193" s="796" t="n"/>
      <c r="B193" s="797" t="n"/>
      <c r="C193" s="799" t="n"/>
      <c r="D193" s="799" t="n"/>
      <c r="E193" s="799" t="n"/>
      <c r="F193" s="803" t="n"/>
      <c r="G193" s="802" t="n"/>
      <c r="H193" s="803" t="n"/>
      <c r="I193" s="802" t="n"/>
      <c r="J193" s="1337" t="n"/>
      <c r="K193" s="1337" t="n"/>
      <c r="L193" s="1337" t="n"/>
      <c r="M193" s="1337" t="n"/>
      <c r="N193" s="1338" t="n"/>
    </row>
    <row r="194">
      <c r="A194" s="796" t="n"/>
      <c r="B194" s="797" t="n"/>
      <c r="C194" s="799" t="n"/>
      <c r="D194" s="799" t="n"/>
      <c r="E194" s="799" t="n"/>
      <c r="F194" s="803" t="n"/>
      <c r="G194" s="802" t="n"/>
      <c r="H194" s="803" t="n"/>
      <c r="I194" s="802" t="n"/>
      <c r="J194" s="1337" t="n"/>
      <c r="K194" s="1337" t="n"/>
      <c r="L194" s="1337" t="n"/>
      <c r="M194" s="1337" t="n"/>
      <c r="N194" s="1338" t="n"/>
    </row>
    <row r="195">
      <c r="A195" s="796" t="n"/>
      <c r="B195" s="797" t="n"/>
      <c r="C195" s="799" t="n"/>
      <c r="D195" s="799" t="n"/>
      <c r="E195" s="799" t="n"/>
      <c r="F195" s="803" t="n"/>
      <c r="G195" s="802" t="n"/>
      <c r="H195" s="803" t="n"/>
      <c r="I195" s="802" t="n"/>
      <c r="J195" s="1337" t="n"/>
      <c r="K195" s="1337" t="n"/>
      <c r="L195" s="1337" t="n"/>
      <c r="M195" s="1337" t="n"/>
      <c r="N195" s="1338" t="n"/>
    </row>
    <row r="196">
      <c r="A196" s="796" t="n"/>
      <c r="B196" s="797" t="n"/>
      <c r="C196" s="799" t="n"/>
      <c r="D196" s="799" t="n"/>
      <c r="E196" s="799" t="n"/>
      <c r="F196" s="803" t="n"/>
      <c r="G196" s="802" t="n"/>
      <c r="H196" s="803" t="n"/>
      <c r="I196" s="802" t="n"/>
      <c r="J196" s="1337" t="n"/>
      <c r="K196" s="1337" t="n"/>
      <c r="L196" s="1337" t="n"/>
      <c r="M196" s="1337" t="n"/>
      <c r="N196" s="1338" t="n"/>
    </row>
    <row r="197">
      <c r="A197" s="796" t="n"/>
      <c r="B197" s="797" t="n"/>
      <c r="C197" s="799" t="n"/>
      <c r="D197" s="799" t="n"/>
      <c r="E197" s="799" t="n"/>
      <c r="F197" s="803" t="n"/>
      <c r="G197" s="802" t="n"/>
      <c r="H197" s="803" t="n"/>
      <c r="I197" s="802" t="n"/>
      <c r="J197" s="1337" t="n"/>
      <c r="K197" s="1337" t="n"/>
      <c r="L197" s="1337" t="n"/>
      <c r="M197" s="1337" t="n"/>
      <c r="N197" s="1338" t="n"/>
    </row>
    <row r="198">
      <c r="A198" s="796" t="n"/>
      <c r="B198" s="797" t="n"/>
      <c r="C198" s="802" t="n"/>
      <c r="D198" s="799" t="n"/>
      <c r="E198" s="799" t="n"/>
      <c r="F198" s="799" t="n"/>
      <c r="G198" s="802" t="n"/>
      <c r="H198" s="803" t="n"/>
      <c r="I198" s="802" t="n"/>
      <c r="J198" s="1337" t="n"/>
      <c r="K198" s="1337" t="n"/>
      <c r="L198" s="1337" t="n"/>
      <c r="M198" s="1337" t="n"/>
      <c r="N198" s="1338" t="n"/>
    </row>
    <row r="199">
      <c r="A199" s="796" t="n"/>
      <c r="B199" s="797" t="n"/>
      <c r="C199" s="799" t="n"/>
      <c r="D199" s="799" t="n"/>
      <c r="E199" s="799" t="n"/>
      <c r="F199" s="799" t="n"/>
      <c r="G199" s="802" t="n"/>
      <c r="H199" s="803" t="n"/>
      <c r="I199" s="802" t="n"/>
      <c r="J199" s="1337" t="n"/>
      <c r="K199" s="1337" t="n"/>
      <c r="L199" s="1337" t="n"/>
      <c r="M199" s="1337" t="n"/>
      <c r="N199" s="1338" t="n"/>
    </row>
    <row r="200">
      <c r="A200" s="796" t="n"/>
      <c r="B200" s="797" t="n"/>
      <c r="C200" s="799" t="n"/>
      <c r="D200" s="799" t="n"/>
      <c r="E200" s="799" t="n"/>
      <c r="F200" s="799" t="n"/>
      <c r="G200" s="802" t="n"/>
      <c r="H200" s="803" t="n"/>
      <c r="I200" s="802" t="n"/>
      <c r="J200" s="1337" t="n"/>
      <c r="K200" s="1337" t="n"/>
      <c r="L200" s="1337" t="n"/>
      <c r="M200" s="1337" t="n"/>
      <c r="N200" s="1338" t="n"/>
    </row>
    <row r="201">
      <c r="A201" s="796" t="n"/>
      <c r="B201" s="797" t="n"/>
      <c r="C201" s="799" t="n"/>
      <c r="D201" s="799" t="n"/>
      <c r="E201" s="799" t="n"/>
      <c r="F201" s="799" t="n"/>
      <c r="G201" s="802" t="n"/>
      <c r="H201" s="803" t="n"/>
      <c r="I201" s="802" t="n"/>
      <c r="J201" s="1337" t="n"/>
      <c r="K201" s="1337" t="n"/>
      <c r="L201" s="1337" t="n"/>
      <c r="M201" s="1337" t="n"/>
      <c r="N201" s="1338" t="n"/>
    </row>
    <row r="202">
      <c r="A202" s="796" t="n"/>
      <c r="B202" s="1344" t="n"/>
      <c r="C202" s="802" t="n"/>
      <c r="D202" s="803" t="n"/>
      <c r="E202" s="803" t="n"/>
      <c r="F202" s="803" t="n"/>
      <c r="G202" s="798" t="n"/>
      <c r="H202" s="832" t="n"/>
      <c r="I202" s="813" t="n"/>
      <c r="J202" s="1337" t="n"/>
      <c r="K202" s="1337" t="n"/>
      <c r="L202" s="1337" t="n"/>
      <c r="M202" s="1337" t="n"/>
      <c r="N202" s="1338" t="n"/>
    </row>
    <row r="203">
      <c r="A203" s="796" t="n"/>
      <c r="B203" s="797" t="n"/>
      <c r="C203" s="799" t="n"/>
      <c r="D203" s="799" t="n"/>
      <c r="E203" s="799" t="n"/>
      <c r="F203" s="799" t="n"/>
      <c r="G203" s="802" t="n"/>
      <c r="H203" s="803" t="n"/>
      <c r="I203" s="802" t="n"/>
      <c r="J203" s="1337" t="n"/>
      <c r="K203" s="1337" t="n"/>
      <c r="L203" s="1337" t="n"/>
      <c r="M203" s="1337" t="n"/>
      <c r="N203" s="1338" t="n"/>
    </row>
    <row r="204">
      <c r="A204" s="796" t="n"/>
      <c r="B204" s="797" t="n"/>
      <c r="C204" s="799" t="n"/>
      <c r="D204" s="799" t="n"/>
      <c r="E204" s="799" t="n"/>
      <c r="F204" s="799" t="n"/>
      <c r="G204" s="802" t="n"/>
      <c r="H204" s="803" t="n"/>
      <c r="I204" s="802" t="n"/>
      <c r="J204" s="1337" t="n"/>
      <c r="K204" s="1337" t="n"/>
      <c r="L204" s="1337" t="n"/>
      <c r="M204" s="1337" t="n"/>
      <c r="N204" s="1338" t="n"/>
    </row>
    <row r="205">
      <c r="A205" s="796" t="n"/>
      <c r="B205" s="797" t="n"/>
      <c r="C205" s="799" t="n"/>
      <c r="D205" s="799" t="n"/>
      <c r="E205" s="799" t="n"/>
      <c r="F205" s="799" t="n"/>
      <c r="G205" s="802" t="n"/>
      <c r="H205" s="803" t="n"/>
      <c r="I205" s="802" t="n"/>
      <c r="J205" s="1337" t="n"/>
      <c r="K205" s="1337" t="n"/>
      <c r="L205" s="1337" t="n"/>
      <c r="M205" s="1337" t="n"/>
      <c r="N205" s="1338" t="n"/>
    </row>
    <row r="206">
      <c r="A206" s="796" t="n"/>
      <c r="B206" s="797" t="n"/>
      <c r="C206" s="799" t="n"/>
      <c r="D206" s="799" t="n"/>
      <c r="E206" s="799" t="n"/>
      <c r="F206" s="799" t="n"/>
      <c r="G206" s="802" t="n"/>
      <c r="H206" s="803" t="n"/>
      <c r="I206" s="802" t="n"/>
      <c r="J206" s="1337" t="n"/>
      <c r="K206" s="1337" t="n"/>
      <c r="L206" s="1337" t="n"/>
      <c r="M206" s="1337" t="n"/>
      <c r="N206" s="1338" t="n"/>
    </row>
    <row r="207">
      <c r="A207" s="796" t="n"/>
      <c r="B207" s="797" t="n"/>
      <c r="C207" s="799" t="n"/>
      <c r="D207" s="799" t="n"/>
      <c r="E207" s="799" t="n"/>
      <c r="F207" s="799" t="n"/>
      <c r="G207" s="802" t="n"/>
      <c r="H207" s="803" t="n"/>
      <c r="I207" s="802" t="n"/>
      <c r="J207" s="1337" t="n"/>
      <c r="K207" s="1337" t="n"/>
      <c r="L207" s="1337" t="n"/>
      <c r="M207" s="1337" t="n"/>
      <c r="N207" s="1338" t="n"/>
    </row>
    <row r="208">
      <c r="A208" s="796" t="n"/>
      <c r="B208" s="797" t="n"/>
      <c r="C208" s="799" t="n"/>
      <c r="D208" s="799" t="n"/>
      <c r="E208" s="799" t="n"/>
      <c r="F208" s="799" t="n"/>
      <c r="G208" s="802" t="n"/>
      <c r="H208" s="803" t="n"/>
      <c r="I208" s="802" t="n"/>
      <c r="J208" s="1337" t="n"/>
      <c r="K208" s="1337" t="n"/>
      <c r="L208" s="1337" t="n"/>
      <c r="M208" s="1337" t="n"/>
      <c r="N208" s="1338" t="n"/>
    </row>
    <row r="209">
      <c r="A209" s="796" t="n"/>
      <c r="B209" s="797" t="n"/>
      <c r="C209" s="799" t="n"/>
      <c r="D209" s="799" t="n"/>
      <c r="E209" s="799" t="n"/>
      <c r="F209" s="799" t="n"/>
      <c r="G209" s="802" t="n"/>
      <c r="H209" s="803" t="n"/>
      <c r="I209" s="802" t="n"/>
      <c r="J209" s="1337" t="n"/>
      <c r="K209" s="1337" t="n"/>
      <c r="L209" s="1337" t="n"/>
      <c r="M209" s="1337" t="n"/>
      <c r="N209" s="1338" t="n"/>
    </row>
    <row r="210">
      <c r="A210" s="796" t="n"/>
      <c r="B210" s="797" t="n"/>
      <c r="C210" s="799" t="n"/>
      <c r="D210" s="799" t="n"/>
      <c r="E210" s="799" t="n"/>
      <c r="F210" s="799" t="n"/>
      <c r="G210" s="802" t="n"/>
      <c r="H210" s="803" t="n"/>
      <c r="I210" s="802" t="n"/>
      <c r="J210" s="1337" t="n"/>
      <c r="K210" s="1337" t="n"/>
      <c r="L210" s="1337" t="n"/>
      <c r="M210" s="1337" t="n"/>
      <c r="N210" s="1338" t="n"/>
    </row>
    <row r="211">
      <c r="A211" s="796" t="n"/>
      <c r="B211" s="797" t="n"/>
      <c r="C211" s="799" t="n"/>
      <c r="D211" s="799" t="n"/>
      <c r="E211" s="799" t="n"/>
      <c r="F211" s="803" t="n"/>
      <c r="G211" s="802" t="n"/>
      <c r="H211" s="803" t="n"/>
      <c r="I211" s="802" t="n"/>
      <c r="J211" s="1337" t="n"/>
      <c r="K211" s="1337" t="n"/>
      <c r="L211" s="1337" t="n"/>
      <c r="M211" s="1337" t="n"/>
      <c r="N211" s="1338" t="n"/>
    </row>
    <row r="212">
      <c r="A212" s="796" t="n"/>
      <c r="B212" s="797" t="n"/>
      <c r="C212" s="799" t="n"/>
      <c r="D212" s="799" t="n"/>
      <c r="E212" s="799" t="n"/>
      <c r="F212" s="803" t="n"/>
      <c r="G212" s="802" t="n"/>
      <c r="H212" s="803" t="n"/>
      <c r="I212" s="802" t="n"/>
      <c r="J212" s="1337" t="n"/>
      <c r="K212" s="1337" t="n"/>
      <c r="L212" s="1337" t="n"/>
      <c r="M212" s="1337" t="n"/>
      <c r="N212" s="1338" t="n"/>
    </row>
    <row r="213">
      <c r="A213" s="796" t="n"/>
      <c r="B213" s="797" t="n"/>
      <c r="C213" s="799" t="n"/>
      <c r="D213" s="799" t="n"/>
      <c r="E213" s="799" t="n"/>
      <c r="F213" s="803" t="n"/>
      <c r="G213" s="802" t="n"/>
      <c r="H213" s="803" t="n"/>
      <c r="I213" s="802" t="n"/>
      <c r="J213" s="1337" t="n"/>
      <c r="K213" s="1337" t="n"/>
      <c r="L213" s="1337" t="n"/>
      <c r="M213" s="1337" t="n"/>
      <c r="N213" s="1338" t="n"/>
    </row>
    <row r="214">
      <c r="A214" s="796" t="n"/>
      <c r="B214" s="797" t="n"/>
      <c r="C214" s="799" t="n"/>
      <c r="D214" s="799" t="n"/>
      <c r="E214" s="799" t="n"/>
      <c r="F214" s="803" t="n"/>
      <c r="G214" s="802" t="n"/>
      <c r="H214" s="803" t="n"/>
      <c r="I214" s="802" t="n"/>
      <c r="J214" s="1337" t="n"/>
      <c r="K214" s="1337" t="n"/>
      <c r="L214" s="1337" t="n"/>
      <c r="M214" s="1337" t="n"/>
      <c r="N214" s="1338" t="n"/>
    </row>
    <row r="215">
      <c r="A215" s="796" t="n"/>
      <c r="B215" s="797" t="n"/>
      <c r="C215" s="799" t="n"/>
      <c r="D215" s="799" t="n"/>
      <c r="E215" s="799" t="n"/>
      <c r="F215" s="803" t="n"/>
      <c r="G215" s="802" t="n"/>
      <c r="H215" s="803" t="n"/>
      <c r="I215" s="802" t="n"/>
      <c r="J215" s="1337" t="n"/>
      <c r="K215" s="1337" t="n"/>
      <c r="L215" s="1337" t="n"/>
      <c r="M215" s="1337" t="n"/>
      <c r="N215" s="1338" t="n"/>
    </row>
    <row r="216">
      <c r="A216" s="796" t="n"/>
      <c r="B216" s="797" t="n"/>
      <c r="C216" s="799" t="n"/>
      <c r="D216" s="799" t="n"/>
      <c r="E216" s="799" t="n"/>
      <c r="F216" s="803" t="n"/>
      <c r="G216" s="802" t="n"/>
      <c r="H216" s="803" t="n"/>
      <c r="I216" s="802" t="n"/>
      <c r="J216" s="1337" t="n"/>
      <c r="K216" s="1337" t="n"/>
      <c r="L216" s="1337" t="n"/>
      <c r="M216" s="1337" t="n"/>
      <c r="N216" s="1338" t="n"/>
    </row>
    <row r="217">
      <c r="A217" s="796" t="n"/>
      <c r="B217" s="797" t="n"/>
      <c r="C217" s="799" t="n"/>
      <c r="D217" s="799" t="n"/>
      <c r="E217" s="799" t="n"/>
      <c r="F217" s="803" t="n"/>
      <c r="G217" s="802" t="n"/>
      <c r="H217" s="803" t="n"/>
      <c r="I217" s="802" t="n"/>
      <c r="J217" s="1337" t="n"/>
      <c r="K217" s="1337" t="n"/>
      <c r="L217" s="1337" t="n"/>
      <c r="M217" s="1337" t="n"/>
      <c r="N217" s="1338" t="n"/>
    </row>
    <row r="218">
      <c r="A218" s="796" t="n"/>
      <c r="B218" s="797" t="n"/>
      <c r="C218" s="799" t="n"/>
      <c r="D218" s="799" t="n"/>
      <c r="E218" s="799" t="n"/>
      <c r="F218" s="803" t="n"/>
      <c r="G218" s="802" t="n"/>
      <c r="H218" s="803" t="n"/>
      <c r="I218" s="802" t="n"/>
      <c r="J218" s="1337" t="n"/>
      <c r="K218" s="1337" t="n"/>
      <c r="L218" s="1337" t="n"/>
      <c r="M218" s="1337" t="n"/>
      <c r="N218" s="1338" t="n"/>
    </row>
    <row r="219">
      <c r="A219" s="796" t="n"/>
      <c r="B219" s="797" t="n"/>
      <c r="C219" s="799" t="n"/>
      <c r="D219" s="799" t="n"/>
      <c r="E219" s="799" t="n"/>
      <c r="F219" s="803" t="n"/>
      <c r="G219" s="802" t="n"/>
      <c r="H219" s="803" t="n"/>
      <c r="I219" s="802" t="n"/>
      <c r="J219" s="1337" t="n"/>
      <c r="K219" s="1337" t="n"/>
      <c r="L219" s="1337" t="n"/>
      <c r="M219" s="1337" t="n"/>
      <c r="N219" s="1338" t="n"/>
    </row>
    <row r="220">
      <c r="A220" s="796" t="n"/>
      <c r="B220" s="797" t="n"/>
      <c r="C220" s="799" t="n"/>
      <c r="D220" s="799" t="n"/>
      <c r="E220" s="799" t="n"/>
      <c r="F220" s="803" t="n"/>
      <c r="G220" s="802" t="n"/>
      <c r="H220" s="803" t="n"/>
      <c r="I220" s="802" t="n"/>
      <c r="J220" s="1337" t="n"/>
      <c r="K220" s="1337" t="n"/>
      <c r="L220" s="1337" t="n"/>
      <c r="M220" s="1337" t="n"/>
      <c r="N220" s="1338" t="n"/>
    </row>
    <row r="221">
      <c r="A221" s="796" t="n"/>
      <c r="B221" s="797" t="n"/>
      <c r="C221" s="799" t="n"/>
      <c r="D221" s="799" t="n"/>
      <c r="E221" s="799" t="n"/>
      <c r="F221" s="803" t="n"/>
      <c r="G221" s="802" t="n"/>
      <c r="H221" s="803" t="n"/>
      <c r="I221" s="802" t="n"/>
      <c r="J221" s="1337" t="n"/>
      <c r="K221" s="1337" t="n"/>
      <c r="L221" s="1337" t="n"/>
      <c r="M221" s="1337" t="n"/>
      <c r="N221" s="1338" t="n"/>
    </row>
    <row r="222">
      <c r="A222" s="796" t="n"/>
      <c r="B222" s="797" t="n"/>
      <c r="C222" s="799" t="n"/>
      <c r="D222" s="799" t="n"/>
      <c r="E222" s="799" t="n"/>
      <c r="F222" s="803" t="n"/>
      <c r="G222" s="802" t="n"/>
      <c r="H222" s="803" t="n"/>
      <c r="I222" s="802" t="n"/>
      <c r="J222" s="1337" t="n"/>
      <c r="K222" s="1337" t="n"/>
      <c r="L222" s="1337" t="n"/>
      <c r="M222" s="1337" t="n"/>
      <c r="N222" s="1338" t="n"/>
    </row>
    <row r="223">
      <c r="A223" s="796" t="n"/>
      <c r="B223" s="797" t="n"/>
      <c r="C223" s="799" t="n"/>
      <c r="D223" s="799" t="n"/>
      <c r="E223" s="799" t="n"/>
      <c r="F223" s="803" t="n"/>
      <c r="G223" s="802" t="n"/>
      <c r="H223" s="803" t="n"/>
      <c r="I223" s="802" t="n"/>
      <c r="J223" s="1337" t="n"/>
      <c r="K223" s="1337" t="n"/>
      <c r="L223" s="1337" t="n"/>
      <c r="M223" s="1337" t="n"/>
      <c r="N223" s="1338" t="n"/>
    </row>
    <row r="224">
      <c r="A224" s="796" t="n"/>
      <c r="B224" s="797" t="n"/>
      <c r="C224" s="799" t="n"/>
      <c r="D224" s="799" t="n"/>
      <c r="E224" s="799" t="n"/>
      <c r="F224" s="803" t="n"/>
      <c r="G224" s="802" t="n"/>
      <c r="H224" s="803" t="n"/>
      <c r="I224" s="802" t="n"/>
      <c r="J224" s="1337" t="n"/>
      <c r="K224" s="1337" t="n"/>
      <c r="L224" s="1337" t="n"/>
      <c r="M224" s="1337" t="n"/>
      <c r="N224" s="1338" t="n"/>
    </row>
    <row r="225">
      <c r="A225" s="796" t="n"/>
      <c r="B225" s="797" t="n"/>
      <c r="C225" s="799" t="n"/>
      <c r="D225" s="799" t="n"/>
      <c r="E225" s="799" t="n"/>
      <c r="F225" s="803" t="n"/>
      <c r="G225" s="802" t="n"/>
      <c r="H225" s="803" t="n"/>
      <c r="I225" s="802" t="n"/>
      <c r="J225" s="1337" t="n"/>
      <c r="K225" s="1337" t="n"/>
      <c r="L225" s="1337" t="n"/>
      <c r="M225" s="1337" t="n"/>
      <c r="N225" s="1338" t="n"/>
    </row>
    <row r="226">
      <c r="A226" s="796" t="n"/>
      <c r="B226" s="797" t="n"/>
      <c r="C226" s="799" t="n"/>
      <c r="D226" s="799" t="n"/>
      <c r="E226" s="799" t="n"/>
      <c r="F226" s="799" t="n"/>
      <c r="G226" s="802" t="n"/>
      <c r="H226" s="803" t="n"/>
      <c r="I226" s="802" t="n"/>
      <c r="J226" s="1337" t="n"/>
      <c r="K226" s="1337" t="n"/>
      <c r="L226" s="1337" t="n"/>
      <c r="M226" s="1337" t="n"/>
      <c r="N226" s="1338" t="n"/>
    </row>
    <row r="227">
      <c r="A227" s="796" t="n"/>
      <c r="B227" s="797" t="n"/>
      <c r="C227" s="799" t="n"/>
      <c r="D227" s="799" t="n"/>
      <c r="E227" s="799" t="n"/>
      <c r="F227" s="799" t="n"/>
      <c r="G227" s="802" t="n"/>
      <c r="H227" s="810" t="n"/>
      <c r="I227" s="802" t="n"/>
      <c r="J227" s="1337" t="n"/>
      <c r="K227" s="1337" t="n"/>
      <c r="L227" s="1337" t="n"/>
      <c r="M227" s="1337" t="n"/>
      <c r="N227" s="1338" t="n"/>
    </row>
    <row r="228">
      <c r="A228" s="796" t="n"/>
      <c r="B228" s="797" t="n"/>
      <c r="C228" s="799" t="n"/>
      <c r="D228" s="799" t="n"/>
      <c r="E228" s="799" t="n"/>
      <c r="F228" s="799" t="n"/>
      <c r="G228" s="802" t="n"/>
      <c r="H228" s="803" t="n"/>
      <c r="I228" s="802" t="n"/>
      <c r="J228" s="1337" t="n"/>
      <c r="K228" s="1337" t="n"/>
      <c r="L228" s="1337" t="n"/>
      <c r="M228" s="1337" t="n"/>
      <c r="N228" s="1338" t="n"/>
    </row>
    <row r="229">
      <c r="A229" s="796" t="n"/>
      <c r="B229" s="797" t="n"/>
      <c r="C229" s="799" t="n"/>
      <c r="D229" s="799" t="n"/>
      <c r="E229" s="799" t="n"/>
      <c r="F229" s="799" t="n"/>
      <c r="G229" s="802" t="n"/>
      <c r="H229" s="803" t="n"/>
      <c r="I229" s="802" t="n"/>
      <c r="J229" s="1337" t="n"/>
      <c r="K229" s="1337" t="n"/>
      <c r="L229" s="1337" t="n"/>
      <c r="M229" s="1337" t="n"/>
      <c r="N229" s="1338" t="n"/>
    </row>
    <row r="230">
      <c r="A230" s="796" t="n"/>
      <c r="B230" s="797" t="n"/>
      <c r="C230" s="799" t="n"/>
      <c r="D230" s="799" t="n"/>
      <c r="E230" s="799" t="n"/>
      <c r="F230" s="799" t="n"/>
      <c r="G230" s="802" t="n"/>
      <c r="H230" s="803" t="n"/>
      <c r="I230" s="802" t="n"/>
      <c r="J230" s="1337" t="n"/>
      <c r="K230" s="1337" t="n"/>
      <c r="L230" s="1337" t="n"/>
      <c r="M230" s="1337" t="n"/>
      <c r="N230" s="1338" t="n"/>
    </row>
    <row r="231">
      <c r="A231" s="796" t="n"/>
      <c r="B231" s="797" t="n"/>
      <c r="C231" s="799" t="n"/>
      <c r="D231" s="799" t="n"/>
      <c r="E231" s="799" t="n"/>
      <c r="F231" s="799" t="n"/>
      <c r="G231" s="802" t="n"/>
      <c r="H231" s="803" t="n"/>
      <c r="I231" s="802" t="n"/>
      <c r="J231" s="1337" t="n"/>
      <c r="K231" s="1337" t="n"/>
      <c r="L231" s="1337" t="n"/>
      <c r="M231" s="1337" t="n"/>
      <c r="N231" s="1338" t="n"/>
    </row>
    <row r="232">
      <c r="A232" s="796" t="n"/>
      <c r="B232" s="797" t="n"/>
      <c r="C232" s="799" t="n"/>
      <c r="D232" s="799" t="n"/>
      <c r="E232" s="799" t="n"/>
      <c r="F232" s="799" t="n"/>
      <c r="G232" s="802" t="n"/>
      <c r="H232" s="803" t="n"/>
      <c r="I232" s="802" t="n"/>
      <c r="J232" s="1337" t="n"/>
      <c r="K232" s="1337" t="n"/>
      <c r="L232" s="1337" t="n"/>
      <c r="M232" s="1337" t="n"/>
      <c r="N232" s="1338" t="n"/>
    </row>
    <row r="233">
      <c r="A233" s="796" t="n"/>
      <c r="B233" s="797" t="n"/>
      <c r="C233" s="799" t="n"/>
      <c r="D233" s="799" t="n"/>
      <c r="E233" s="799" t="n"/>
      <c r="F233" s="799" t="n"/>
      <c r="G233" s="802" t="n"/>
      <c r="H233" s="803" t="n"/>
      <c r="I233" s="802" t="n"/>
      <c r="J233" s="1337" t="n"/>
      <c r="K233" s="1337" t="n"/>
      <c r="L233" s="1337" t="n"/>
      <c r="M233" s="1337" t="n"/>
      <c r="N233" s="1338" t="n"/>
    </row>
    <row r="234">
      <c r="A234" s="796" t="n"/>
      <c r="B234" s="797" t="n"/>
      <c r="C234" s="799" t="n"/>
      <c r="D234" s="799" t="n"/>
      <c r="E234" s="799" t="n"/>
      <c r="F234" s="799" t="n"/>
      <c r="G234" s="802" t="n"/>
      <c r="H234" s="803" t="n"/>
      <c r="I234" s="802" t="n"/>
      <c r="J234" s="1337" t="n"/>
      <c r="K234" s="1337" t="n"/>
      <c r="L234" s="1337" t="n"/>
      <c r="M234" s="1337" t="n"/>
      <c r="N234" s="1338" t="n"/>
    </row>
    <row r="235">
      <c r="A235" s="796" t="n"/>
      <c r="B235" s="797" t="n"/>
      <c r="C235" s="799" t="n"/>
      <c r="D235" s="799" t="n"/>
      <c r="E235" s="799" t="n"/>
      <c r="F235" s="799" t="n"/>
      <c r="G235" s="802" t="n"/>
      <c r="H235" s="803" t="n"/>
      <c r="I235" s="802" t="n"/>
      <c r="J235" s="1337" t="n"/>
      <c r="K235" s="1337" t="n"/>
      <c r="L235" s="1337" t="n"/>
      <c r="M235" s="1337" t="n"/>
      <c r="N235" s="1338" t="n"/>
    </row>
    <row r="236">
      <c r="A236" s="796" t="n"/>
      <c r="B236" s="797" t="n"/>
      <c r="C236" s="799" t="n"/>
      <c r="D236" s="799" t="n"/>
      <c r="E236" s="799" t="n"/>
      <c r="F236" s="799" t="n"/>
      <c r="G236" s="802" t="n"/>
      <c r="H236" s="803" t="n"/>
      <c r="I236" s="802" t="n"/>
      <c r="J236" s="1337" t="n"/>
      <c r="K236" s="1337" t="n"/>
      <c r="L236" s="1337" t="n"/>
      <c r="M236" s="1337" t="n"/>
      <c r="N236" s="1338" t="n"/>
    </row>
    <row r="237">
      <c r="A237" s="796" t="n"/>
      <c r="B237" s="797" t="n"/>
      <c r="C237" s="799" t="n"/>
      <c r="D237" s="799" t="n"/>
      <c r="E237" s="799" t="n"/>
      <c r="F237" s="799" t="n"/>
      <c r="G237" s="802" t="n"/>
      <c r="H237" s="803" t="n"/>
      <c r="I237" s="802" t="n"/>
      <c r="J237" s="1337" t="n"/>
      <c r="K237" s="1337" t="n"/>
      <c r="L237" s="1337" t="n"/>
      <c r="M237" s="1337" t="n"/>
      <c r="N237" s="1338" t="n"/>
    </row>
    <row r="238">
      <c r="A238" s="796" t="n"/>
      <c r="B238" s="797" t="n"/>
      <c r="C238" s="799" t="n"/>
      <c r="D238" s="799" t="n"/>
      <c r="E238" s="799" t="n"/>
      <c r="F238" s="799" t="n"/>
      <c r="G238" s="802" t="n"/>
      <c r="H238" s="803" t="n"/>
      <c r="I238" s="802" t="n"/>
      <c r="J238" s="1337" t="n"/>
      <c r="K238" s="1337" t="n"/>
      <c r="L238" s="1337" t="n"/>
      <c r="M238" s="1337" t="n"/>
      <c r="N238" s="1338" t="n"/>
    </row>
    <row r="239">
      <c r="A239" s="796" t="n"/>
      <c r="B239" s="797" t="n"/>
      <c r="C239" s="799" t="n"/>
      <c r="D239" s="799" t="n"/>
      <c r="E239" s="799" t="n"/>
      <c r="F239" s="799" t="n"/>
      <c r="G239" s="802" t="n"/>
      <c r="H239" s="803" t="n"/>
      <c r="I239" s="802" t="n"/>
      <c r="J239" s="1337" t="n"/>
      <c r="K239" s="1337" t="n"/>
      <c r="L239" s="1337" t="n"/>
      <c r="M239" s="1337" t="n"/>
      <c r="N239" s="1338" t="n"/>
    </row>
    <row r="240">
      <c r="A240" s="796" t="n"/>
      <c r="B240" s="797" t="n"/>
      <c r="C240" s="799" t="n"/>
      <c r="D240" s="799" t="n"/>
      <c r="E240" s="799" t="n"/>
      <c r="F240" s="803" t="n"/>
      <c r="G240" s="802" t="n"/>
      <c r="H240" s="803" t="n"/>
      <c r="I240" s="802" t="n"/>
      <c r="J240" s="1337" t="n"/>
      <c r="K240" s="1337" t="n"/>
      <c r="L240" s="1337" t="n"/>
      <c r="M240" s="1337" t="n"/>
      <c r="N240" s="1338" t="n"/>
    </row>
    <row r="241">
      <c r="A241" s="796" t="n"/>
      <c r="B241" s="797" t="n"/>
      <c r="C241" s="799" t="n"/>
      <c r="D241" s="799" t="n"/>
      <c r="E241" s="799" t="n"/>
      <c r="F241" s="803" t="n"/>
      <c r="G241" s="802" t="n"/>
      <c r="H241" s="803" t="n"/>
      <c r="I241" s="802" t="n"/>
      <c r="J241" s="1337" t="n"/>
      <c r="K241" s="1337" t="n"/>
      <c r="L241" s="1337" t="n"/>
      <c r="M241" s="1337" t="n"/>
      <c r="N241" s="1338" t="n"/>
    </row>
    <row r="242">
      <c r="A242" s="796" t="n"/>
      <c r="B242" s="797" t="n"/>
      <c r="C242" s="799" t="n"/>
      <c r="D242" s="799" t="n"/>
      <c r="E242" s="799" t="n"/>
      <c r="F242" s="803" t="n"/>
      <c r="G242" s="802" t="n"/>
      <c r="H242" s="803" t="n"/>
      <c r="I242" s="802" t="n"/>
      <c r="J242" s="1337" t="n"/>
      <c r="K242" s="1337" t="n"/>
      <c r="L242" s="1337" t="n"/>
      <c r="M242" s="1337" t="n"/>
      <c r="N242" s="1338" t="n"/>
    </row>
    <row r="243">
      <c r="A243" s="796" t="n"/>
      <c r="B243" s="797" t="n"/>
      <c r="C243" s="799" t="n"/>
      <c r="D243" s="799" t="n"/>
      <c r="E243" s="799" t="n"/>
      <c r="F243" s="803" t="n"/>
      <c r="G243" s="802" t="n"/>
      <c r="H243" s="803" t="n"/>
      <c r="I243" s="802" t="n"/>
      <c r="J243" s="1337" t="n"/>
      <c r="K243" s="1337" t="n"/>
      <c r="L243" s="1337" t="n"/>
      <c r="M243" s="1337" t="n"/>
      <c r="N243" s="1338" t="n"/>
    </row>
    <row r="244">
      <c r="A244" s="796" t="n"/>
      <c r="B244" s="797" t="n"/>
      <c r="C244" s="799" t="n"/>
      <c r="D244" s="799" t="n"/>
      <c r="E244" s="799" t="n"/>
      <c r="F244" s="803" t="n"/>
      <c r="G244" s="802" t="n"/>
      <c r="H244" s="803" t="n"/>
      <c r="I244" s="802" t="n"/>
      <c r="J244" s="1337" t="n"/>
      <c r="K244" s="1337" t="n"/>
      <c r="L244" s="1337" t="n"/>
      <c r="M244" s="1337" t="n"/>
      <c r="N244" s="1338" t="n"/>
    </row>
    <row r="245">
      <c r="A245" s="796" t="n"/>
      <c r="B245" s="797" t="n"/>
      <c r="C245" s="799" t="n"/>
      <c r="D245" s="799" t="n"/>
      <c r="E245" s="799" t="n"/>
      <c r="F245" s="803" t="n"/>
      <c r="G245" s="802" t="n"/>
      <c r="H245" s="803" t="n"/>
      <c r="I245" s="802" t="n"/>
      <c r="J245" s="1337" t="n"/>
      <c r="K245" s="1337" t="n"/>
      <c r="L245" s="1337" t="n"/>
      <c r="M245" s="1337" t="n"/>
      <c r="N245" s="1338" t="n"/>
    </row>
    <row r="246">
      <c r="A246" s="796" t="n"/>
      <c r="B246" s="797" t="n"/>
      <c r="C246" s="799" t="n"/>
      <c r="D246" s="799" t="n"/>
      <c r="E246" s="799" t="n"/>
      <c r="F246" s="803" t="n"/>
      <c r="G246" s="802" t="n"/>
      <c r="H246" s="803" t="n"/>
      <c r="I246" s="802" t="n"/>
      <c r="J246" s="1337" t="n"/>
      <c r="K246" s="1337" t="n"/>
      <c r="L246" s="1337" t="n"/>
      <c r="M246" s="1337" t="n"/>
      <c r="N246" s="1338" t="n"/>
    </row>
    <row r="247">
      <c r="A247" s="796" t="n"/>
      <c r="B247" s="797" t="n"/>
      <c r="C247" s="799" t="n"/>
      <c r="D247" s="799" t="n"/>
      <c r="E247" s="799" t="n"/>
      <c r="F247" s="803" t="n"/>
      <c r="G247" s="802" t="n"/>
      <c r="H247" s="803" t="n"/>
      <c r="I247" s="802" t="n"/>
      <c r="J247" s="1337" t="n"/>
      <c r="K247" s="1337" t="n"/>
      <c r="L247" s="1337" t="n"/>
      <c r="M247" s="1337" t="n"/>
      <c r="N247" s="1338" t="n"/>
    </row>
    <row r="248">
      <c r="A248" s="796" t="n"/>
      <c r="B248" s="797" t="n"/>
      <c r="C248" s="799" t="n"/>
      <c r="D248" s="799" t="n"/>
      <c r="E248" s="799" t="n"/>
      <c r="F248" s="803" t="n"/>
      <c r="G248" s="802" t="n"/>
      <c r="H248" s="803" t="n"/>
      <c r="I248" s="802" t="n"/>
      <c r="J248" s="1337" t="n"/>
      <c r="K248" s="1337" t="n"/>
      <c r="L248" s="1337" t="n"/>
      <c r="M248" s="1337" t="n"/>
      <c r="N248" s="1338" t="n"/>
    </row>
    <row r="249">
      <c r="A249" s="796" t="n"/>
      <c r="B249" s="797" t="n"/>
      <c r="C249" s="799" t="n"/>
      <c r="D249" s="799" t="n"/>
      <c r="E249" s="799" t="n"/>
      <c r="F249" s="803" t="n"/>
      <c r="G249" s="802" t="n"/>
      <c r="H249" s="803" t="n"/>
      <c r="I249" s="802" t="n"/>
      <c r="J249" s="1337" t="n"/>
      <c r="K249" s="1337" t="n"/>
      <c r="L249" s="1337" t="n"/>
      <c r="M249" s="1337" t="n"/>
      <c r="N249" s="1338" t="n"/>
    </row>
    <row r="250">
      <c r="A250" s="796" t="n"/>
      <c r="B250" s="797" t="n"/>
      <c r="C250" s="799" t="n"/>
      <c r="D250" s="799" t="n"/>
      <c r="E250" s="799" t="n"/>
      <c r="F250" s="799" t="n"/>
      <c r="G250" s="802" t="n"/>
      <c r="H250" s="803" t="n"/>
      <c r="I250" s="802" t="n"/>
      <c r="J250" s="1337" t="n"/>
      <c r="K250" s="1337" t="n"/>
      <c r="L250" s="1337" t="n"/>
      <c r="M250" s="1337" t="n"/>
      <c r="N250" s="1338" t="n"/>
    </row>
    <row r="251">
      <c r="A251" s="796" t="n"/>
      <c r="B251" s="797" t="n"/>
      <c r="C251" s="799" t="n"/>
      <c r="D251" s="799" t="n"/>
      <c r="E251" s="799" t="n"/>
      <c r="F251" s="799" t="n"/>
      <c r="G251" s="802" t="n"/>
      <c r="H251" s="803" t="n"/>
      <c r="I251" s="802" t="n"/>
      <c r="J251" s="1337" t="n"/>
      <c r="K251" s="1337" t="n"/>
      <c r="L251" s="1337" t="n"/>
      <c r="M251" s="1337" t="n"/>
      <c r="N251" s="1338" t="n"/>
    </row>
    <row r="252">
      <c r="A252" s="796" t="n"/>
      <c r="B252" s="797" t="n"/>
      <c r="C252" s="799" t="n"/>
      <c r="D252" s="799" t="n"/>
      <c r="E252" s="799" t="n"/>
      <c r="F252" s="799" t="n"/>
      <c r="G252" s="802" t="n"/>
      <c r="H252" s="803" t="n"/>
      <c r="I252" s="802" t="n"/>
      <c r="J252" s="1337" t="n"/>
      <c r="K252" s="1337" t="n"/>
      <c r="L252" s="1337" t="n"/>
      <c r="M252" s="1337" t="n"/>
      <c r="N252" s="1338" t="n"/>
    </row>
    <row r="253">
      <c r="A253" s="796" t="n"/>
      <c r="B253" s="797" t="n"/>
      <c r="C253" s="799" t="n"/>
      <c r="D253" s="799" t="n"/>
      <c r="E253" s="799" t="n"/>
      <c r="F253" s="803" t="n"/>
      <c r="G253" s="802" t="n"/>
      <c r="H253" s="803" t="n"/>
      <c r="I253" s="802" t="n"/>
      <c r="J253" s="1337" t="n"/>
      <c r="K253" s="1337" t="n"/>
      <c r="L253" s="1337" t="n"/>
      <c r="M253" s="1337" t="n"/>
      <c r="N253" s="1338" t="n"/>
    </row>
    <row r="254">
      <c r="A254" s="796" t="n"/>
      <c r="B254" s="797" t="n"/>
      <c r="C254" s="799" t="n"/>
      <c r="D254" s="799" t="n"/>
      <c r="E254" s="799" t="n"/>
      <c r="F254" s="803" t="n"/>
      <c r="G254" s="802" t="n"/>
      <c r="H254" s="803" t="n"/>
      <c r="I254" s="802" t="n"/>
      <c r="J254" s="1337" t="n"/>
      <c r="K254" s="1337" t="n"/>
      <c r="L254" s="1337" t="n"/>
      <c r="M254" s="1337" t="n"/>
      <c r="N254" s="1338" t="n"/>
    </row>
    <row r="255">
      <c r="A255" s="796" t="n"/>
      <c r="B255" s="797" t="n"/>
      <c r="C255" s="799" t="n"/>
      <c r="D255" s="799" t="n"/>
      <c r="E255" s="799" t="n"/>
      <c r="F255" s="803" t="n"/>
      <c r="G255" s="802" t="n"/>
      <c r="H255" s="803" t="n"/>
      <c r="I255" s="802" t="n"/>
      <c r="J255" s="1337" t="n"/>
      <c r="K255" s="1337" t="n"/>
      <c r="L255" s="1337" t="n"/>
      <c r="M255" s="1337" t="n"/>
      <c r="N255" s="1338" t="n"/>
    </row>
    <row r="256">
      <c r="A256" s="796" t="n"/>
      <c r="B256" s="797" t="n"/>
      <c r="C256" s="799" t="n"/>
      <c r="D256" s="799" t="n"/>
      <c r="E256" s="799" t="n"/>
      <c r="F256" s="803" t="n"/>
      <c r="G256" s="802" t="n"/>
      <c r="H256" s="803" t="n"/>
      <c r="I256" s="802" t="n"/>
      <c r="J256" s="1337" t="n"/>
      <c r="K256" s="1337" t="n"/>
      <c r="L256" s="1337" t="n"/>
      <c r="M256" s="1337" t="n"/>
      <c r="N256" s="1338" t="n"/>
    </row>
    <row r="257">
      <c r="A257" s="796" t="n"/>
      <c r="B257" s="797" t="n"/>
      <c r="C257" s="799" t="n"/>
      <c r="D257" s="799" t="n"/>
      <c r="E257" s="799" t="n"/>
      <c r="F257" s="803" t="n"/>
      <c r="G257" s="802" t="n"/>
      <c r="H257" s="803" t="n"/>
      <c r="I257" s="802" t="n"/>
      <c r="J257" s="1337" t="n"/>
      <c r="K257" s="1337" t="n"/>
      <c r="L257" s="1337" t="n"/>
      <c r="M257" s="1337" t="n"/>
      <c r="N257" s="1338" t="n"/>
    </row>
    <row r="258">
      <c r="A258" s="796" t="n"/>
      <c r="B258" s="797" t="n"/>
      <c r="C258" s="799" t="n"/>
      <c r="D258" s="799" t="n"/>
      <c r="E258" s="799" t="n"/>
      <c r="F258" s="803" t="n"/>
      <c r="G258" s="802" t="n"/>
      <c r="H258" s="803" t="n"/>
      <c r="I258" s="802" t="n"/>
      <c r="J258" s="1337" t="n"/>
      <c r="K258" s="1337" t="n"/>
      <c r="L258" s="1337" t="n"/>
      <c r="M258" s="1337" t="n"/>
      <c r="N258" s="1338" t="n"/>
    </row>
    <row r="259">
      <c r="A259" s="796" t="n"/>
      <c r="B259" s="797" t="n"/>
      <c r="C259" s="799" t="n"/>
      <c r="D259" s="799" t="n"/>
      <c r="E259" s="799" t="n"/>
      <c r="F259" s="803" t="n"/>
      <c r="G259" s="802" t="n"/>
      <c r="H259" s="803" t="n"/>
      <c r="I259" s="802" t="n"/>
      <c r="J259" s="1337" t="n"/>
      <c r="K259" s="1337" t="n"/>
      <c r="L259" s="1337" t="n"/>
      <c r="M259" s="1337" t="n"/>
      <c r="N259" s="1338" t="n"/>
    </row>
    <row r="260">
      <c r="A260" s="796" t="n"/>
      <c r="B260" s="797" t="n"/>
      <c r="C260" s="799" t="n"/>
      <c r="D260" s="799" t="n"/>
      <c r="E260" s="799" t="n"/>
      <c r="F260" s="803" t="n"/>
      <c r="G260" s="802" t="n"/>
      <c r="H260" s="803" t="n"/>
      <c r="I260" s="802" t="n"/>
      <c r="J260" s="1337" t="n"/>
      <c r="K260" s="1337" t="n"/>
      <c r="L260" s="1337" t="n"/>
      <c r="M260" s="1337" t="n"/>
      <c r="N260" s="1338" t="n"/>
    </row>
    <row r="261">
      <c r="A261" s="796" t="n"/>
      <c r="B261" s="797" t="n"/>
      <c r="C261" s="799" t="n"/>
      <c r="D261" s="799" t="n"/>
      <c r="E261" s="799" t="n"/>
      <c r="F261" s="803" t="n"/>
      <c r="G261" s="802" t="n"/>
      <c r="H261" s="803" t="n"/>
      <c r="I261" s="802" t="n"/>
      <c r="J261" s="1337" t="n"/>
      <c r="K261" s="1337" t="n"/>
      <c r="L261" s="1337" t="n"/>
      <c r="M261" s="1337" t="n"/>
      <c r="N261" s="1338" t="n"/>
    </row>
    <row r="262">
      <c r="A262" s="796" t="n"/>
      <c r="B262" s="797" t="n"/>
      <c r="C262" s="799" t="n"/>
      <c r="D262" s="799" t="n"/>
      <c r="E262" s="799" t="n"/>
      <c r="F262" s="803" t="n"/>
      <c r="G262" s="802" t="n"/>
      <c r="H262" s="803" t="n"/>
      <c r="I262" s="802" t="n"/>
      <c r="J262" s="1337" t="n"/>
      <c r="K262" s="1337" t="n"/>
      <c r="L262" s="1337" t="n"/>
      <c r="M262" s="1337" t="n"/>
      <c r="N262" s="1338" t="n"/>
    </row>
    <row r="263">
      <c r="A263" s="796" t="n"/>
      <c r="B263" s="797" t="n"/>
      <c r="C263" s="799" t="n"/>
      <c r="D263" s="799" t="n"/>
      <c r="E263" s="799" t="n"/>
      <c r="F263" s="803" t="n"/>
      <c r="G263" s="802" t="n"/>
      <c r="H263" s="803" t="n"/>
      <c r="I263" s="802" t="n"/>
      <c r="J263" s="1337" t="n"/>
      <c r="K263" s="1337" t="n"/>
      <c r="L263" s="1337" t="n"/>
      <c r="M263" s="1337" t="n"/>
      <c r="N263" s="1338" t="n"/>
    </row>
    <row r="264">
      <c r="A264" s="796" t="n"/>
      <c r="B264" s="797" t="n"/>
      <c r="C264" s="799" t="n"/>
      <c r="D264" s="799" t="n"/>
      <c r="E264" s="799" t="n"/>
      <c r="F264" s="803" t="n"/>
      <c r="G264" s="802" t="n"/>
      <c r="H264" s="803" t="n"/>
      <c r="I264" s="802" t="n"/>
      <c r="J264" s="1337" t="n"/>
      <c r="K264" s="1337" t="n"/>
      <c r="L264" s="1337" t="n"/>
      <c r="M264" s="1337" t="n"/>
      <c r="N264" s="1338" t="n"/>
    </row>
    <row r="265">
      <c r="A265" s="796" t="n"/>
      <c r="B265" s="797" t="n"/>
      <c r="C265" s="803" t="n"/>
      <c r="D265" s="803" t="n"/>
      <c r="E265" s="803" t="n"/>
      <c r="F265" s="803" t="n"/>
      <c r="G265" s="802" t="n"/>
      <c r="H265" s="803" t="n"/>
      <c r="I265" s="802" t="n"/>
      <c r="J265" s="1337" t="n"/>
      <c r="K265" s="1337" t="n"/>
      <c r="L265" s="1337" t="n"/>
      <c r="M265" s="1337" t="n"/>
      <c r="N265" s="1338" t="n"/>
    </row>
    <row r="266">
      <c r="A266" s="796" t="n"/>
      <c r="B266" s="797" t="n"/>
      <c r="C266" s="799" t="n"/>
      <c r="D266" s="799" t="n"/>
      <c r="E266" s="799" t="n"/>
      <c r="F266" s="803" t="n"/>
      <c r="G266" s="802" t="n"/>
      <c r="H266" s="803" t="n"/>
      <c r="I266" s="802" t="n"/>
      <c r="J266" s="1337" t="n"/>
      <c r="K266" s="1337" t="n"/>
      <c r="L266" s="1337" t="n"/>
      <c r="M266" s="1337" t="n"/>
      <c r="N266" s="1338" t="n"/>
    </row>
    <row r="267">
      <c r="A267" s="796" t="n"/>
      <c r="B267" s="797" t="n"/>
      <c r="C267" s="799" t="n"/>
      <c r="D267" s="799" t="n"/>
      <c r="E267" s="799" t="n"/>
      <c r="F267" s="803" t="n"/>
      <c r="G267" s="802" t="n"/>
      <c r="H267" s="803" t="n"/>
      <c r="I267" s="802" t="n"/>
      <c r="J267" s="1337" t="n"/>
      <c r="K267" s="1337" t="n"/>
      <c r="L267" s="1337" t="n"/>
      <c r="M267" s="1337" t="n"/>
      <c r="N267" s="1338" t="n"/>
    </row>
    <row r="268">
      <c r="A268" s="796" t="n"/>
      <c r="B268" s="797" t="n"/>
      <c r="C268" s="799" t="n"/>
      <c r="D268" s="799" t="n"/>
      <c r="E268" s="799" t="n"/>
      <c r="F268" s="803" t="n"/>
      <c r="G268" s="802" t="n"/>
      <c r="H268" s="803" t="n"/>
      <c r="I268" s="802" t="n"/>
      <c r="J268" s="1337" t="n"/>
      <c r="K268" s="1337" t="n"/>
      <c r="L268" s="1337" t="n"/>
      <c r="M268" s="1337" t="n"/>
      <c r="N268" s="1338" t="n"/>
    </row>
    <row r="269">
      <c r="A269" s="796" t="n"/>
      <c r="B269" s="797" t="n"/>
      <c r="C269" s="799" t="n"/>
      <c r="D269" s="799" t="n"/>
      <c r="E269" s="799" t="n"/>
      <c r="F269" s="803" t="n"/>
      <c r="G269" s="802" t="n"/>
      <c r="H269" s="803" t="n"/>
      <c r="I269" s="802" t="n"/>
      <c r="J269" s="1337" t="n"/>
      <c r="K269" s="1337" t="n"/>
      <c r="L269" s="1337" t="n"/>
      <c r="M269" s="1337" t="n"/>
      <c r="N269" s="1338" t="n"/>
    </row>
    <row r="270">
      <c r="A270" s="796" t="n"/>
      <c r="B270" s="797" t="n"/>
      <c r="C270" s="799" t="n"/>
      <c r="D270" s="799" t="n"/>
      <c r="E270" s="799" t="n"/>
      <c r="F270" s="803" t="n"/>
      <c r="G270" s="802" t="n"/>
      <c r="H270" s="803" t="n"/>
      <c r="I270" s="802" t="n"/>
      <c r="J270" s="1337" t="n"/>
      <c r="K270" s="1337" t="n"/>
      <c r="L270" s="1337" t="n"/>
      <c r="M270" s="1337" t="n"/>
      <c r="N270" s="1338" t="n"/>
    </row>
    <row r="271">
      <c r="A271" s="796" t="n"/>
      <c r="B271" s="797" t="n"/>
      <c r="C271" s="799" t="n"/>
      <c r="D271" s="799" t="n"/>
      <c r="E271" s="799" t="n"/>
      <c r="F271" s="803" t="n"/>
      <c r="G271" s="802" t="n"/>
      <c r="H271" s="803" t="n"/>
      <c r="I271" s="802" t="n"/>
      <c r="J271" s="1337" t="n"/>
      <c r="K271" s="1337" t="n"/>
      <c r="L271" s="1337" t="n"/>
      <c r="M271" s="1337" t="n"/>
      <c r="N271" s="1338" t="n"/>
    </row>
    <row r="272">
      <c r="A272" s="796" t="n"/>
      <c r="B272" s="797" t="n"/>
      <c r="C272" s="799" t="n"/>
      <c r="D272" s="799" t="n"/>
      <c r="E272" s="799" t="n"/>
      <c r="F272" s="803" t="n"/>
      <c r="G272" s="802" t="n"/>
      <c r="H272" s="803" t="n"/>
      <c r="I272" s="802" t="n"/>
      <c r="J272" s="1337" t="n"/>
      <c r="K272" s="1337" t="n"/>
      <c r="L272" s="1337" t="n"/>
      <c r="M272" s="1337" t="n"/>
      <c r="N272" s="1338" t="n"/>
    </row>
    <row r="273">
      <c r="A273" s="796" t="n"/>
      <c r="B273" s="797" t="n"/>
      <c r="C273" s="799" t="n"/>
      <c r="D273" s="799" t="n"/>
      <c r="E273" s="799" t="n"/>
      <c r="F273" s="803" t="n"/>
      <c r="G273" s="802" t="n"/>
      <c r="H273" s="803" t="n"/>
      <c r="I273" s="802" t="n"/>
      <c r="J273" s="1337" t="n"/>
      <c r="K273" s="1337" t="n"/>
      <c r="L273" s="1337" t="n"/>
      <c r="M273" s="1337" t="n"/>
      <c r="N273" s="1338" t="n"/>
    </row>
    <row r="274">
      <c r="A274" s="796" t="n"/>
      <c r="B274" s="797" t="n"/>
      <c r="C274" s="799" t="n"/>
      <c r="D274" s="799" t="n"/>
      <c r="E274" s="799" t="n"/>
      <c r="F274" s="803" t="n"/>
      <c r="G274" s="802" t="n"/>
      <c r="H274" s="803" t="n"/>
      <c r="I274" s="802" t="n"/>
      <c r="J274" s="1337" t="n"/>
      <c r="K274" s="1337" t="n"/>
      <c r="L274" s="1337" t="n"/>
      <c r="M274" s="1337" t="n"/>
      <c r="N274" s="1338" t="n"/>
    </row>
    <row r="275">
      <c r="A275" s="796" t="n"/>
      <c r="B275" s="797" t="n"/>
      <c r="C275" s="799" t="n"/>
      <c r="D275" s="799" t="n"/>
      <c r="E275" s="799" t="n"/>
      <c r="F275" s="803" t="n"/>
      <c r="G275" s="802" t="n"/>
      <c r="H275" s="803" t="n"/>
      <c r="I275" s="802" t="n"/>
      <c r="J275" s="1337" t="n"/>
      <c r="K275" s="1337" t="n"/>
      <c r="L275" s="1337" t="n"/>
      <c r="M275" s="1337" t="n"/>
      <c r="N275" s="1338" t="n"/>
    </row>
    <row r="276">
      <c r="A276" s="796" t="n"/>
      <c r="B276" s="797" t="n"/>
      <c r="C276" s="799" t="n"/>
      <c r="D276" s="799" t="n"/>
      <c r="E276" s="799" t="n"/>
      <c r="F276" s="803" t="n"/>
      <c r="G276" s="802" t="n"/>
      <c r="H276" s="803" t="n"/>
      <c r="I276" s="802" t="n"/>
      <c r="J276" s="1337" t="n"/>
      <c r="K276" s="1337" t="n"/>
      <c r="L276" s="1337" t="n"/>
      <c r="M276" s="1337" t="n"/>
      <c r="N276" s="1338" t="n"/>
    </row>
    <row r="277">
      <c r="A277" s="796" t="n"/>
      <c r="B277" s="797" t="n"/>
      <c r="C277" s="799" t="n"/>
      <c r="D277" s="799" t="n"/>
      <c r="E277" s="799" t="n"/>
      <c r="F277" s="803" t="n"/>
      <c r="G277" s="802" t="n"/>
      <c r="H277" s="803" t="n"/>
      <c r="I277" s="802" t="n"/>
      <c r="J277" s="1337" t="n"/>
      <c r="K277" s="1337" t="n"/>
      <c r="L277" s="1337" t="n"/>
      <c r="M277" s="1337" t="n"/>
      <c r="N277" s="1338" t="n"/>
    </row>
    <row r="278">
      <c r="A278" s="796" t="n"/>
      <c r="B278" s="797" t="n"/>
      <c r="C278" s="799" t="n"/>
      <c r="D278" s="799" t="n"/>
      <c r="E278" s="799" t="n"/>
      <c r="F278" s="803" t="n"/>
      <c r="G278" s="802" t="n"/>
      <c r="H278" s="803" t="n"/>
      <c r="I278" s="802" t="n"/>
      <c r="J278" s="1337" t="n"/>
      <c r="K278" s="1337" t="n"/>
      <c r="L278" s="1337" t="n"/>
      <c r="M278" s="1337" t="n"/>
      <c r="N278" s="1338" t="n"/>
    </row>
    <row r="279">
      <c r="A279" s="796" t="n"/>
      <c r="B279" s="797" t="n"/>
      <c r="C279" s="799" t="n"/>
      <c r="D279" s="799" t="n"/>
      <c r="E279" s="799" t="n"/>
      <c r="F279" s="803" t="n"/>
      <c r="G279" s="802" t="n"/>
      <c r="H279" s="803" t="n"/>
      <c r="I279" s="802" t="n"/>
      <c r="J279" s="1337" t="n"/>
      <c r="K279" s="1337" t="n"/>
      <c r="L279" s="1337" t="n"/>
      <c r="M279" s="1337" t="n"/>
      <c r="N279" s="1338" t="n"/>
    </row>
    <row r="280">
      <c r="A280" s="796" t="n"/>
      <c r="B280" s="797" t="n"/>
      <c r="C280" s="799" t="n"/>
      <c r="D280" s="799" t="n"/>
      <c r="E280" s="799" t="n"/>
      <c r="F280" s="803" t="n"/>
      <c r="G280" s="802" t="n"/>
      <c r="H280" s="803" t="n"/>
      <c r="I280" s="802" t="n"/>
      <c r="J280" s="1337" t="n"/>
      <c r="K280" s="1337" t="n"/>
      <c r="L280" s="1337" t="n"/>
      <c r="M280" s="1337" t="n"/>
      <c r="N280" s="1338" t="n"/>
    </row>
    <row r="281">
      <c r="A281" s="796" t="n"/>
      <c r="B281" s="797" t="n"/>
      <c r="C281" s="799" t="n"/>
      <c r="D281" s="799" t="n"/>
      <c r="E281" s="799" t="n"/>
      <c r="F281" s="803" t="n"/>
      <c r="G281" s="802" t="n"/>
      <c r="H281" s="803" t="n"/>
      <c r="I281" s="802" t="n"/>
      <c r="J281" s="1337" t="n"/>
      <c r="K281" s="1337" t="n"/>
      <c r="L281" s="1337" t="n"/>
      <c r="M281" s="1337" t="n"/>
      <c r="N281" s="1338" t="n"/>
    </row>
    <row r="282">
      <c r="A282" s="796" t="n"/>
      <c r="B282" s="797" t="n"/>
      <c r="C282" s="799" t="n"/>
      <c r="D282" s="799" t="n"/>
      <c r="E282" s="799" t="n"/>
      <c r="F282" s="803" t="n"/>
      <c r="G282" s="802" t="n"/>
      <c r="H282" s="803" t="n"/>
      <c r="I282" s="802" t="n"/>
      <c r="J282" s="1337" t="n"/>
      <c r="K282" s="1337" t="n"/>
      <c r="L282" s="1337" t="n"/>
      <c r="M282" s="1337" t="n"/>
      <c r="N282" s="1338" t="n"/>
    </row>
    <row r="283">
      <c r="A283" s="796" t="n"/>
      <c r="B283" s="797" t="n"/>
      <c r="C283" s="799" t="n"/>
      <c r="D283" s="799" t="n"/>
      <c r="E283" s="799" t="n"/>
      <c r="F283" s="799" t="n"/>
      <c r="G283" s="802" t="n"/>
      <c r="H283" s="803" t="n"/>
      <c r="I283" s="802" t="n"/>
      <c r="K283" s="1337" t="n"/>
      <c r="L283" s="1337" t="n"/>
      <c r="M283" s="1337" t="n"/>
      <c r="N283" s="1338" t="n"/>
    </row>
    <row r="284">
      <c r="A284" s="796" t="n"/>
      <c r="B284" s="797" t="n"/>
      <c r="C284" s="799" t="n"/>
      <c r="D284" s="799" t="n"/>
      <c r="E284" s="799" t="n"/>
      <c r="F284" s="803" t="n"/>
      <c r="G284" s="802" t="n"/>
      <c r="H284" s="803" t="n"/>
      <c r="I284" s="802" t="n"/>
      <c r="J284" s="1337" t="n"/>
      <c r="K284" s="1337" t="n"/>
      <c r="L284" s="1337" t="n"/>
      <c r="M284" s="1337" t="n"/>
      <c r="N284" s="1338" t="n"/>
    </row>
    <row r="285">
      <c r="A285" s="796" t="n"/>
      <c r="B285" s="797" t="n"/>
      <c r="C285" s="799" t="n"/>
      <c r="D285" s="799" t="n"/>
      <c r="E285" s="799" t="n"/>
      <c r="F285" s="803" t="n"/>
      <c r="G285" s="802" t="n"/>
      <c r="H285" s="803" t="n"/>
      <c r="I285" s="802" t="n"/>
      <c r="J285" s="1337" t="n"/>
      <c r="K285" s="1337" t="n"/>
      <c r="L285" s="1337" t="n"/>
      <c r="M285" s="1337" t="n"/>
      <c r="N285" s="1338" t="n"/>
    </row>
    <row r="286">
      <c r="A286" s="796" t="n"/>
      <c r="B286" s="797" t="n"/>
      <c r="C286" s="799" t="n"/>
      <c r="D286" s="799" t="n"/>
      <c r="E286" s="799" t="n"/>
      <c r="F286" s="803" t="n"/>
      <c r="G286" s="802" t="n"/>
      <c r="H286" s="803" t="n"/>
      <c r="I286" s="802" t="n"/>
      <c r="J286" s="1337" t="n"/>
      <c r="K286" s="1337" t="n"/>
      <c r="L286" s="1337" t="n"/>
      <c r="M286" s="1337" t="n"/>
      <c r="N286" s="1338" t="n"/>
    </row>
    <row r="287">
      <c r="A287" s="796" t="n"/>
      <c r="B287" s="797" t="n"/>
      <c r="C287" s="799" t="n"/>
      <c r="D287" s="799" t="n"/>
      <c r="E287" s="799" t="n"/>
      <c r="F287" s="803" t="n"/>
      <c r="G287" s="802" t="n"/>
      <c r="H287" s="803" t="n"/>
      <c r="I287" s="802" t="n"/>
      <c r="J287" s="1337" t="n"/>
      <c r="K287" s="1337" t="n"/>
      <c r="L287" s="1337" t="n"/>
      <c r="M287" s="1337" t="n"/>
      <c r="N287" s="1338" t="n"/>
    </row>
    <row r="288">
      <c r="A288" s="796" t="n"/>
      <c r="B288" s="797" t="n"/>
      <c r="C288" s="803" t="n"/>
      <c r="D288" s="803" t="n"/>
      <c r="E288" s="803" t="n"/>
      <c r="F288" s="803" t="n"/>
      <c r="G288" s="802" t="n"/>
      <c r="H288" s="803" t="n"/>
      <c r="I288" s="802" t="n"/>
      <c r="J288" s="1337" t="n"/>
      <c r="K288" s="1337" t="n"/>
      <c r="L288" s="1337" t="n"/>
      <c r="M288" s="1337" t="n"/>
      <c r="N288" s="1338" t="n"/>
    </row>
    <row r="289">
      <c r="A289" s="796" t="n"/>
      <c r="B289" s="797" t="n"/>
      <c r="C289" s="803" t="n"/>
      <c r="D289" s="803" t="n"/>
      <c r="E289" s="803" t="n"/>
      <c r="F289" s="803" t="n"/>
      <c r="G289" s="802" t="n"/>
      <c r="H289" s="803" t="n"/>
      <c r="I289" s="802" t="n"/>
      <c r="J289" s="1337" t="n"/>
      <c r="K289" s="1337" t="n"/>
      <c r="L289" s="1337" t="n"/>
      <c r="M289" s="1337" t="n"/>
      <c r="N289" s="1338" t="n"/>
    </row>
    <row r="290">
      <c r="A290" s="796" t="n"/>
      <c r="B290" s="797" t="n"/>
      <c r="C290" s="803" t="n"/>
      <c r="D290" s="803" t="n"/>
      <c r="E290" s="803" t="n"/>
      <c r="F290" s="803" t="n"/>
      <c r="G290" s="802" t="n"/>
      <c r="H290" s="803" t="n"/>
      <c r="I290" s="802" t="n"/>
      <c r="J290" s="1337" t="n"/>
      <c r="K290" s="1337" t="n"/>
      <c r="L290" s="1337" t="n"/>
      <c r="M290" s="1337" t="n"/>
      <c r="N290" s="1338" t="n"/>
    </row>
    <row r="291">
      <c r="A291" s="796" t="n"/>
      <c r="B291" s="797" t="n"/>
      <c r="C291" s="803" t="n"/>
      <c r="D291" s="803" t="n"/>
      <c r="E291" s="803" t="n"/>
      <c r="F291" s="803" t="n"/>
      <c r="G291" s="802" t="n"/>
      <c r="H291" s="803" t="n"/>
      <c r="I291" s="802" t="n"/>
      <c r="J291" s="1337" t="n"/>
      <c r="K291" s="1337" t="n"/>
      <c r="L291" s="1337" t="n"/>
      <c r="M291" s="1337" t="n"/>
      <c r="N291" s="1338" t="n"/>
    </row>
    <row r="292">
      <c r="A292" s="796" t="n"/>
      <c r="B292" s="797" t="n"/>
      <c r="C292" s="799" t="n"/>
      <c r="D292" s="799" t="n"/>
      <c r="E292" s="799" t="n"/>
      <c r="F292" s="803" t="n"/>
      <c r="G292" s="802" t="n"/>
      <c r="H292" s="803" t="n"/>
      <c r="I292" s="802" t="n"/>
      <c r="J292" s="1337" t="n"/>
      <c r="K292" s="1337" t="n"/>
      <c r="L292" s="1337" t="n"/>
      <c r="M292" s="1337" t="n"/>
      <c r="N292" s="1338" t="n"/>
    </row>
    <row r="293">
      <c r="A293" s="796" t="n"/>
      <c r="B293" s="797" t="n"/>
      <c r="C293" s="799" t="n"/>
      <c r="D293" s="799" t="n"/>
      <c r="E293" s="799" t="n"/>
      <c r="F293" s="803" t="n"/>
      <c r="G293" s="802" t="n"/>
      <c r="H293" s="803" t="n"/>
      <c r="I293" s="802" t="n"/>
      <c r="J293" s="1337" t="n"/>
      <c r="K293" s="1337" t="n"/>
      <c r="L293" s="1337" t="n"/>
      <c r="M293" s="1337" t="n"/>
      <c r="N293" s="1338" t="n"/>
    </row>
    <row r="294">
      <c r="A294" s="796" t="n"/>
      <c r="B294" s="797" t="n"/>
      <c r="C294" s="802" t="n"/>
      <c r="D294" s="803" t="n"/>
      <c r="E294" s="803" t="n"/>
      <c r="F294" s="803" t="n"/>
      <c r="G294" s="802" t="n"/>
      <c r="H294" s="803" t="n"/>
      <c r="I294" s="802" t="n"/>
      <c r="J294" s="1337" t="n"/>
      <c r="K294" s="1337" t="n"/>
      <c r="L294" s="1337" t="n"/>
      <c r="M294" s="1337" t="n"/>
      <c r="N294" s="1338" t="n"/>
    </row>
    <row r="295">
      <c r="A295" s="796" t="n"/>
      <c r="B295" s="797" t="n"/>
      <c r="C295" s="799" t="n"/>
      <c r="D295" s="799" t="n"/>
      <c r="E295" s="799" t="n"/>
      <c r="F295" s="803" t="n"/>
      <c r="G295" s="802" t="n"/>
      <c r="H295" s="803" t="n"/>
      <c r="I295" s="802" t="n"/>
      <c r="J295" s="1337" t="n"/>
      <c r="K295" s="1337" t="n"/>
      <c r="L295" s="1337" t="n"/>
      <c r="M295" s="1337" t="n"/>
      <c r="N295" s="1338" t="n"/>
    </row>
    <row r="296">
      <c r="A296" s="796" t="n"/>
      <c r="B296" s="797" t="n"/>
      <c r="C296" s="799" t="n"/>
      <c r="D296" s="799" t="n"/>
      <c r="E296" s="799" t="n"/>
      <c r="F296" s="803" t="n"/>
      <c r="G296" s="802" t="n"/>
      <c r="H296" s="803" t="n"/>
      <c r="I296" s="802" t="n"/>
      <c r="J296" s="1337" t="n"/>
      <c r="K296" s="1337" t="n"/>
      <c r="L296" s="1337" t="n"/>
      <c r="M296" s="1337" t="n"/>
      <c r="N296" s="1338" t="n"/>
    </row>
    <row r="297">
      <c r="A297" s="796" t="n"/>
      <c r="B297" s="797" t="n"/>
      <c r="C297" s="799" t="n"/>
      <c r="D297" s="799" t="n"/>
      <c r="E297" s="799" t="n"/>
      <c r="F297" s="803" t="n"/>
      <c r="G297" s="802" t="n"/>
      <c r="H297" s="803" t="n"/>
      <c r="I297" s="802" t="n"/>
      <c r="J297" s="1337" t="n"/>
      <c r="K297" s="1337" t="n"/>
      <c r="L297" s="1337" t="n"/>
      <c r="M297" s="1337" t="n"/>
      <c r="N297" s="1338" t="n"/>
    </row>
    <row r="298">
      <c r="A298" s="796" t="n"/>
      <c r="B298" s="797" t="n"/>
      <c r="C298" s="799" t="n"/>
      <c r="D298" s="799" t="n"/>
      <c r="E298" s="799" t="n"/>
      <c r="F298" s="803" t="n"/>
      <c r="G298" s="802" t="n"/>
      <c r="H298" s="803" t="n"/>
      <c r="I298" s="802" t="n"/>
      <c r="J298" s="1337" t="n"/>
      <c r="K298" s="1337" t="n"/>
      <c r="L298" s="1337" t="n"/>
      <c r="M298" s="1337" t="n"/>
      <c r="N298" s="1338" t="n"/>
    </row>
    <row r="299">
      <c r="A299" s="796" t="n"/>
      <c r="B299" s="797" t="n"/>
      <c r="C299" s="799" t="n"/>
      <c r="D299" s="799" t="n"/>
      <c r="E299" s="799" t="n"/>
      <c r="F299" s="803" t="n"/>
      <c r="G299" s="802" t="n"/>
      <c r="H299" s="803" t="n"/>
      <c r="I299" s="802" t="n"/>
      <c r="J299" s="1337" t="n"/>
      <c r="K299" s="1337" t="n"/>
      <c r="L299" s="1337" t="n"/>
      <c r="M299" s="1337" t="n"/>
      <c r="N299" s="1338" t="n"/>
    </row>
    <row r="300">
      <c r="A300" s="796" t="n"/>
      <c r="B300" s="797" t="n"/>
      <c r="C300" s="799" t="n"/>
      <c r="D300" s="799" t="n"/>
      <c r="E300" s="799" t="n"/>
      <c r="F300" s="803" t="n"/>
      <c r="G300" s="802" t="n"/>
      <c r="H300" s="803" t="n"/>
      <c r="I300" s="802" t="n"/>
      <c r="J300" s="1337" t="n"/>
      <c r="K300" s="1337" t="n"/>
      <c r="L300" s="1337" t="n"/>
      <c r="M300" s="1337" t="n"/>
      <c r="N300" s="1338" t="n"/>
    </row>
    <row r="301">
      <c r="A301" s="796" t="n"/>
      <c r="B301" s="797" t="n"/>
      <c r="C301" s="799" t="n"/>
      <c r="D301" s="799" t="n"/>
      <c r="E301" s="799" t="n"/>
      <c r="F301" s="803" t="n"/>
      <c r="G301" s="802" t="n"/>
      <c r="H301" s="803" t="n"/>
      <c r="I301" s="802" t="n"/>
      <c r="J301" s="1337" t="n"/>
      <c r="K301" s="1337" t="n"/>
      <c r="L301" s="1337" t="n"/>
      <c r="M301" s="1337" t="n"/>
      <c r="N301" s="1338" t="n"/>
    </row>
    <row r="302">
      <c r="A302" s="796" t="n"/>
      <c r="B302" s="797" t="n"/>
      <c r="C302" s="799" t="n"/>
      <c r="D302" s="799" t="n"/>
      <c r="E302" s="799" t="n"/>
      <c r="F302" s="803" t="n"/>
      <c r="G302" s="802" t="n"/>
      <c r="H302" s="803" t="n"/>
      <c r="I302" s="802" t="n"/>
      <c r="J302" s="1337" t="n"/>
      <c r="K302" s="1337" t="n"/>
      <c r="L302" s="1337" t="n"/>
      <c r="M302" s="1337" t="n"/>
      <c r="N302" s="1338" t="n"/>
    </row>
    <row r="303">
      <c r="A303" s="796" t="n"/>
      <c r="B303" s="797" t="n"/>
      <c r="C303" s="799" t="n"/>
      <c r="D303" s="799" t="n"/>
      <c r="E303" s="799" t="n"/>
      <c r="F303" s="803" t="n"/>
      <c r="G303" s="802" t="n"/>
      <c r="H303" s="803" t="n"/>
      <c r="I303" s="802" t="n"/>
      <c r="J303" s="1337" t="n"/>
      <c r="K303" s="1337" t="n"/>
      <c r="L303" s="1337" t="n"/>
      <c r="M303" s="1337" t="n"/>
      <c r="N303" s="1338" t="n"/>
    </row>
    <row r="304">
      <c r="A304" s="796" t="n"/>
      <c r="B304" s="797" t="n"/>
      <c r="C304" s="799" t="n"/>
      <c r="D304" s="799" t="n"/>
      <c r="E304" s="799" t="n"/>
      <c r="F304" s="803" t="n"/>
      <c r="G304" s="802" t="n"/>
      <c r="H304" s="803" t="n"/>
      <c r="I304" s="802" t="n"/>
      <c r="J304" s="1337" t="n"/>
      <c r="K304" s="1337" t="n"/>
      <c r="L304" s="1337" t="n"/>
      <c r="M304" s="1337" t="n"/>
      <c r="N304" s="1338" t="n"/>
    </row>
    <row r="305">
      <c r="A305" s="796" t="n"/>
      <c r="B305" s="797" t="n"/>
      <c r="C305" s="799" t="n"/>
      <c r="D305" s="799" t="n"/>
      <c r="E305" s="799" t="n"/>
      <c r="F305" s="803" t="n"/>
      <c r="G305" s="802" t="n"/>
      <c r="H305" s="803" t="n"/>
      <c r="I305" s="802" t="n"/>
      <c r="J305" s="1337" t="n"/>
      <c r="K305" s="1337" t="n"/>
      <c r="L305" s="1337" t="n"/>
      <c r="M305" s="1337" t="n"/>
      <c r="N305" s="1338" t="n"/>
    </row>
    <row r="306">
      <c r="A306" s="796" t="n"/>
      <c r="B306" s="797" t="n"/>
      <c r="C306" s="799" t="n"/>
      <c r="D306" s="799" t="n"/>
      <c r="E306" s="799" t="n"/>
      <c r="F306" s="803" t="n"/>
      <c r="G306" s="802" t="n"/>
      <c r="H306" s="803" t="n"/>
      <c r="I306" s="802" t="n"/>
      <c r="J306" s="1337" t="n"/>
      <c r="K306" s="1337" t="n"/>
      <c r="L306" s="1337" t="n"/>
      <c r="M306" s="1337" t="n"/>
      <c r="N306" s="1338" t="n"/>
    </row>
    <row r="307">
      <c r="A307" s="796" t="n"/>
      <c r="B307" s="797" t="n"/>
      <c r="C307" s="799" t="n"/>
      <c r="D307" s="799" t="n"/>
      <c r="E307" s="799" t="n"/>
      <c r="F307" s="803" t="n"/>
      <c r="G307" s="802" t="n"/>
      <c r="H307" s="803" t="n"/>
      <c r="I307" s="802" t="n"/>
      <c r="J307" s="1337" t="n"/>
      <c r="K307" s="1337" t="n"/>
      <c r="L307" s="1337" t="n"/>
      <c r="M307" s="1337" t="n"/>
      <c r="N307" s="1338" t="n"/>
    </row>
    <row r="308">
      <c r="A308" s="796" t="n"/>
      <c r="B308" s="797" t="n"/>
      <c r="C308" s="799" t="n"/>
      <c r="D308" s="799" t="n"/>
      <c r="E308" s="799" t="n"/>
      <c r="F308" s="803" t="n"/>
      <c r="G308" s="802" t="n"/>
      <c r="H308" s="803" t="n"/>
      <c r="I308" s="802" t="n"/>
      <c r="J308" s="1337" t="n"/>
      <c r="K308" s="1337" t="n"/>
      <c r="L308" s="1337" t="n"/>
      <c r="M308" s="1337" t="n"/>
      <c r="N308" s="1338" t="n"/>
    </row>
    <row r="309">
      <c r="A309" s="796" t="n"/>
      <c r="B309" s="797" t="n"/>
      <c r="C309" s="799" t="n"/>
      <c r="D309" s="799" t="n"/>
      <c r="E309" s="799" t="n"/>
      <c r="F309" s="803" t="n"/>
      <c r="G309" s="802" t="n"/>
      <c r="H309" s="803" t="n"/>
      <c r="I309" s="802" t="n"/>
      <c r="J309" s="1337" t="n"/>
      <c r="K309" s="1337" t="n"/>
      <c r="L309" s="1337" t="n"/>
      <c r="M309" s="1337" t="n"/>
      <c r="N309" s="1338" t="n"/>
    </row>
    <row r="310">
      <c r="A310" s="796" t="n"/>
      <c r="B310" s="797" t="n"/>
      <c r="C310" s="799" t="n"/>
      <c r="D310" s="799" t="n"/>
      <c r="E310" s="799" t="n"/>
      <c r="F310" s="803" t="n"/>
      <c r="G310" s="802" t="n"/>
      <c r="H310" s="803" t="n"/>
      <c r="I310" s="802" t="n"/>
      <c r="J310" s="1337" t="n"/>
      <c r="K310" s="1337" t="n"/>
      <c r="L310" s="1337" t="n"/>
      <c r="M310" s="1337" t="n"/>
      <c r="N310" s="1338" t="n"/>
    </row>
    <row r="311">
      <c r="A311" s="796" t="n"/>
      <c r="B311" s="797" t="n"/>
      <c r="C311" s="799" t="n"/>
      <c r="D311" s="799" t="n"/>
      <c r="E311" s="799" t="n"/>
      <c r="F311" s="803" t="n"/>
      <c r="G311" s="802" t="n"/>
      <c r="H311" s="803" t="n"/>
      <c r="I311" s="802" t="n"/>
      <c r="J311" s="1337" t="n"/>
      <c r="K311" s="1337" t="n"/>
      <c r="L311" s="1337" t="n"/>
      <c r="M311" s="1337" t="n"/>
      <c r="N311" s="1338" t="n"/>
    </row>
    <row r="312">
      <c r="A312" s="796" t="n"/>
      <c r="B312" s="797" t="n"/>
      <c r="C312" s="799" t="n"/>
      <c r="D312" s="799" t="n"/>
      <c r="E312" s="799" t="n"/>
      <c r="H312" s="833" t="n"/>
      <c r="J312" s="1337" t="n"/>
      <c r="K312" s="1337" t="n"/>
      <c r="L312" s="1337" t="n"/>
      <c r="M312" s="1337" t="n"/>
      <c r="N312" s="1338" t="n"/>
    </row>
    <row r="313">
      <c r="A313" s="796" t="n"/>
      <c r="B313" s="797" t="n"/>
      <c r="C313" s="799" t="n"/>
      <c r="D313" s="799" t="n"/>
      <c r="E313" s="799" t="n"/>
      <c r="F313" s="803" t="n"/>
      <c r="G313" s="802" t="n"/>
      <c r="H313" s="803" t="n"/>
      <c r="I313" s="802" t="n"/>
      <c r="J313" s="1337" t="n"/>
      <c r="K313" s="1337" t="n"/>
      <c r="L313" s="1337" t="n"/>
      <c r="M313" s="1337" t="n"/>
      <c r="N313" s="1338" t="n"/>
    </row>
    <row r="314">
      <c r="A314" s="796" t="n"/>
      <c r="B314" s="797" t="n"/>
      <c r="C314" s="799" t="n"/>
      <c r="D314" s="799" t="n"/>
      <c r="E314" s="799" t="n"/>
      <c r="F314" s="803" t="n"/>
      <c r="G314" s="802" t="n"/>
      <c r="H314" s="803" t="n"/>
      <c r="I314" s="802" t="n"/>
      <c r="J314" s="1337" t="n"/>
      <c r="K314" s="1337" t="n"/>
      <c r="L314" s="1337" t="n"/>
      <c r="M314" s="1337" t="n"/>
      <c r="N314" s="1338" t="n"/>
    </row>
    <row r="315">
      <c r="A315" s="796" t="n"/>
      <c r="B315" s="797" t="n"/>
      <c r="C315" s="799" t="n"/>
      <c r="D315" s="799" t="n"/>
      <c r="E315" s="799" t="n"/>
      <c r="F315" s="803" t="n"/>
      <c r="G315" s="802" t="n"/>
      <c r="H315" s="803" t="n"/>
      <c r="I315" s="802" t="n"/>
      <c r="J315" s="1337" t="n"/>
      <c r="K315" s="1337" t="n"/>
      <c r="L315" s="1337" t="n"/>
      <c r="M315" s="1337" t="n"/>
      <c r="N315" s="1338" t="n"/>
    </row>
    <row r="316">
      <c r="A316" s="796" t="n"/>
      <c r="B316" s="797" t="n"/>
      <c r="C316" s="799" t="n"/>
      <c r="D316" s="799" t="n"/>
      <c r="E316" s="799" t="n"/>
      <c r="F316" s="803" t="n"/>
      <c r="G316" s="802" t="n"/>
      <c r="H316" s="803" t="n"/>
      <c r="I316" s="802" t="n"/>
      <c r="J316" s="1337" t="n"/>
      <c r="K316" s="1337" t="n"/>
      <c r="L316" s="1337" t="n"/>
      <c r="M316" s="1337" t="n"/>
      <c r="N316" s="1338" t="n"/>
    </row>
    <row r="317">
      <c r="A317" s="796" t="n"/>
      <c r="B317" s="797" t="n"/>
      <c r="C317" s="799" t="n"/>
      <c r="D317" s="799" t="n"/>
      <c r="E317" s="799" t="n"/>
      <c r="F317" s="803" t="n"/>
      <c r="G317" s="802" t="n"/>
      <c r="H317" s="803" t="n"/>
      <c r="I317" s="802" t="n"/>
      <c r="J317" s="1337" t="n"/>
      <c r="K317" s="1337" t="n"/>
      <c r="L317" s="1337" t="n"/>
      <c r="M317" s="1337" t="n"/>
      <c r="N317" s="1338" t="n"/>
    </row>
    <row r="318">
      <c r="A318" s="796" t="n"/>
      <c r="B318" s="797" t="n"/>
      <c r="C318" s="799" t="n"/>
      <c r="D318" s="799" t="n"/>
      <c r="E318" s="799" t="n"/>
      <c r="F318" s="803" t="n"/>
      <c r="G318" s="802" t="n"/>
      <c r="H318" s="803" t="n"/>
      <c r="I318" s="802" t="n"/>
      <c r="J318" s="1337" t="n"/>
      <c r="K318" s="1337" t="n"/>
      <c r="L318" s="1337" t="n"/>
      <c r="M318" s="1337" t="n"/>
      <c r="N318" s="1338" t="n"/>
    </row>
    <row r="319">
      <c r="A319" s="796" t="n"/>
      <c r="B319" s="797" t="n"/>
      <c r="C319" s="799" t="n"/>
      <c r="D319" s="799" t="n"/>
      <c r="E319" s="799" t="n"/>
      <c r="F319" s="803" t="n"/>
      <c r="G319" s="802" t="n"/>
      <c r="H319" s="803" t="n"/>
      <c r="I319" s="802" t="n"/>
      <c r="J319" s="1337" t="n"/>
      <c r="K319" s="1337" t="n"/>
      <c r="L319" s="1337" t="n"/>
      <c r="M319" s="1337" t="n"/>
      <c r="N319" s="1338" t="n"/>
    </row>
    <row r="320">
      <c r="A320" s="796" t="n"/>
      <c r="B320" s="797" t="n"/>
      <c r="C320" s="799" t="n"/>
      <c r="D320" s="799" t="n"/>
      <c r="E320" s="799" t="n"/>
      <c r="F320" s="803" t="n"/>
      <c r="G320" s="802" t="n"/>
      <c r="H320" s="803" t="n"/>
      <c r="I320" s="802" t="n"/>
      <c r="J320" s="1337" t="n"/>
      <c r="K320" s="1337" t="n"/>
      <c r="L320" s="1337" t="n"/>
      <c r="M320" s="1337" t="n"/>
      <c r="N320" s="1338" t="n"/>
    </row>
    <row r="321">
      <c r="A321" s="796" t="n"/>
      <c r="B321" s="797" t="n"/>
      <c r="C321" s="799" t="n"/>
      <c r="D321" s="799" t="n"/>
      <c r="E321" s="799" t="n"/>
      <c r="F321" s="803" t="n"/>
      <c r="G321" s="802" t="n"/>
      <c r="H321" s="803" t="n"/>
      <c r="I321" s="802" t="n"/>
      <c r="J321" s="1337" t="n"/>
      <c r="K321" s="1337" t="n"/>
      <c r="L321" s="1337" t="n"/>
      <c r="M321" s="1337" t="n"/>
      <c r="N321" s="1338" t="n"/>
    </row>
    <row r="322">
      <c r="A322" s="796" t="n"/>
      <c r="B322" s="797" t="n"/>
      <c r="C322" s="799" t="n"/>
      <c r="D322" s="799" t="n"/>
      <c r="E322" s="799" t="n"/>
      <c r="F322" s="803" t="n"/>
      <c r="G322" s="802" t="n"/>
      <c r="H322" s="803" t="n"/>
      <c r="I322" s="802" t="n"/>
      <c r="J322" s="1337" t="n"/>
      <c r="K322" s="1337" t="n"/>
      <c r="L322" s="1337" t="n"/>
      <c r="M322" s="1337" t="n"/>
      <c r="N322" s="1338" t="n"/>
    </row>
    <row r="323">
      <c r="A323" s="796" t="n"/>
      <c r="B323" s="797" t="n"/>
      <c r="C323" s="799" t="n"/>
      <c r="D323" s="799" t="n"/>
      <c r="E323" s="799" t="n"/>
      <c r="F323" s="803" t="n"/>
      <c r="G323" s="802" t="n"/>
      <c r="H323" s="803" t="n"/>
      <c r="I323" s="802" t="n"/>
      <c r="J323" s="1337" t="n"/>
      <c r="K323" s="1337" t="n"/>
      <c r="L323" s="1337" t="n"/>
      <c r="M323" s="1337" t="n"/>
      <c r="N323" s="1338" t="n"/>
    </row>
    <row r="324">
      <c r="A324" s="796" t="n"/>
      <c r="B324" s="797" t="n"/>
      <c r="C324" s="799" t="n"/>
      <c r="D324" s="799" t="n"/>
      <c r="E324" s="799" t="n"/>
      <c r="F324" s="803" t="n"/>
      <c r="G324" s="802" t="n"/>
      <c r="H324" s="803" t="n"/>
      <c r="I324" s="802" t="n"/>
      <c r="J324" s="1337" t="n"/>
      <c r="K324" s="1337" t="n"/>
      <c r="L324" s="1337" t="n"/>
      <c r="M324" s="1337" t="n"/>
      <c r="N324" s="1338" t="n"/>
    </row>
    <row r="325">
      <c r="A325" s="796" t="n"/>
      <c r="B325" s="797" t="n"/>
      <c r="C325" s="803" t="n"/>
      <c r="D325" s="803" t="n"/>
      <c r="E325" s="803" t="n"/>
      <c r="H325" s="833" t="n"/>
      <c r="I325" s="802" t="n"/>
      <c r="J325" s="1337" t="n"/>
      <c r="K325" s="1337" t="n"/>
      <c r="L325" s="1337" t="n"/>
      <c r="M325" s="1337" t="n"/>
      <c r="N325" s="1338" t="n"/>
    </row>
    <row r="326">
      <c r="A326" s="804" t="n"/>
      <c r="B326" s="797" t="n"/>
      <c r="C326" s="800" t="n"/>
      <c r="D326" s="800" t="n"/>
      <c r="E326" s="800" t="n"/>
      <c r="F326" s="800" t="n"/>
      <c r="I326" s="802" t="n"/>
      <c r="J326" s="1337" t="n"/>
      <c r="K326" s="1337" t="n"/>
      <c r="L326" s="1337" t="n"/>
      <c r="M326" s="1337" t="n"/>
      <c r="N326" s="1338" t="n"/>
    </row>
    <row r="327">
      <c r="A327" s="804" t="n"/>
      <c r="B327" s="805" t="n"/>
      <c r="C327" s="800" t="n"/>
      <c r="D327" s="800" t="n"/>
      <c r="E327" s="800" t="n"/>
      <c r="J327" s="1337" t="n"/>
      <c r="K327" s="1337" t="n"/>
      <c r="L327" s="1337" t="n"/>
      <c r="M327" s="1337" t="n"/>
      <c r="N327" s="1338" t="n"/>
    </row>
    <row r="328">
      <c r="A328" s="804" t="n"/>
      <c r="B328" s="805" t="n"/>
      <c r="C328" s="800" t="n"/>
      <c r="D328" s="800" t="n"/>
      <c r="E328" s="800" t="n"/>
      <c r="J328" s="1337" t="n"/>
      <c r="K328" s="1337" t="n"/>
      <c r="L328" s="1337" t="n"/>
      <c r="M328" s="1337" t="n"/>
      <c r="N328" s="1338" t="n"/>
    </row>
    <row r="329">
      <c r="A329" s="796" t="n"/>
      <c r="B329" s="797" t="n"/>
      <c r="C329" s="803" t="n"/>
      <c r="D329" s="803" t="n"/>
      <c r="E329" s="803" t="n"/>
      <c r="F329" s="803" t="n"/>
      <c r="G329" s="802" t="n"/>
      <c r="H329" s="803" t="n"/>
      <c r="I329" s="802" t="n"/>
      <c r="J329" s="1337" t="n"/>
      <c r="K329" s="1337" t="n"/>
      <c r="L329" s="1337" t="n"/>
      <c r="M329" s="1337" t="n"/>
      <c r="N329" s="1337" t="n"/>
    </row>
    <row r="330">
      <c r="A330" s="796" t="n"/>
      <c r="B330" s="797" t="n"/>
      <c r="C330" s="803" t="n"/>
      <c r="D330" s="803" t="n"/>
      <c r="E330" s="803" t="n"/>
      <c r="F330" s="803" t="n"/>
      <c r="G330" s="802" t="n"/>
      <c r="H330" s="803" t="n"/>
      <c r="I330" s="802" t="n"/>
      <c r="J330" s="1337" t="n"/>
      <c r="K330" s="1337" t="n"/>
      <c r="L330" s="1337" t="n"/>
      <c r="M330" s="1337" t="n"/>
      <c r="N330" s="1337" t="n"/>
    </row>
    <row r="331">
      <c r="A331" s="796" t="n"/>
      <c r="B331" s="797" t="n"/>
      <c r="C331" s="803" t="n"/>
      <c r="D331" s="803" t="n"/>
      <c r="E331" s="803" t="n"/>
      <c r="F331" s="803" t="n"/>
      <c r="G331" s="802" t="n"/>
      <c r="H331" s="803" t="n"/>
      <c r="I331" s="802" t="n"/>
      <c r="J331" s="1337" t="n"/>
      <c r="K331" s="1337" t="n"/>
      <c r="L331" s="1337" t="n"/>
      <c r="M331" s="1337" t="n"/>
      <c r="N331" s="1337" t="n"/>
    </row>
    <row r="332">
      <c r="A332" s="796" t="n"/>
      <c r="B332" s="797" t="n"/>
      <c r="C332" s="803" t="n"/>
      <c r="D332" s="803" t="n"/>
      <c r="E332" s="803" t="n"/>
      <c r="F332" s="803" t="n"/>
      <c r="G332" s="802" t="n"/>
      <c r="H332" s="803" t="n"/>
      <c r="I332" s="802" t="n"/>
      <c r="J332" s="1337" t="n"/>
      <c r="K332" s="1337" t="n"/>
      <c r="L332" s="1337" t="n"/>
      <c r="M332" s="1337" t="n"/>
      <c r="N332" s="1337" t="n"/>
    </row>
    <row r="333">
      <c r="A333" s="796" t="n"/>
      <c r="B333" s="797" t="n"/>
      <c r="C333" s="803" t="n"/>
      <c r="D333" s="803" t="n"/>
      <c r="E333" s="803" t="n"/>
      <c r="F333" s="803" t="n"/>
      <c r="G333" s="802" t="n"/>
      <c r="H333" s="803" t="n"/>
      <c r="I333" s="802" t="n"/>
      <c r="J333" s="1337" t="n"/>
      <c r="K333" s="1337" t="n"/>
      <c r="L333" s="1337" t="n"/>
      <c r="M333" s="1337" t="n"/>
      <c r="N333" s="1337" t="n"/>
    </row>
    <row r="334">
      <c r="A334" s="796" t="n"/>
      <c r="B334" s="797" t="n"/>
      <c r="C334" s="803" t="n"/>
      <c r="D334" s="803" t="n"/>
      <c r="E334" s="803" t="n"/>
      <c r="F334" s="803" t="n"/>
      <c r="G334" s="802" t="n"/>
      <c r="H334" s="803" t="n"/>
      <c r="I334" s="802" t="n"/>
      <c r="J334" s="1337" t="n"/>
      <c r="K334" s="1337" t="n"/>
      <c r="L334" s="1337" t="n"/>
      <c r="M334" s="1337" t="n"/>
      <c r="N334" s="1337" t="n"/>
    </row>
    <row r="335">
      <c r="A335" s="796" t="n"/>
      <c r="B335" s="797" t="n"/>
      <c r="C335" s="803" t="n"/>
      <c r="D335" s="803" t="n"/>
      <c r="E335" s="803" t="n"/>
      <c r="F335" s="803" t="n"/>
      <c r="G335" s="802" t="n"/>
      <c r="H335" s="803" t="n"/>
      <c r="I335" s="802" t="n"/>
      <c r="J335" s="1337" t="n"/>
      <c r="K335" s="1337" t="n"/>
      <c r="L335" s="1337" t="n"/>
      <c r="M335" s="1337" t="n"/>
      <c r="N335" s="1337" t="n"/>
    </row>
    <row r="336">
      <c r="A336" s="834" t="n"/>
      <c r="B336" s="835" t="n"/>
      <c r="C336" s="836" t="n"/>
      <c r="D336" s="836" t="n"/>
      <c r="E336" s="836" t="n"/>
      <c r="F336" s="836" t="n"/>
      <c r="G336" s="837" t="n"/>
      <c r="H336" s="836" t="n"/>
      <c r="I336" s="837" t="n"/>
      <c r="J336" s="1345" t="n"/>
      <c r="K336" s="1337" t="n"/>
      <c r="L336" s="1337" t="n"/>
      <c r="M336" s="1337" t="n"/>
      <c r="N336" s="1345" t="n"/>
    </row>
    <row r="337">
      <c r="A337" s="834" t="n"/>
      <c r="B337" s="835" t="n"/>
      <c r="C337" s="836" t="n"/>
      <c r="D337" s="836" t="n"/>
      <c r="E337" s="836" t="n"/>
      <c r="F337" s="836" t="n"/>
      <c r="G337" s="837" t="n"/>
      <c r="H337" s="836" t="n"/>
      <c r="I337" s="837" t="n"/>
      <c r="J337" s="1345" t="n"/>
      <c r="K337" s="1337" t="n"/>
      <c r="L337" s="1337" t="n"/>
      <c r="M337" s="1337" t="n"/>
      <c r="N337" s="1345" t="n"/>
    </row>
    <row r="338">
      <c r="A338" s="834" t="n"/>
      <c r="B338" s="835" t="n"/>
      <c r="C338" s="836" t="n"/>
      <c r="D338" s="836" t="n"/>
      <c r="E338" s="836" t="n"/>
      <c r="F338" s="836" t="n"/>
      <c r="G338" s="837" t="n"/>
      <c r="H338" s="836" t="n"/>
      <c r="I338" s="837" t="n"/>
      <c r="J338" s="1345" t="n"/>
      <c r="K338" s="1337" t="n"/>
      <c r="L338" s="1337" t="n"/>
      <c r="M338" s="1337" t="n"/>
      <c r="N338" s="1345" t="n"/>
    </row>
    <row r="339">
      <c r="A339" s="834" t="n"/>
      <c r="B339" s="835" t="n"/>
      <c r="C339" s="836" t="n"/>
      <c r="D339" s="836" t="n"/>
      <c r="E339" s="836" t="n"/>
      <c r="F339" s="836" t="n"/>
      <c r="G339" s="837" t="n"/>
      <c r="H339" s="836" t="n"/>
      <c r="I339" s="837" t="n"/>
      <c r="J339" s="1345" t="n"/>
      <c r="K339" s="1337" t="n"/>
      <c r="L339" s="1337" t="n"/>
      <c r="M339" s="1337" t="n"/>
      <c r="N339" s="1345" t="n"/>
    </row>
    <row r="340">
      <c r="A340" s="834" t="n"/>
      <c r="B340" s="835" t="n"/>
      <c r="C340" s="836" t="n"/>
      <c r="D340" s="836" t="n"/>
      <c r="E340" s="836" t="n"/>
      <c r="F340" s="836" t="n"/>
      <c r="G340" s="837" t="n"/>
      <c r="H340" s="836" t="n"/>
      <c r="I340" s="837" t="n"/>
      <c r="J340" s="1345" t="n"/>
      <c r="K340" s="1337" t="n"/>
      <c r="L340" s="1337" t="n"/>
      <c r="M340" s="1337" t="n"/>
      <c r="N340" s="1345" t="n"/>
    </row>
    <row r="341">
      <c r="A341" s="834" t="n"/>
      <c r="B341" s="835" t="n"/>
      <c r="C341" s="836" t="n"/>
      <c r="D341" s="836" t="n"/>
      <c r="E341" s="836" t="n"/>
      <c r="F341" s="836" t="n"/>
      <c r="G341" s="837" t="n"/>
      <c r="H341" s="836" t="n"/>
      <c r="I341" s="837" t="n"/>
      <c r="J341" s="1345" t="n"/>
      <c r="K341" s="1337" t="n"/>
      <c r="L341" s="1337" t="n"/>
      <c r="M341" s="1337" t="n"/>
      <c r="N341" s="1345" t="n"/>
    </row>
    <row r="342">
      <c r="A342" s="834" t="n"/>
      <c r="B342" s="835" t="n"/>
      <c r="C342" s="836" t="n"/>
      <c r="D342" s="836" t="n"/>
      <c r="E342" s="836" t="n"/>
      <c r="F342" s="836" t="n"/>
      <c r="G342" s="837" t="n"/>
      <c r="H342" s="836" t="n"/>
      <c r="I342" s="837" t="n"/>
      <c r="J342" s="1345" t="n"/>
      <c r="K342" s="1337" t="n"/>
      <c r="L342" s="1337" t="n"/>
      <c r="M342" s="1337" t="n"/>
      <c r="N342" s="1345" t="n"/>
    </row>
    <row r="343">
      <c r="A343" s="834" t="n"/>
      <c r="B343" s="835" t="n"/>
      <c r="C343" s="836" t="n"/>
      <c r="D343" s="836" t="n"/>
      <c r="E343" s="836" t="n"/>
      <c r="F343" s="836" t="n"/>
      <c r="G343" s="837" t="n"/>
      <c r="H343" s="836" t="n"/>
      <c r="I343" s="837" t="n"/>
      <c r="J343" s="1345" t="n"/>
      <c r="K343" s="1345" t="n"/>
      <c r="L343" s="1345" t="n"/>
      <c r="M343" s="1345" t="n"/>
      <c r="N343" s="1345" t="n"/>
    </row>
    <row r="344">
      <c r="A344" s="834" t="n"/>
      <c r="B344" s="835" t="n"/>
      <c r="C344" s="836" t="n"/>
      <c r="D344" s="836" t="n"/>
      <c r="E344" s="836" t="n"/>
      <c r="F344" s="836" t="n"/>
      <c r="G344" s="837" t="n"/>
      <c r="H344" s="836" t="n"/>
      <c r="I344" s="837" t="n"/>
      <c r="J344" s="1345" t="n"/>
      <c r="K344" s="1345" t="n"/>
      <c r="L344" s="1345" t="n"/>
      <c r="M344" s="1345" t="n"/>
      <c r="N344" s="1345" t="n"/>
    </row>
    <row r="345">
      <c r="A345" s="834" t="n"/>
      <c r="B345" s="835" t="n"/>
      <c r="C345" s="836" t="n"/>
      <c r="D345" s="836" t="n"/>
      <c r="E345" s="836" t="n"/>
      <c r="F345" s="836" t="n"/>
      <c r="G345" s="837" t="n"/>
      <c r="H345" s="836" t="n"/>
      <c r="I345" s="837" t="n"/>
      <c r="J345" s="1345" t="n"/>
      <c r="K345" s="1345" t="n"/>
      <c r="L345" s="1345" t="n"/>
      <c r="M345" s="1345" t="n"/>
      <c r="N345" s="1345" t="n"/>
    </row>
    <row r="346">
      <c r="A346" s="834" t="n"/>
      <c r="B346" s="835" t="n"/>
      <c r="C346" s="836" t="n"/>
      <c r="D346" s="836" t="n"/>
      <c r="E346" s="836" t="n"/>
      <c r="F346" s="836" t="n"/>
      <c r="G346" s="837" t="n"/>
      <c r="H346" s="836" t="n"/>
      <c r="I346" s="837" t="n"/>
      <c r="J346" s="1345" t="n"/>
      <c r="K346" s="1345" t="n"/>
      <c r="L346" s="1345" t="n"/>
      <c r="M346" s="1345" t="n"/>
      <c r="N346" s="1345" t="n"/>
    </row>
    <row r="347">
      <c r="A347" s="834" t="n"/>
      <c r="B347" s="835" t="n"/>
      <c r="C347" s="836" t="n"/>
      <c r="D347" s="836" t="n"/>
      <c r="E347" s="836" t="n"/>
      <c r="F347" s="836" t="n"/>
      <c r="G347" s="837" t="n"/>
      <c r="H347" s="836" t="n"/>
      <c r="I347" s="837" t="n"/>
      <c r="J347" s="1345" t="n"/>
      <c r="K347" s="1345" t="n"/>
      <c r="L347" s="1345" t="n"/>
      <c r="M347" s="1345" t="n"/>
      <c r="N347" s="1345" t="n"/>
    </row>
    <row r="348">
      <c r="A348" s="834" t="n"/>
      <c r="B348" s="835" t="n"/>
      <c r="C348" s="836" t="n"/>
      <c r="D348" s="836" t="n"/>
      <c r="E348" s="836" t="n"/>
      <c r="F348" s="836" t="n"/>
      <c r="G348" s="837" t="n"/>
      <c r="H348" s="836" t="n"/>
      <c r="I348" s="837" t="n"/>
      <c r="J348" s="1345" t="n"/>
      <c r="K348" s="1345" t="n"/>
      <c r="L348" s="1345" t="n"/>
      <c r="M348" s="1345" t="n"/>
      <c r="N348" s="1345" t="n"/>
    </row>
    <row r="349">
      <c r="A349" s="834" t="n"/>
      <c r="B349" s="835" t="n"/>
      <c r="C349" s="836" t="n"/>
      <c r="D349" s="836" t="n"/>
      <c r="E349" s="836" t="n"/>
      <c r="F349" s="836" t="n"/>
      <c r="G349" s="837" t="n"/>
      <c r="H349" s="836" t="n"/>
      <c r="I349" s="837" t="n"/>
      <c r="J349" s="1345" t="n"/>
      <c r="K349" s="1345" t="n"/>
      <c r="L349" s="1345" t="n"/>
      <c r="M349" s="1345" t="n"/>
      <c r="N349" s="1345" t="n"/>
    </row>
    <row r="350">
      <c r="A350" s="834" t="n"/>
      <c r="B350" s="835" t="n"/>
      <c r="C350" s="836" t="n"/>
      <c r="D350" s="836" t="n"/>
      <c r="E350" s="836" t="n"/>
      <c r="F350" s="836" t="n"/>
      <c r="G350" s="837" t="n"/>
      <c r="H350" s="836" t="n"/>
      <c r="I350" s="837" t="n"/>
      <c r="J350" s="1345" t="n"/>
      <c r="K350" s="1345" t="n"/>
      <c r="L350" s="1345" t="n"/>
      <c r="M350" s="1345" t="n"/>
      <c r="N350" s="1345" t="n"/>
    </row>
    <row r="351">
      <c r="A351" s="834" t="n"/>
      <c r="B351" s="835" t="n"/>
      <c r="C351" s="836" t="n"/>
      <c r="D351" s="836" t="n"/>
      <c r="E351" s="836" t="n"/>
      <c r="F351" s="836" t="n"/>
      <c r="G351" s="837" t="n"/>
      <c r="H351" s="836" t="n"/>
      <c r="I351" s="837" t="n"/>
      <c r="J351" s="1345" t="n"/>
      <c r="K351" s="1345" t="n"/>
      <c r="L351" s="1345" t="n"/>
      <c r="M351" s="1345" t="n"/>
      <c r="N351" s="1345" t="n"/>
    </row>
    <row r="352">
      <c r="A352" s="834" t="n"/>
      <c r="B352" s="835" t="n"/>
      <c r="C352" s="836" t="n"/>
      <c r="D352" s="836" t="n"/>
      <c r="E352" s="836" t="n"/>
      <c r="F352" s="836" t="n"/>
      <c r="G352" s="837" t="n"/>
      <c r="H352" s="836" t="n"/>
      <c r="I352" s="837" t="n"/>
      <c r="J352" s="1345" t="n"/>
      <c r="K352" s="1345" t="n"/>
      <c r="L352" s="1345" t="n"/>
      <c r="M352" s="1345" t="n"/>
      <c r="N352" s="1345" t="n"/>
    </row>
    <row r="353">
      <c r="A353" s="834" t="n"/>
      <c r="B353" s="835" t="n"/>
      <c r="C353" s="836" t="n"/>
      <c r="D353" s="836" t="n"/>
      <c r="E353" s="836" t="n"/>
      <c r="F353" s="836" t="n"/>
      <c r="G353" s="837" t="n"/>
      <c r="H353" s="836" t="n"/>
      <c r="I353" s="837" t="n"/>
      <c r="J353" s="1345" t="n"/>
      <c r="K353" s="1345" t="n"/>
      <c r="L353" s="1345" t="n"/>
      <c r="M353" s="1345" t="n"/>
      <c r="N353" s="1345" t="n"/>
    </row>
    <row r="354">
      <c r="A354" s="834" t="n"/>
      <c r="B354" s="835" t="n"/>
      <c r="C354" s="836" t="n"/>
      <c r="D354" s="836" t="n"/>
      <c r="E354" s="836" t="n"/>
      <c r="F354" s="836" t="n"/>
      <c r="G354" s="837" t="n"/>
      <c r="H354" s="836" t="n"/>
      <c r="I354" s="837" t="n"/>
      <c r="J354" s="1345" t="n"/>
      <c r="K354" s="1345" t="n"/>
      <c r="L354" s="1345" t="n"/>
      <c r="M354" s="1345" t="n"/>
      <c r="N354" s="1345" t="n"/>
    </row>
    <row r="355">
      <c r="A355" s="834" t="n"/>
      <c r="B355" s="835" t="n"/>
      <c r="C355" s="836" t="n"/>
      <c r="D355" s="836" t="n"/>
      <c r="E355" s="836" t="n"/>
      <c r="F355" s="836" t="n"/>
      <c r="G355" s="837" t="n"/>
      <c r="H355" s="836" t="n"/>
      <c r="I355" s="837" t="n"/>
      <c r="J355" s="1345" t="n"/>
      <c r="K355" s="1345" t="n"/>
      <c r="L355" s="1345" t="n"/>
      <c r="M355" s="1345" t="n"/>
      <c r="N355" s="1345" t="n"/>
    </row>
    <row r="356">
      <c r="A356" s="834" t="n"/>
      <c r="B356" s="835" t="n"/>
      <c r="C356" s="836" t="n"/>
      <c r="D356" s="836" t="n"/>
      <c r="E356" s="836" t="n"/>
      <c r="F356" s="836" t="n"/>
      <c r="G356" s="837" t="n"/>
      <c r="H356" s="836" t="n"/>
      <c r="I356" s="837" t="n"/>
      <c r="J356" s="1345" t="n"/>
      <c r="K356" s="1345" t="n"/>
      <c r="L356" s="1345" t="n"/>
      <c r="M356" s="1345" t="n"/>
      <c r="N356" s="1345" t="n"/>
    </row>
    <row r="357">
      <c r="A357" s="834" t="n"/>
      <c r="B357" s="835" t="n"/>
      <c r="C357" s="836" t="n"/>
      <c r="D357" s="836" t="n"/>
      <c r="E357" s="836" t="n"/>
      <c r="F357" s="836" t="n"/>
      <c r="G357" s="837" t="n"/>
      <c r="H357" s="836" t="n"/>
      <c r="I357" s="837" t="n"/>
      <c r="J357" s="1345" t="n"/>
      <c r="K357" s="1345" t="n"/>
      <c r="L357" s="1345" t="n"/>
      <c r="M357" s="1345" t="n"/>
      <c r="N357" s="1345" t="n"/>
    </row>
    <row r="358">
      <c r="A358" s="834" t="n"/>
      <c r="B358" s="835" t="n"/>
      <c r="C358" s="836" t="n"/>
      <c r="D358" s="836" t="n"/>
      <c r="E358" s="836" t="n"/>
      <c r="F358" s="836" t="n"/>
      <c r="G358" s="837" t="n"/>
      <c r="H358" s="836" t="n"/>
      <c r="I358" s="837" t="n"/>
      <c r="J358" s="1345" t="n"/>
      <c r="K358" s="1345" t="n"/>
      <c r="L358" s="1345" t="n"/>
      <c r="M358" s="1345" t="n"/>
      <c r="N358" s="1345" t="n"/>
    </row>
    <row r="359">
      <c r="A359" s="834" t="n"/>
      <c r="B359" s="835" t="n"/>
      <c r="C359" s="836" t="n"/>
      <c r="D359" s="836" t="n"/>
      <c r="E359" s="836" t="n"/>
      <c r="F359" s="836" t="n"/>
      <c r="G359" s="837" t="n"/>
      <c r="H359" s="836" t="n"/>
      <c r="I359" s="837" t="n"/>
      <c r="J359" s="1345" t="n"/>
      <c r="K359" s="1345" t="n"/>
      <c r="L359" s="1345" t="n"/>
      <c r="M359" s="1345" t="n"/>
      <c r="N359" s="1345" t="n"/>
    </row>
    <row r="360">
      <c r="A360" s="834" t="n"/>
      <c r="B360" s="835" t="n"/>
      <c r="C360" s="836" t="n"/>
      <c r="D360" s="836" t="n"/>
      <c r="E360" s="836" t="n"/>
      <c r="F360" s="836" t="n"/>
      <c r="G360" s="837" t="n"/>
      <c r="H360" s="836" t="n"/>
      <c r="I360" s="837" t="n"/>
      <c r="J360" s="1345" t="n"/>
      <c r="K360" s="1345" t="n"/>
      <c r="L360" s="1345" t="n"/>
      <c r="M360" s="1345" t="n"/>
      <c r="N360" s="1345" t="n"/>
    </row>
    <row r="361">
      <c r="A361" s="834" t="n"/>
      <c r="B361" s="835" t="n"/>
      <c r="C361" s="836" t="n"/>
      <c r="D361" s="836" t="n"/>
      <c r="E361" s="836" t="n"/>
      <c r="F361" s="836" t="n"/>
      <c r="G361" s="837" t="n"/>
      <c r="H361" s="836" t="n"/>
      <c r="I361" s="837" t="n"/>
      <c r="J361" s="1345" t="n"/>
      <c r="K361" s="1345" t="n"/>
      <c r="L361" s="1345" t="n"/>
      <c r="M361" s="1345" t="n"/>
      <c r="N361" s="1345" t="n"/>
    </row>
    <row r="362">
      <c r="A362" s="834" t="n"/>
      <c r="B362" s="835" t="n"/>
      <c r="C362" s="836" t="n"/>
      <c r="D362" s="836" t="n"/>
      <c r="E362" s="836" t="n"/>
      <c r="F362" s="836" t="n"/>
      <c r="G362" s="837" t="n"/>
      <c r="H362" s="836" t="n"/>
      <c r="I362" s="837" t="n"/>
      <c r="J362" s="1345" t="n"/>
      <c r="K362" s="1345" t="n"/>
      <c r="L362" s="1345" t="n"/>
      <c r="M362" s="1345" t="n"/>
      <c r="N362" s="1345" t="n"/>
    </row>
    <row r="363">
      <c r="A363" s="834" t="n"/>
      <c r="B363" s="835" t="n"/>
      <c r="C363" s="836" t="n"/>
      <c r="D363" s="836" t="n"/>
      <c r="E363" s="836" t="n"/>
      <c r="F363" s="836" t="n"/>
      <c r="G363" s="837" t="n"/>
      <c r="H363" s="836" t="n"/>
      <c r="I363" s="837" t="n"/>
      <c r="J363" s="1345" t="n"/>
      <c r="K363" s="1345" t="n"/>
      <c r="L363" s="1345" t="n"/>
      <c r="M363" s="1345" t="n"/>
      <c r="N363" s="1345" t="n"/>
    </row>
    <row r="364">
      <c r="A364" s="834" t="n"/>
      <c r="B364" s="835" t="n"/>
      <c r="C364" s="836" t="n"/>
      <c r="D364" s="836" t="n"/>
      <c r="E364" s="836" t="n"/>
      <c r="F364" s="836" t="n"/>
      <c r="G364" s="837" t="n"/>
      <c r="H364" s="836" t="n"/>
      <c r="I364" s="837" t="n"/>
      <c r="J364" s="1345" t="n"/>
      <c r="K364" s="1345" t="n"/>
      <c r="L364" s="1345" t="n"/>
      <c r="M364" s="1345" t="n"/>
      <c r="N364" s="1345" t="n"/>
    </row>
    <row r="365">
      <c r="A365" s="834" t="n"/>
      <c r="B365" s="835" t="n"/>
      <c r="C365" s="836" t="n"/>
      <c r="D365" s="836" t="n"/>
      <c r="E365" s="836" t="n"/>
      <c r="F365" s="836" t="n"/>
      <c r="G365" s="837" t="n"/>
      <c r="H365" s="836" t="n"/>
      <c r="I365" s="837" t="n"/>
      <c r="J365" s="1345" t="n"/>
      <c r="K365" s="1345" t="n"/>
      <c r="L365" s="1345" t="n"/>
      <c r="M365" s="1345" t="n"/>
      <c r="N365" s="1345" t="n"/>
    </row>
    <row r="366">
      <c r="A366" s="834" t="n"/>
      <c r="B366" s="835" t="n"/>
      <c r="C366" s="836" t="n"/>
      <c r="D366" s="836" t="n"/>
      <c r="E366" s="836" t="n"/>
      <c r="F366" s="836" t="n"/>
      <c r="G366" s="837" t="n"/>
      <c r="H366" s="836" t="n"/>
      <c r="I366" s="837" t="n"/>
      <c r="J366" s="1345" t="n"/>
      <c r="K366" s="1345" t="n"/>
      <c r="L366" s="1345" t="n"/>
      <c r="M366" s="1345" t="n"/>
      <c r="N366" s="1345" t="n"/>
    </row>
    <row r="367">
      <c r="A367" s="834" t="n"/>
      <c r="B367" s="835" t="n"/>
      <c r="C367" s="836" t="n"/>
      <c r="D367" s="836" t="n"/>
      <c r="E367" s="836" t="n"/>
      <c r="F367" s="836" t="n"/>
      <c r="G367" s="837" t="n"/>
      <c r="H367" s="836" t="n"/>
      <c r="I367" s="837" t="n"/>
      <c r="J367" s="1345" t="n"/>
      <c r="K367" s="1345" t="n"/>
      <c r="L367" s="1345" t="n"/>
      <c r="M367" s="1345" t="n"/>
      <c r="N367" s="1345" t="n"/>
    </row>
    <row r="368">
      <c r="A368" s="834" t="n"/>
      <c r="B368" s="835" t="n"/>
      <c r="C368" s="836" t="n"/>
      <c r="D368" s="836" t="n"/>
      <c r="E368" s="836" t="n"/>
      <c r="F368" s="836" t="n"/>
      <c r="G368" s="837" t="n"/>
      <c r="H368" s="836" t="n"/>
      <c r="I368" s="837" t="n"/>
      <c r="J368" s="1345" t="n"/>
      <c r="K368" s="1345" t="n"/>
      <c r="L368" s="1345" t="n"/>
      <c r="M368" s="1345" t="n"/>
      <c r="N368" s="1345" t="n"/>
    </row>
    <row r="369">
      <c r="A369" s="834" t="n"/>
      <c r="B369" s="835" t="n"/>
      <c r="C369" s="836" t="n"/>
      <c r="D369" s="836" t="n"/>
      <c r="E369" s="836" t="n"/>
      <c r="F369" s="836" t="n"/>
      <c r="G369" s="837" t="n"/>
      <c r="H369" s="836" t="n"/>
      <c r="I369" s="837" t="n"/>
      <c r="J369" s="1345" t="n"/>
      <c r="K369" s="1345" t="n"/>
      <c r="L369" s="1345" t="n"/>
      <c r="M369" s="1345" t="n"/>
      <c r="N369" s="1345" t="n"/>
    </row>
    <row r="370">
      <c r="A370" s="834" t="n"/>
      <c r="B370" s="835" t="n"/>
      <c r="C370" s="836" t="n"/>
      <c r="D370" s="836" t="n"/>
      <c r="E370" s="836" t="n"/>
      <c r="F370" s="836" t="n"/>
      <c r="G370" s="837" t="n"/>
      <c r="H370" s="836" t="n"/>
      <c r="I370" s="837" t="n"/>
      <c r="J370" s="1345" t="n"/>
      <c r="K370" s="1345" t="n"/>
      <c r="L370" s="1345" t="n"/>
      <c r="M370" s="1345" t="n"/>
      <c r="N370" s="1345" t="n"/>
    </row>
    <row r="371">
      <c r="A371" s="834" t="n"/>
      <c r="B371" s="835" t="n"/>
      <c r="C371" s="836" t="n"/>
      <c r="D371" s="836" t="n"/>
      <c r="E371" s="836" t="n"/>
      <c r="F371" s="836" t="n"/>
      <c r="G371" s="837" t="n"/>
      <c r="H371" s="836" t="n"/>
      <c r="I371" s="837" t="n"/>
      <c r="J371" s="1345" t="n"/>
      <c r="K371" s="1345" t="n"/>
      <c r="L371" s="1345" t="n"/>
      <c r="M371" s="1345" t="n"/>
      <c r="N371" s="1345" t="n"/>
    </row>
    <row r="372">
      <c r="A372" s="834" t="n"/>
      <c r="B372" s="835" t="n"/>
      <c r="C372" s="836" t="n"/>
      <c r="D372" s="836" t="n"/>
      <c r="E372" s="836" t="n"/>
      <c r="F372" s="836" t="n"/>
      <c r="G372" s="837" t="n"/>
      <c r="H372" s="836" t="n"/>
      <c r="I372" s="837" t="n"/>
      <c r="J372" s="1345" t="n"/>
      <c r="K372" s="1345" t="n"/>
      <c r="L372" s="1345" t="n"/>
      <c r="M372" s="1345" t="n"/>
      <c r="N372" s="1345" t="n"/>
    </row>
    <row r="373">
      <c r="A373" s="834" t="n"/>
      <c r="B373" s="835" t="n"/>
      <c r="C373" s="836" t="n"/>
      <c r="D373" s="836" t="n"/>
      <c r="E373" s="836" t="n"/>
      <c r="F373" s="836" t="n"/>
      <c r="G373" s="837" t="n"/>
      <c r="H373" s="836" t="n"/>
      <c r="I373" s="837" t="n"/>
      <c r="J373" s="1345" t="n"/>
      <c r="K373" s="1345" t="n"/>
      <c r="L373" s="1345" t="n"/>
      <c r="M373" s="1345" t="n"/>
      <c r="N373" s="1345" t="n"/>
    </row>
    <row r="374">
      <c r="A374" s="834" t="n"/>
      <c r="B374" s="835" t="n"/>
      <c r="C374" s="836" t="n"/>
      <c r="D374" s="836" t="n"/>
      <c r="E374" s="836" t="n"/>
      <c r="F374" s="836" t="n"/>
      <c r="G374" s="837" t="n"/>
      <c r="H374" s="836" t="n"/>
      <c r="I374" s="837" t="n"/>
      <c r="J374" s="1345" t="n"/>
      <c r="K374" s="1345" t="n"/>
      <c r="L374" s="1345" t="n"/>
      <c r="M374" s="1345" t="n"/>
      <c r="N374" s="1345" t="n"/>
    </row>
    <row r="375">
      <c r="A375" s="834" t="n"/>
      <c r="B375" s="835" t="n"/>
      <c r="C375" s="836" t="n"/>
      <c r="D375" s="836" t="n"/>
      <c r="E375" s="836" t="n"/>
      <c r="F375" s="836" t="n"/>
      <c r="G375" s="837" t="n"/>
      <c r="H375" s="836" t="n"/>
      <c r="I375" s="837" t="n"/>
      <c r="J375" s="1345" t="n"/>
      <c r="K375" s="1345" t="n"/>
      <c r="L375" s="1345" t="n"/>
      <c r="M375" s="1345" t="n"/>
      <c r="N375" s="1345" t="n"/>
    </row>
    <row r="376">
      <c r="A376" s="834" t="n"/>
      <c r="B376" s="835" t="n"/>
      <c r="C376" s="836" t="n"/>
      <c r="D376" s="836" t="n"/>
      <c r="E376" s="836" t="n"/>
      <c r="F376" s="836" t="n"/>
      <c r="G376" s="837" t="n"/>
      <c r="H376" s="836" t="n"/>
      <c r="I376" s="837" t="n"/>
      <c r="J376" s="1345" t="n"/>
      <c r="K376" s="1345" t="n"/>
      <c r="L376" s="1345" t="n"/>
      <c r="M376" s="1345" t="n"/>
      <c r="N376" s="1345" t="n"/>
    </row>
    <row r="377">
      <c r="A377" s="834" t="n"/>
      <c r="B377" s="835" t="n"/>
      <c r="C377" s="836" t="n"/>
      <c r="D377" s="836" t="n"/>
      <c r="E377" s="836" t="n"/>
      <c r="F377" s="836" t="n"/>
      <c r="G377" s="837" t="n"/>
      <c r="H377" s="836" t="n"/>
      <c r="I377" s="837" t="n"/>
      <c r="J377" s="1345" t="n"/>
      <c r="K377" s="1345" t="n"/>
      <c r="L377" s="1345" t="n"/>
      <c r="M377" s="1345" t="n"/>
      <c r="N377" s="1345" t="n"/>
    </row>
    <row r="378">
      <c r="A378" s="834" t="n"/>
      <c r="B378" s="835" t="n"/>
      <c r="C378" s="836" t="n"/>
      <c r="D378" s="836" t="n"/>
      <c r="E378" s="836" t="n"/>
      <c r="F378" s="836" t="n"/>
      <c r="G378" s="837" t="n"/>
      <c r="H378" s="836" t="n"/>
      <c r="I378" s="837" t="n"/>
      <c r="J378" s="1345" t="n"/>
      <c r="K378" s="1345" t="n"/>
      <c r="L378" s="1345" t="n"/>
      <c r="M378" s="1345" t="n"/>
      <c r="N378" s="1345" t="n"/>
    </row>
    <row r="379">
      <c r="A379" s="834" t="n"/>
      <c r="B379" s="835" t="n"/>
      <c r="C379" s="836" t="n"/>
      <c r="D379" s="836" t="n"/>
      <c r="E379" s="836" t="n"/>
      <c r="F379" s="836" t="n"/>
      <c r="G379" s="837" t="n"/>
      <c r="H379" s="836" t="n"/>
      <c r="I379" s="837" t="n"/>
      <c r="J379" s="1345" t="n"/>
      <c r="K379" s="1345" t="n"/>
      <c r="L379" s="1345" t="n"/>
      <c r="M379" s="1345" t="n"/>
      <c r="N379" s="1345" t="n"/>
    </row>
    <row r="380">
      <c r="A380" s="834" t="n"/>
      <c r="B380" s="835" t="n"/>
      <c r="C380" s="836" t="n"/>
      <c r="D380" s="836" t="n"/>
      <c r="E380" s="836" t="n"/>
      <c r="F380" s="836" t="n"/>
      <c r="G380" s="837" t="n"/>
      <c r="H380" s="836" t="n"/>
      <c r="I380" s="837" t="n"/>
      <c r="J380" s="1345" t="n"/>
      <c r="K380" s="1345" t="n"/>
      <c r="L380" s="1345" t="n"/>
      <c r="M380" s="1345" t="n"/>
      <c r="N380" s="1345" t="n"/>
    </row>
    <row r="381">
      <c r="A381" s="834" t="n"/>
      <c r="B381" s="835" t="n"/>
      <c r="C381" s="836" t="n"/>
      <c r="D381" s="836" t="n"/>
      <c r="E381" s="836" t="n"/>
      <c r="F381" s="836" t="n"/>
      <c r="G381" s="837" t="n"/>
      <c r="H381" s="836" t="n"/>
      <c r="I381" s="837" t="n"/>
      <c r="J381" s="1345" t="n"/>
      <c r="K381" s="1345" t="n"/>
      <c r="L381" s="1345" t="n"/>
      <c r="M381" s="1345" t="n"/>
      <c r="N381" s="1345" t="n"/>
    </row>
    <row r="382">
      <c r="A382" s="834" t="n"/>
      <c r="B382" s="835" t="n"/>
      <c r="C382" s="836" t="n"/>
      <c r="D382" s="836" t="n"/>
      <c r="E382" s="836" t="n"/>
      <c r="F382" s="836" t="n"/>
      <c r="G382" s="837" t="n"/>
      <c r="H382" s="836" t="n"/>
      <c r="I382" s="837" t="n"/>
      <c r="J382" s="1345" t="n"/>
      <c r="K382" s="1345" t="n"/>
      <c r="L382" s="1345" t="n"/>
      <c r="M382" s="1345" t="n"/>
      <c r="N382" s="1345" t="n"/>
    </row>
    <row r="383">
      <c r="A383" s="834" t="n"/>
      <c r="B383" s="835" t="n"/>
      <c r="C383" s="836" t="n"/>
      <c r="D383" s="836" t="n"/>
      <c r="E383" s="836" t="n"/>
      <c r="F383" s="836" t="n"/>
      <c r="G383" s="837" t="n"/>
      <c r="H383" s="836" t="n"/>
      <c r="I383" s="837" t="n"/>
      <c r="J383" s="1345" t="n"/>
      <c r="K383" s="1345" t="n"/>
      <c r="L383" s="1345" t="n"/>
      <c r="M383" s="1345" t="n"/>
      <c r="N383" s="1345" t="n"/>
    </row>
    <row r="384">
      <c r="A384" s="834" t="n"/>
      <c r="B384" s="835" t="n"/>
      <c r="C384" s="836" t="n"/>
      <c r="D384" s="836" t="n"/>
      <c r="E384" s="836" t="n"/>
      <c r="F384" s="836" t="n"/>
      <c r="G384" s="837" t="n"/>
      <c r="H384" s="836" t="n"/>
      <c r="I384" s="837" t="n"/>
      <c r="J384" s="1345" t="n"/>
      <c r="K384" s="1345" t="n"/>
      <c r="L384" s="1345" t="n"/>
      <c r="M384" s="1345" t="n"/>
      <c r="N384" s="1345" t="n"/>
    </row>
    <row r="385">
      <c r="A385" s="834" t="n"/>
      <c r="B385" s="835" t="n"/>
      <c r="C385" s="836" t="n"/>
      <c r="D385" s="836" t="n"/>
      <c r="E385" s="836" t="n"/>
      <c r="F385" s="836" t="n"/>
      <c r="G385" s="837" t="n"/>
      <c r="H385" s="836" t="n"/>
      <c r="I385" s="837" t="n"/>
      <c r="J385" s="1345" t="n"/>
      <c r="K385" s="1345" t="n"/>
      <c r="L385" s="1345" t="n"/>
      <c r="M385" s="1345" t="n"/>
      <c r="N385" s="1345" t="n"/>
    </row>
    <row r="386">
      <c r="A386" s="834" t="n"/>
      <c r="B386" s="835" t="n"/>
      <c r="C386" s="836" t="n"/>
      <c r="D386" s="836" t="n"/>
      <c r="E386" s="836" t="n"/>
      <c r="F386" s="836" t="n"/>
      <c r="G386" s="837" t="n"/>
      <c r="H386" s="836" t="n"/>
      <c r="I386" s="837" t="n"/>
      <c r="J386" s="1345" t="n"/>
      <c r="K386" s="1345" t="n"/>
      <c r="L386" s="1345" t="n"/>
      <c r="M386" s="1345" t="n"/>
      <c r="N386" s="1345" t="n"/>
    </row>
    <row r="387">
      <c r="A387" s="834" t="n"/>
      <c r="B387" s="835" t="n"/>
      <c r="C387" s="836" t="n"/>
      <c r="D387" s="836" t="n"/>
      <c r="E387" s="836" t="n"/>
      <c r="F387" s="836" t="n"/>
      <c r="G387" s="837" t="n"/>
      <c r="H387" s="836" t="n"/>
      <c r="I387" s="837" t="n"/>
      <c r="J387" s="1345" t="n"/>
      <c r="K387" s="1345" t="n"/>
      <c r="L387" s="1345" t="n"/>
      <c r="M387" s="1345" t="n"/>
      <c r="N387" s="1345" t="n"/>
    </row>
    <row r="388">
      <c r="A388" s="834" t="n"/>
      <c r="B388" s="835" t="n"/>
      <c r="C388" s="836" t="n"/>
      <c r="D388" s="836" t="n"/>
      <c r="E388" s="836" t="n"/>
      <c r="F388" s="836" t="n"/>
      <c r="G388" s="837" t="n"/>
      <c r="H388" s="836" t="n"/>
      <c r="I388" s="837" t="n"/>
      <c r="J388" s="1345" t="n"/>
      <c r="K388" s="1345" t="n"/>
      <c r="L388" s="1345" t="n"/>
      <c r="M388" s="1345" t="n"/>
      <c r="N388" s="1345" t="n"/>
    </row>
    <row r="389">
      <c r="A389" s="834" t="n"/>
      <c r="B389" s="835" t="n"/>
      <c r="C389" s="836" t="n"/>
      <c r="D389" s="836" t="n"/>
      <c r="E389" s="836" t="n"/>
      <c r="F389" s="836" t="n"/>
      <c r="G389" s="837" t="n"/>
      <c r="H389" s="836" t="n"/>
      <c r="I389" s="837" t="n"/>
      <c r="J389" s="1345" t="n"/>
      <c r="K389" s="1345" t="n"/>
      <c r="L389" s="1345" t="n"/>
      <c r="M389" s="1345" t="n"/>
      <c r="N389" s="1345" t="n"/>
    </row>
    <row r="390">
      <c r="A390" s="834" t="n"/>
      <c r="B390" s="835" t="n"/>
      <c r="C390" s="836" t="n"/>
      <c r="D390" s="836" t="n"/>
      <c r="E390" s="836" t="n"/>
      <c r="F390" s="836" t="n"/>
      <c r="G390" s="837" t="n"/>
      <c r="H390" s="836" t="n"/>
      <c r="I390" s="837" t="n"/>
      <c r="J390" s="1345" t="n"/>
      <c r="K390" s="1345" t="n"/>
      <c r="L390" s="1345" t="n"/>
      <c r="M390" s="1345" t="n"/>
      <c r="N390" s="1345" t="n"/>
    </row>
    <row r="391">
      <c r="A391" s="834" t="n"/>
      <c r="B391" s="835" t="n"/>
      <c r="C391" s="836" t="n"/>
      <c r="D391" s="836" t="n"/>
      <c r="E391" s="836" t="n"/>
      <c r="F391" s="836" t="n"/>
      <c r="G391" s="837" t="n"/>
      <c r="H391" s="836" t="n"/>
      <c r="I391" s="837" t="n"/>
      <c r="J391" s="1345" t="n"/>
      <c r="K391" s="1345" t="n"/>
      <c r="L391" s="1345" t="n"/>
      <c r="M391" s="1345" t="n"/>
      <c r="N391" s="1345" t="n"/>
    </row>
    <row r="392">
      <c r="A392" s="834" t="n"/>
      <c r="B392" s="835" t="n"/>
      <c r="C392" s="836" t="n"/>
      <c r="D392" s="836" t="n"/>
      <c r="E392" s="836" t="n"/>
      <c r="F392" s="836" t="n"/>
      <c r="G392" s="837" t="n"/>
      <c r="H392" s="836" t="n"/>
      <c r="I392" s="837" t="n"/>
      <c r="J392" s="1345" t="n"/>
      <c r="K392" s="1345" t="n"/>
      <c r="L392" s="1345" t="n"/>
      <c r="M392" s="1345" t="n"/>
      <c r="N392" s="1345" t="n"/>
    </row>
    <row r="393">
      <c r="A393" s="834" t="n"/>
      <c r="B393" s="835" t="n"/>
      <c r="C393" s="836" t="n"/>
      <c r="D393" s="836" t="n"/>
      <c r="E393" s="836" t="n"/>
      <c r="F393" s="836" t="n"/>
      <c r="G393" s="837" t="n"/>
      <c r="H393" s="836" t="n"/>
      <c r="I393" s="837" t="n"/>
      <c r="J393" s="1345" t="n"/>
      <c r="K393" s="1345" t="n"/>
      <c r="L393" s="1345" t="n"/>
      <c r="M393" s="1345" t="n"/>
      <c r="N393" s="1345" t="n"/>
    </row>
    <row r="394">
      <c r="A394" s="834" t="n"/>
      <c r="B394" s="835" t="n"/>
      <c r="C394" s="836" t="n"/>
      <c r="D394" s="836" t="n"/>
      <c r="E394" s="836" t="n"/>
      <c r="F394" s="836" t="n"/>
      <c r="G394" s="837" t="n"/>
      <c r="H394" s="836" t="n"/>
      <c r="I394" s="837" t="n"/>
      <c r="J394" s="1345" t="n"/>
      <c r="K394" s="1345" t="n"/>
      <c r="L394" s="1345" t="n"/>
      <c r="M394" s="1345" t="n"/>
      <c r="N394" s="1345" t="n"/>
    </row>
    <row r="395">
      <c r="A395" s="834" t="n"/>
      <c r="B395" s="835" t="n"/>
      <c r="C395" s="836" t="n"/>
      <c r="D395" s="836" t="n"/>
      <c r="E395" s="836" t="n"/>
      <c r="F395" s="836" t="n"/>
      <c r="G395" s="837" t="n"/>
      <c r="H395" s="836" t="n"/>
      <c r="I395" s="837" t="n"/>
      <c r="J395" s="1345" t="n"/>
      <c r="K395" s="1345" t="n"/>
      <c r="L395" s="1345" t="n"/>
      <c r="M395" s="1345" t="n"/>
      <c r="N395" s="1345" t="n"/>
    </row>
    <row r="396">
      <c r="A396" s="834" t="n"/>
      <c r="B396" s="835" t="n"/>
      <c r="C396" s="836" t="n"/>
      <c r="D396" s="836" t="n"/>
      <c r="E396" s="836" t="n"/>
      <c r="F396" s="836" t="n"/>
      <c r="G396" s="837" t="n"/>
      <c r="H396" s="836" t="n"/>
      <c r="I396" s="837" t="n"/>
      <c r="J396" s="1345" t="n"/>
      <c r="K396" s="1345" t="n"/>
      <c r="L396" s="1345" t="n"/>
      <c r="M396" s="1345" t="n"/>
      <c r="N396" s="1345" t="n"/>
    </row>
    <row r="397">
      <c r="A397" s="834" t="n"/>
      <c r="B397" s="835" t="n"/>
      <c r="C397" s="836" t="n"/>
      <c r="D397" s="836" t="n"/>
      <c r="E397" s="836" t="n"/>
      <c r="F397" s="836" t="n"/>
      <c r="G397" s="837" t="n"/>
      <c r="H397" s="836" t="n"/>
      <c r="I397" s="837" t="n"/>
      <c r="J397" s="1345" t="n"/>
      <c r="K397" s="1345" t="n"/>
      <c r="L397" s="1345" t="n"/>
      <c r="M397" s="1345" t="n"/>
      <c r="N397" s="1345" t="n"/>
    </row>
    <row r="398">
      <c r="A398" s="834" t="n"/>
      <c r="B398" s="835" t="n"/>
      <c r="C398" s="836" t="n"/>
      <c r="D398" s="836" t="n"/>
      <c r="E398" s="836" t="n"/>
      <c r="F398" s="836" t="n"/>
      <c r="G398" s="837" t="n"/>
      <c r="H398" s="836" t="n"/>
      <c r="I398" s="837" t="n"/>
      <c r="J398" s="1345" t="n"/>
      <c r="K398" s="1345" t="n"/>
      <c r="L398" s="1345" t="n"/>
      <c r="M398" s="1345" t="n"/>
      <c r="N398" s="1345" t="n"/>
    </row>
    <row r="399">
      <c r="A399" s="834" t="n"/>
      <c r="B399" s="835" t="n"/>
      <c r="C399" s="836" t="n"/>
      <c r="D399" s="836" t="n"/>
      <c r="E399" s="836" t="n"/>
      <c r="F399" s="836" t="n"/>
      <c r="G399" s="837" t="n"/>
      <c r="H399" s="836" t="n"/>
      <c r="I399" s="837" t="n"/>
      <c r="J399" s="1345" t="n"/>
      <c r="K399" s="1345" t="n"/>
      <c r="L399" s="1345" t="n"/>
      <c r="M399" s="1345" t="n"/>
      <c r="N399" s="1345" t="n"/>
    </row>
    <row r="400">
      <c r="A400" s="834" t="n"/>
      <c r="B400" s="835" t="n"/>
      <c r="C400" s="836" t="n"/>
      <c r="D400" s="836" t="n"/>
      <c r="E400" s="836" t="n"/>
      <c r="F400" s="836" t="n"/>
      <c r="G400" s="837" t="n"/>
      <c r="H400" s="836" t="n"/>
      <c r="I400" s="837" t="n"/>
      <c r="J400" s="1345" t="n"/>
      <c r="K400" s="1345" t="n"/>
      <c r="L400" s="1345" t="n"/>
      <c r="M400" s="1345" t="n"/>
      <c r="N400" s="1345" t="n"/>
    </row>
    <row r="401">
      <c r="A401" s="834" t="n"/>
      <c r="B401" s="835" t="n"/>
      <c r="C401" s="836" t="n"/>
      <c r="D401" s="836" t="n"/>
      <c r="E401" s="836" t="n"/>
      <c r="F401" s="836" t="n"/>
      <c r="G401" s="837" t="n"/>
      <c r="H401" s="836" t="n"/>
      <c r="I401" s="837" t="n"/>
      <c r="J401" s="1345" t="n"/>
      <c r="K401" s="1345" t="n"/>
      <c r="L401" s="1345" t="n"/>
      <c r="M401" s="1345" t="n"/>
      <c r="N401" s="1345" t="n"/>
    </row>
    <row r="402">
      <c r="A402" s="834" t="n"/>
      <c r="B402" s="835" t="n"/>
      <c r="C402" s="836" t="n"/>
      <c r="D402" s="836" t="n"/>
      <c r="E402" s="836" t="n"/>
      <c r="F402" s="836" t="n"/>
      <c r="G402" s="837" t="n"/>
      <c r="H402" s="836" t="n"/>
      <c r="I402" s="837" t="n"/>
      <c r="J402" s="1345" t="n"/>
      <c r="K402" s="1345" t="n"/>
      <c r="L402" s="1345" t="n"/>
      <c r="M402" s="1345" t="n"/>
      <c r="N402" s="1345" t="n"/>
    </row>
    <row r="403">
      <c r="A403" s="834" t="n"/>
      <c r="B403" s="835" t="n"/>
      <c r="C403" s="836" t="n"/>
      <c r="D403" s="836" t="n"/>
      <c r="E403" s="836" t="n"/>
      <c r="F403" s="836" t="n"/>
      <c r="G403" s="837" t="n"/>
      <c r="H403" s="836" t="n"/>
      <c r="I403" s="837" t="n"/>
      <c r="J403" s="1345" t="n"/>
      <c r="K403" s="1345" t="n"/>
      <c r="L403" s="1345" t="n"/>
      <c r="M403" s="1345" t="n"/>
      <c r="N403" s="1345" t="n"/>
    </row>
    <row r="404">
      <c r="A404" s="834" t="n"/>
      <c r="B404" s="835" t="n"/>
      <c r="C404" s="836" t="n"/>
      <c r="D404" s="836" t="n"/>
      <c r="E404" s="836" t="n"/>
      <c r="F404" s="836" t="n"/>
      <c r="G404" s="837" t="n"/>
      <c r="H404" s="836" t="n"/>
      <c r="I404" s="837" t="n"/>
      <c r="J404" s="1345" t="n"/>
      <c r="K404" s="1345" t="n"/>
      <c r="L404" s="1345" t="n"/>
      <c r="M404" s="1345" t="n"/>
      <c r="N404" s="1345" t="n"/>
    </row>
    <row r="405">
      <c r="A405" s="834" t="n"/>
      <c r="B405" s="835" t="n"/>
      <c r="C405" s="836" t="n"/>
      <c r="D405" s="836" t="n"/>
      <c r="E405" s="836" t="n"/>
      <c r="F405" s="836" t="n"/>
      <c r="G405" s="837" t="n"/>
      <c r="H405" s="836" t="n"/>
      <c r="I405" s="837" t="n"/>
      <c r="J405" s="1345" t="n"/>
      <c r="K405" s="1345" t="n"/>
      <c r="L405" s="1345" t="n"/>
      <c r="M405" s="1345" t="n"/>
      <c r="N405" s="1345" t="n"/>
    </row>
    <row r="406">
      <c r="A406" s="834" t="n"/>
      <c r="B406" s="835" t="n"/>
      <c r="C406" s="836" t="n"/>
      <c r="D406" s="836" t="n"/>
      <c r="E406" s="836" t="n"/>
      <c r="F406" s="836" t="n"/>
      <c r="G406" s="837" t="n"/>
      <c r="H406" s="836" t="n"/>
      <c r="I406" s="837" t="n"/>
      <c r="J406" s="1345" t="n"/>
      <c r="K406" s="1345" t="n"/>
      <c r="L406" s="1345" t="n"/>
      <c r="M406" s="1345" t="n"/>
      <c r="N406" s="1345" t="n"/>
    </row>
    <row r="407">
      <c r="A407" s="834" t="n"/>
      <c r="B407" s="835" t="n"/>
      <c r="C407" s="836" t="n"/>
      <c r="D407" s="836" t="n"/>
      <c r="E407" s="836" t="n"/>
      <c r="F407" s="836" t="n"/>
      <c r="G407" s="837" t="n"/>
      <c r="H407" s="836" t="n"/>
      <c r="I407" s="837" t="n"/>
      <c r="J407" s="1345" t="n"/>
      <c r="K407" s="1345" t="n"/>
      <c r="L407" s="1345" t="n"/>
      <c r="M407" s="1345" t="n"/>
      <c r="N407" s="1345" t="n"/>
    </row>
    <row r="408">
      <c r="A408" s="834" t="n"/>
      <c r="B408" s="835" t="n"/>
      <c r="C408" s="836" t="n"/>
      <c r="D408" s="836" t="n"/>
      <c r="E408" s="836" t="n"/>
      <c r="F408" s="836" t="n"/>
      <c r="G408" s="837" t="n"/>
      <c r="H408" s="836" t="n"/>
      <c r="I408" s="837" t="n"/>
      <c r="J408" s="1345" t="n"/>
      <c r="K408" s="1345" t="n"/>
      <c r="L408" s="1345" t="n"/>
      <c r="M408" s="1345" t="n"/>
      <c r="N408" s="1345" t="n"/>
    </row>
    <row r="409">
      <c r="A409" s="834" t="n"/>
      <c r="B409" s="835" t="n"/>
      <c r="C409" s="836" t="n"/>
      <c r="D409" s="836" t="n"/>
      <c r="E409" s="836" t="n"/>
      <c r="F409" s="836" t="n"/>
      <c r="G409" s="837" t="n"/>
      <c r="H409" s="836" t="n"/>
      <c r="I409" s="837" t="n"/>
      <c r="J409" s="1345" t="n"/>
      <c r="K409" s="1345" t="n"/>
      <c r="L409" s="1345" t="n"/>
      <c r="M409" s="1345" t="n"/>
      <c r="N409" s="1345" t="n"/>
    </row>
    <row r="410">
      <c r="A410" s="834" t="n"/>
      <c r="B410" s="835" t="n"/>
      <c r="C410" s="836" t="n"/>
      <c r="D410" s="836" t="n"/>
      <c r="E410" s="836" t="n"/>
      <c r="F410" s="836" t="n"/>
      <c r="G410" s="837" t="n"/>
      <c r="H410" s="836" t="n"/>
      <c r="I410" s="837" t="n"/>
      <c r="J410" s="1345" t="n"/>
      <c r="K410" s="1345" t="n"/>
      <c r="L410" s="1345" t="n"/>
      <c r="M410" s="1345" t="n"/>
      <c r="N410" s="1345" t="n"/>
    </row>
    <row r="411">
      <c r="A411" s="834" t="n"/>
      <c r="B411" s="835" t="n"/>
      <c r="C411" s="836" t="n"/>
      <c r="D411" s="836" t="n"/>
      <c r="E411" s="836" t="n"/>
      <c r="F411" s="836" t="n"/>
      <c r="G411" s="837" t="n"/>
      <c r="H411" s="836" t="n"/>
      <c r="I411" s="837" t="n"/>
      <c r="J411" s="1345" t="n"/>
      <c r="K411" s="1345" t="n"/>
      <c r="L411" s="1345" t="n"/>
      <c r="M411" s="1345" t="n"/>
      <c r="N411" s="1345" t="n"/>
    </row>
    <row r="412">
      <c r="A412" s="834" t="n"/>
      <c r="B412" s="835" t="n"/>
      <c r="C412" s="836" t="n"/>
      <c r="D412" s="836" t="n"/>
      <c r="E412" s="836" t="n"/>
      <c r="F412" s="836" t="n"/>
      <c r="G412" s="837" t="n"/>
      <c r="H412" s="836" t="n"/>
      <c r="I412" s="837" t="n"/>
      <c r="J412" s="1345" t="n"/>
      <c r="K412" s="1345" t="n"/>
      <c r="L412" s="1345" t="n"/>
      <c r="M412" s="1345" t="n"/>
      <c r="N412" s="1345" t="n"/>
    </row>
    <row r="413">
      <c r="A413" s="834" t="n"/>
      <c r="B413" s="835" t="n"/>
      <c r="C413" s="836" t="n"/>
      <c r="D413" s="836" t="n"/>
      <c r="E413" s="836" t="n"/>
      <c r="F413" s="836" t="n"/>
      <c r="G413" s="837" t="n"/>
      <c r="H413" s="836" t="n"/>
      <c r="I413" s="837" t="n"/>
      <c r="J413" s="1345" t="n"/>
      <c r="K413" s="1345" t="n"/>
      <c r="L413" s="1345" t="n"/>
      <c r="M413" s="1345" t="n"/>
      <c r="N413" s="1345" t="n"/>
    </row>
    <row r="414">
      <c r="A414" s="834" t="n"/>
      <c r="B414" s="835" t="n"/>
      <c r="C414" s="836" t="n"/>
      <c r="D414" s="836" t="n"/>
      <c r="E414" s="836" t="n"/>
      <c r="F414" s="836" t="n"/>
      <c r="G414" s="837" t="n"/>
      <c r="H414" s="836" t="n"/>
      <c r="I414" s="837" t="n"/>
      <c r="J414" s="1345" t="n"/>
      <c r="K414" s="1345" t="n"/>
      <c r="L414" s="1345" t="n"/>
      <c r="M414" s="1345" t="n"/>
      <c r="N414" s="1345" t="n"/>
    </row>
    <row r="415">
      <c r="A415" s="834" t="n"/>
      <c r="B415" s="835" t="n"/>
      <c r="C415" s="836" t="n"/>
      <c r="D415" s="836" t="n"/>
      <c r="E415" s="836" t="n"/>
      <c r="F415" s="836" t="n"/>
      <c r="G415" s="837" t="n"/>
      <c r="H415" s="836" t="n"/>
      <c r="I415" s="837" t="n"/>
      <c r="J415" s="1345" t="n"/>
      <c r="K415" s="1345" t="n"/>
      <c r="L415" s="1345" t="n"/>
      <c r="M415" s="1345" t="n"/>
      <c r="N415" s="1345" t="n"/>
    </row>
    <row r="416">
      <c r="A416" s="834" t="n"/>
      <c r="B416" s="835" t="n"/>
      <c r="C416" s="836" t="n"/>
      <c r="D416" s="836" t="n"/>
      <c r="E416" s="836" t="n"/>
      <c r="F416" s="836" t="n"/>
      <c r="G416" s="837" t="n"/>
      <c r="H416" s="836" t="n"/>
      <c r="I416" s="837" t="n"/>
      <c r="J416" s="1345" t="n"/>
      <c r="K416" s="1345" t="n"/>
      <c r="L416" s="1345" t="n"/>
      <c r="M416" s="1345" t="n"/>
      <c r="N416" s="1345" t="n"/>
    </row>
    <row r="417">
      <c r="A417" s="834" t="n"/>
      <c r="B417" s="835" t="n"/>
      <c r="C417" s="836" t="n"/>
      <c r="D417" s="836" t="n"/>
      <c r="E417" s="836" t="n"/>
      <c r="F417" s="836" t="n"/>
      <c r="G417" s="837" t="n"/>
      <c r="H417" s="836" t="n"/>
      <c r="I417" s="837" t="n"/>
      <c r="J417" s="1345" t="n"/>
      <c r="K417" s="1345" t="n"/>
      <c r="L417" s="1345" t="n"/>
      <c r="M417" s="1345" t="n"/>
      <c r="N417" s="1345" t="n"/>
    </row>
    <row r="418">
      <c r="A418" s="834" t="n"/>
      <c r="B418" s="835" t="n"/>
      <c r="C418" s="836" t="n"/>
      <c r="D418" s="836" t="n"/>
      <c r="E418" s="836" t="n"/>
      <c r="F418" s="836" t="n"/>
      <c r="G418" s="837" t="n"/>
      <c r="H418" s="836" t="n"/>
      <c r="I418" s="837" t="n"/>
      <c r="J418" s="1345" t="n"/>
      <c r="K418" s="1345" t="n"/>
      <c r="L418" s="1345" t="n"/>
      <c r="M418" s="1345" t="n"/>
      <c r="N418" s="1345" t="n"/>
    </row>
    <row r="419">
      <c r="A419" s="834" t="n"/>
      <c r="B419" s="835" t="n"/>
      <c r="C419" s="836" t="n"/>
      <c r="D419" s="836" t="n"/>
      <c r="E419" s="836" t="n"/>
      <c r="F419" s="836" t="n"/>
      <c r="G419" s="837" t="n"/>
      <c r="H419" s="836" t="n"/>
      <c r="I419" s="837" t="n"/>
      <c r="J419" s="1345" t="n"/>
      <c r="K419" s="1345" t="n"/>
      <c r="L419" s="1345" t="n"/>
      <c r="M419" s="1345" t="n"/>
      <c r="N419" s="1345" t="n"/>
    </row>
    <row r="420">
      <c r="A420" s="834" t="n"/>
      <c r="B420" s="835" t="n"/>
      <c r="C420" s="836" t="n"/>
      <c r="D420" s="836" t="n"/>
      <c r="E420" s="836" t="n"/>
      <c r="F420" s="836" t="n"/>
      <c r="G420" s="837" t="n"/>
      <c r="H420" s="836" t="n"/>
      <c r="I420" s="837" t="n"/>
      <c r="J420" s="1345" t="n"/>
      <c r="K420" s="1345" t="n"/>
      <c r="L420" s="1345" t="n"/>
      <c r="M420" s="1345" t="n"/>
      <c r="N420" s="1345" t="n"/>
    </row>
    <row r="421">
      <c r="A421" s="834" t="n"/>
      <c r="B421" s="835" t="n"/>
      <c r="C421" s="836" t="n"/>
      <c r="D421" s="836" t="n"/>
      <c r="E421" s="836" t="n"/>
      <c r="F421" s="836" t="n"/>
      <c r="G421" s="837" t="n"/>
      <c r="H421" s="836" t="n"/>
      <c r="I421" s="837" t="n"/>
      <c r="J421" s="1345" t="n"/>
      <c r="K421" s="1345" t="n"/>
      <c r="L421" s="1345" t="n"/>
      <c r="M421" s="1345" t="n"/>
      <c r="N421" s="1345" t="n"/>
    </row>
    <row r="422">
      <c r="A422" s="834" t="n"/>
      <c r="B422" s="835" t="n"/>
      <c r="C422" s="836" t="n"/>
      <c r="D422" s="836" t="n"/>
      <c r="E422" s="836" t="n"/>
      <c r="F422" s="836" t="n"/>
      <c r="G422" s="837" t="n"/>
      <c r="H422" s="836" t="n"/>
      <c r="I422" s="837" t="n"/>
      <c r="J422" s="1345" t="n"/>
      <c r="K422" s="1345" t="n"/>
      <c r="L422" s="1345" t="n"/>
      <c r="M422" s="1345" t="n"/>
      <c r="N422" s="1345" t="n"/>
    </row>
    <row r="423">
      <c r="A423" s="834" t="n"/>
      <c r="B423" s="835" t="n"/>
      <c r="C423" s="836" t="n"/>
      <c r="D423" s="836" t="n"/>
      <c r="E423" s="836" t="n"/>
      <c r="F423" s="836" t="n"/>
      <c r="G423" s="837" t="n"/>
      <c r="H423" s="836" t="n"/>
      <c r="I423" s="837" t="n"/>
      <c r="J423" s="1345" t="n"/>
      <c r="K423" s="1345" t="n"/>
      <c r="L423" s="1345" t="n"/>
      <c r="M423" s="1345" t="n"/>
      <c r="N423" s="1345" t="n"/>
    </row>
    <row r="424">
      <c r="A424" s="834" t="n"/>
      <c r="B424" s="835" t="n"/>
      <c r="C424" s="836" t="n"/>
      <c r="D424" s="836" t="n"/>
      <c r="E424" s="836" t="n"/>
      <c r="F424" s="836" t="n"/>
      <c r="G424" s="837" t="n"/>
      <c r="H424" s="836" t="n"/>
      <c r="I424" s="837" t="n"/>
      <c r="J424" s="1345" t="n"/>
      <c r="K424" s="1345" t="n"/>
      <c r="L424" s="1345" t="n"/>
      <c r="M424" s="1345" t="n"/>
      <c r="N424" s="1345" t="n"/>
    </row>
    <row r="425">
      <c r="A425" s="834" t="n"/>
      <c r="B425" s="835" t="n"/>
      <c r="C425" s="836" t="n"/>
      <c r="D425" s="836" t="n"/>
      <c r="E425" s="836" t="n"/>
      <c r="F425" s="836" t="n"/>
      <c r="G425" s="837" t="n"/>
      <c r="H425" s="836" t="n"/>
      <c r="I425" s="837" t="n"/>
      <c r="J425" s="1345" t="n"/>
      <c r="K425" s="1345" t="n"/>
      <c r="L425" s="1345" t="n"/>
      <c r="M425" s="1345" t="n"/>
      <c r="N425" s="1345" t="n"/>
    </row>
    <row r="426">
      <c r="A426" s="834" t="n"/>
      <c r="B426" s="835" t="n"/>
      <c r="C426" s="836" t="n"/>
      <c r="D426" s="836" t="n"/>
      <c r="E426" s="836" t="n"/>
      <c r="F426" s="836" t="n"/>
      <c r="G426" s="837" t="n"/>
      <c r="H426" s="836" t="n"/>
      <c r="I426" s="837" t="n"/>
      <c r="J426" s="1345" t="n"/>
      <c r="K426" s="1345" t="n"/>
      <c r="L426" s="1345" t="n"/>
      <c r="M426" s="1345" t="n"/>
      <c r="N426" s="1345" t="n"/>
    </row>
    <row r="427">
      <c r="A427" s="834" t="n"/>
      <c r="B427" s="835" t="n"/>
      <c r="C427" s="836" t="n"/>
      <c r="D427" s="836" t="n"/>
      <c r="E427" s="836" t="n"/>
      <c r="F427" s="836" t="n"/>
      <c r="G427" s="837" t="n"/>
      <c r="H427" s="836" t="n"/>
      <c r="I427" s="837" t="n"/>
      <c r="J427" s="1345" t="n"/>
      <c r="K427" s="1345" t="n"/>
      <c r="L427" s="1345" t="n"/>
      <c r="M427" s="1345" t="n"/>
      <c r="N427" s="1345" t="n"/>
    </row>
    <row r="428">
      <c r="A428" s="834" t="n"/>
      <c r="B428" s="835" t="n"/>
      <c r="C428" s="836" t="n"/>
      <c r="D428" s="836" t="n"/>
      <c r="E428" s="836" t="n"/>
      <c r="F428" s="836" t="n"/>
      <c r="G428" s="837" t="n"/>
      <c r="H428" s="836" t="n"/>
      <c r="I428" s="837" t="n"/>
      <c r="J428" s="1345" t="n"/>
      <c r="K428" s="1345" t="n"/>
      <c r="L428" s="1345" t="n"/>
      <c r="M428" s="1345" t="n"/>
      <c r="N428" s="1345" t="n"/>
    </row>
    <row r="429">
      <c r="A429" s="834" t="n"/>
      <c r="B429" s="835" t="n"/>
      <c r="C429" s="836" t="n"/>
      <c r="D429" s="836" t="n"/>
      <c r="E429" s="836" t="n"/>
      <c r="F429" s="836" t="n"/>
      <c r="G429" s="837" t="n"/>
      <c r="H429" s="836" t="n"/>
      <c r="I429" s="837" t="n"/>
      <c r="J429" s="1345" t="n"/>
      <c r="K429" s="1345" t="n"/>
      <c r="L429" s="1345" t="n"/>
      <c r="M429" s="1345" t="n"/>
      <c r="N429" s="1345" t="n"/>
    </row>
    <row r="430">
      <c r="A430" s="834" t="n"/>
      <c r="B430" s="835" t="n"/>
      <c r="C430" s="836" t="n"/>
      <c r="D430" s="836" t="n"/>
      <c r="E430" s="836" t="n"/>
      <c r="F430" s="836" t="n"/>
      <c r="G430" s="837" t="n"/>
      <c r="H430" s="836" t="n"/>
      <c r="I430" s="837" t="n"/>
      <c r="J430" s="1345" t="n"/>
      <c r="K430" s="1345" t="n"/>
      <c r="L430" s="1345" t="n"/>
      <c r="M430" s="1345" t="n"/>
      <c r="N430" s="1345" t="n"/>
    </row>
    <row r="431">
      <c r="A431" s="834" t="n"/>
      <c r="B431" s="835" t="n"/>
      <c r="C431" s="836" t="n"/>
      <c r="D431" s="836" t="n"/>
      <c r="E431" s="836" t="n"/>
      <c r="F431" s="836" t="n"/>
      <c r="G431" s="837" t="n"/>
      <c r="H431" s="836" t="n"/>
      <c r="I431" s="837" t="n"/>
      <c r="J431" s="1345" t="n"/>
      <c r="K431" s="1345" t="n"/>
      <c r="L431" s="1345" t="n"/>
      <c r="M431" s="1345" t="n"/>
      <c r="N431" s="1345" t="n"/>
    </row>
    <row r="432">
      <c r="A432" s="834" t="n"/>
      <c r="B432" s="835" t="n"/>
      <c r="C432" s="836" t="n"/>
      <c r="D432" s="836" t="n"/>
      <c r="E432" s="836" t="n"/>
      <c r="F432" s="836" t="n"/>
      <c r="G432" s="837" t="n"/>
      <c r="H432" s="836" t="n"/>
      <c r="I432" s="837" t="n"/>
      <c r="J432" s="1345" t="n"/>
      <c r="K432" s="1345" t="n"/>
      <c r="L432" s="1345" t="n"/>
      <c r="M432" s="1345" t="n"/>
      <c r="N432" s="1345" t="n"/>
    </row>
    <row r="433">
      <c r="A433" s="834" t="n"/>
      <c r="B433" s="835" t="n"/>
      <c r="C433" s="836" t="n"/>
      <c r="D433" s="836" t="n"/>
      <c r="E433" s="836" t="n"/>
      <c r="F433" s="836" t="n"/>
      <c r="G433" s="837" t="n"/>
      <c r="H433" s="836" t="n"/>
      <c r="I433" s="837" t="n"/>
      <c r="J433" s="1345" t="n"/>
      <c r="K433" s="1345" t="n"/>
      <c r="L433" s="1345" t="n"/>
      <c r="M433" s="1345" t="n"/>
      <c r="N433" s="1345" t="n"/>
    </row>
    <row r="434">
      <c r="A434" s="834" t="n"/>
      <c r="B434" s="835" t="n"/>
      <c r="C434" s="836" t="n"/>
      <c r="D434" s="836" t="n"/>
      <c r="E434" s="836" t="n"/>
      <c r="F434" s="836" t="n"/>
      <c r="G434" s="837" t="n"/>
      <c r="H434" s="836" t="n"/>
      <c r="I434" s="837" t="n"/>
      <c r="J434" s="1345" t="n"/>
      <c r="K434" s="1345" t="n"/>
      <c r="L434" s="1345" t="n"/>
      <c r="M434" s="1345" t="n"/>
      <c r="N434" s="1345" t="n"/>
    </row>
    <row r="435">
      <c r="A435" s="834" t="n"/>
      <c r="B435" s="835" t="n"/>
      <c r="C435" s="836" t="n"/>
      <c r="D435" s="836" t="n"/>
      <c r="E435" s="836" t="n"/>
      <c r="F435" s="836" t="n"/>
      <c r="G435" s="837" t="n"/>
      <c r="H435" s="836" t="n"/>
      <c r="I435" s="837" t="n"/>
      <c r="J435" s="1345" t="n"/>
      <c r="K435" s="1345" t="n"/>
      <c r="L435" s="1345" t="n"/>
      <c r="M435" s="1345" t="n"/>
      <c r="N435" s="1345" t="n"/>
    </row>
    <row r="436">
      <c r="A436" s="834" t="n"/>
      <c r="B436" s="835" t="n"/>
      <c r="C436" s="836" t="n"/>
      <c r="D436" s="836" t="n"/>
      <c r="E436" s="836" t="n"/>
      <c r="F436" s="836" t="n"/>
      <c r="G436" s="837" t="n"/>
      <c r="H436" s="836" t="n"/>
      <c r="I436" s="837" t="n"/>
      <c r="J436" s="1345" t="n"/>
      <c r="K436" s="1345" t="n"/>
      <c r="L436" s="1345" t="n"/>
      <c r="M436" s="1345" t="n"/>
      <c r="N436" s="1345" t="n"/>
    </row>
    <row r="437">
      <c r="A437" s="834" t="n"/>
      <c r="B437" s="835" t="n"/>
      <c r="C437" s="836" t="n"/>
      <c r="D437" s="836" t="n"/>
      <c r="E437" s="836" t="n"/>
      <c r="F437" s="836" t="n"/>
      <c r="G437" s="837" t="n"/>
      <c r="H437" s="836" t="n"/>
      <c r="I437" s="837" t="n"/>
      <c r="J437" s="1345" t="n"/>
      <c r="K437" s="1345" t="n"/>
      <c r="L437" s="1345" t="n"/>
      <c r="M437" s="1345" t="n"/>
      <c r="N437" s="1345" t="n"/>
    </row>
    <row r="438">
      <c r="A438" s="834" t="n"/>
      <c r="B438" s="835" t="n"/>
      <c r="C438" s="836" t="n"/>
      <c r="D438" s="836" t="n"/>
      <c r="E438" s="836" t="n"/>
      <c r="F438" s="836" t="n"/>
      <c r="G438" s="837" t="n"/>
      <c r="H438" s="836" t="n"/>
      <c r="I438" s="837" t="n"/>
      <c r="J438" s="1345" t="n"/>
      <c r="K438" s="1345" t="n"/>
      <c r="L438" s="1345" t="n"/>
      <c r="M438" s="1345" t="n"/>
      <c r="N438" s="1345" t="n"/>
    </row>
    <row r="439">
      <c r="A439" s="834" t="n"/>
      <c r="B439" s="835" t="n"/>
      <c r="C439" s="836" t="n"/>
      <c r="D439" s="836" t="n"/>
      <c r="E439" s="836" t="n"/>
      <c r="F439" s="836" t="n"/>
      <c r="G439" s="837" t="n"/>
      <c r="H439" s="836" t="n"/>
      <c r="I439" s="837" t="n"/>
      <c r="J439" s="1345" t="n"/>
      <c r="K439" s="1345" t="n"/>
      <c r="L439" s="1345" t="n"/>
      <c r="M439" s="1345" t="n"/>
      <c r="N439" s="1345" t="n"/>
    </row>
    <row r="440">
      <c r="A440" s="834" t="n"/>
      <c r="B440" s="835" t="n"/>
      <c r="C440" s="836" t="n"/>
      <c r="D440" s="836" t="n"/>
      <c r="E440" s="836" t="n"/>
      <c r="F440" s="836" t="n"/>
      <c r="G440" s="837" t="n"/>
      <c r="H440" s="836" t="n"/>
      <c r="I440" s="837" t="n"/>
      <c r="J440" s="1345" t="n"/>
      <c r="K440" s="1345" t="n"/>
      <c r="L440" s="1345" t="n"/>
      <c r="M440" s="1345" t="n"/>
      <c r="N440" s="1345" t="n"/>
    </row>
    <row r="441">
      <c r="A441" s="834" t="n"/>
      <c r="B441" s="835" t="n"/>
      <c r="C441" s="836" t="n"/>
      <c r="D441" s="836" t="n"/>
      <c r="E441" s="836" t="n"/>
      <c r="F441" s="836" t="n"/>
      <c r="G441" s="837" t="n"/>
      <c r="H441" s="836" t="n"/>
      <c r="I441" s="837" t="n"/>
      <c r="J441" s="1345" t="n"/>
      <c r="K441" s="1345" t="n"/>
      <c r="L441" s="1345" t="n"/>
      <c r="M441" s="1345" t="n"/>
      <c r="N441" s="1345" t="n"/>
    </row>
    <row r="442">
      <c r="A442" s="834" t="n"/>
      <c r="B442" s="835" t="n"/>
      <c r="C442" s="836" t="n"/>
      <c r="D442" s="836" t="n"/>
      <c r="E442" s="836" t="n"/>
      <c r="F442" s="836" t="n"/>
      <c r="G442" s="837" t="n"/>
      <c r="H442" s="836" t="n"/>
      <c r="I442" s="837" t="n"/>
      <c r="J442" s="1345" t="n"/>
      <c r="K442" s="1345" t="n"/>
      <c r="L442" s="1345" t="n"/>
      <c r="M442" s="1345" t="n"/>
      <c r="N442" s="1345" t="n"/>
    </row>
    <row r="443">
      <c r="A443" s="834" t="n"/>
      <c r="B443" s="835" t="n"/>
      <c r="C443" s="836" t="n"/>
      <c r="D443" s="836" t="n"/>
      <c r="E443" s="836" t="n"/>
      <c r="F443" s="836" t="n"/>
      <c r="G443" s="837" t="n"/>
      <c r="H443" s="836" t="n"/>
      <c r="I443" s="837" t="n"/>
      <c r="J443" s="1345" t="n"/>
      <c r="K443" s="1345" t="n"/>
      <c r="L443" s="1345" t="n"/>
      <c r="M443" s="1345" t="n"/>
      <c r="N443" s="1345" t="n"/>
    </row>
    <row r="444">
      <c r="A444" s="834" t="n"/>
      <c r="B444" s="835" t="n"/>
      <c r="C444" s="836" t="n"/>
      <c r="D444" s="836" t="n"/>
      <c r="E444" s="836" t="n"/>
      <c r="F444" s="836" t="n"/>
      <c r="G444" s="837" t="n"/>
      <c r="H444" s="836" t="n"/>
      <c r="I444" s="837" t="n"/>
      <c r="J444" s="1345" t="n"/>
      <c r="K444" s="1345" t="n"/>
      <c r="L444" s="1345" t="n"/>
      <c r="M444" s="1345" t="n"/>
      <c r="N444" s="1345" t="n"/>
    </row>
    <row r="445">
      <c r="A445" s="834" t="n"/>
      <c r="B445" s="835" t="n"/>
      <c r="C445" s="836" t="n"/>
      <c r="D445" s="836" t="n"/>
      <c r="E445" s="836" t="n"/>
      <c r="F445" s="836" t="n"/>
      <c r="G445" s="837" t="n"/>
      <c r="H445" s="836" t="n"/>
      <c r="I445" s="837" t="n"/>
      <c r="J445" s="1345" t="n"/>
      <c r="K445" s="1345" t="n"/>
      <c r="L445" s="1345" t="n"/>
      <c r="M445" s="1345" t="n"/>
      <c r="N445" s="1345" t="n"/>
    </row>
    <row r="446">
      <c r="A446" s="834" t="n"/>
      <c r="B446" s="835" t="n"/>
      <c r="C446" s="836" t="n"/>
      <c r="D446" s="836" t="n"/>
      <c r="E446" s="836" t="n"/>
      <c r="F446" s="836" t="n"/>
      <c r="G446" s="837" t="n"/>
      <c r="H446" s="836" t="n"/>
      <c r="I446" s="837" t="n"/>
      <c r="J446" s="1345" t="n"/>
      <c r="K446" s="1345" t="n"/>
      <c r="L446" s="1345" t="n"/>
      <c r="M446" s="1345" t="n"/>
      <c r="N446" s="1345" t="n"/>
    </row>
    <row r="447">
      <c r="A447" s="834" t="n"/>
      <c r="B447" s="835" t="n"/>
      <c r="C447" s="836" t="n"/>
      <c r="D447" s="836" t="n"/>
      <c r="E447" s="836" t="n"/>
      <c r="F447" s="836" t="n"/>
      <c r="G447" s="837" t="n"/>
      <c r="H447" s="836" t="n"/>
      <c r="I447" s="837" t="n"/>
      <c r="J447" s="1345" t="n"/>
      <c r="K447" s="1345" t="n"/>
      <c r="L447" s="1345" t="n"/>
      <c r="M447" s="1345" t="n"/>
      <c r="N447" s="1345" t="n"/>
    </row>
    <row r="448">
      <c r="A448" s="834" t="n"/>
      <c r="B448" s="835" t="n"/>
      <c r="C448" s="836" t="n"/>
      <c r="D448" s="836" t="n"/>
      <c r="E448" s="836" t="n"/>
      <c r="F448" s="836" t="n"/>
      <c r="G448" s="837" t="n"/>
      <c r="H448" s="836" t="n"/>
      <c r="I448" s="837" t="n"/>
      <c r="J448" s="1345" t="n"/>
      <c r="K448" s="1345" t="n"/>
      <c r="L448" s="1345" t="n"/>
      <c r="M448" s="1345" t="n"/>
      <c r="N448" s="1345" t="n"/>
    </row>
    <row r="449">
      <c r="A449" s="834" t="n"/>
      <c r="B449" s="835" t="n"/>
      <c r="C449" s="836" t="n"/>
      <c r="D449" s="836" t="n"/>
      <c r="E449" s="836" t="n"/>
      <c r="F449" s="836" t="n"/>
      <c r="G449" s="837" t="n"/>
      <c r="H449" s="836" t="n"/>
      <c r="I449" s="837" t="n"/>
      <c r="J449" s="1345" t="n"/>
      <c r="K449" s="1345" t="n"/>
      <c r="L449" s="1345" t="n"/>
      <c r="M449" s="1345" t="n"/>
      <c r="N449" s="1345" t="n"/>
    </row>
    <row r="450">
      <c r="A450" s="834" t="n"/>
      <c r="B450" s="835" t="n"/>
      <c r="C450" s="836" t="n"/>
      <c r="D450" s="836" t="n"/>
      <c r="E450" s="836" t="n"/>
      <c r="F450" s="836" t="n"/>
      <c r="G450" s="837" t="n"/>
      <c r="H450" s="836" t="n"/>
      <c r="I450" s="837" t="n"/>
      <c r="J450" s="1345" t="n"/>
      <c r="K450" s="1345" t="n"/>
      <c r="L450" s="1345" t="n"/>
      <c r="M450" s="1345" t="n"/>
      <c r="N450" s="1345" t="n"/>
    </row>
    <row r="451">
      <c r="A451" s="834" t="n"/>
      <c r="B451" s="835" t="n"/>
      <c r="C451" s="836" t="n"/>
      <c r="D451" s="836" t="n"/>
      <c r="E451" s="836" t="n"/>
      <c r="F451" s="836" t="n"/>
      <c r="G451" s="837" t="n"/>
      <c r="H451" s="836" t="n"/>
      <c r="I451" s="837" t="n"/>
      <c r="J451" s="1345" t="n"/>
      <c r="K451" s="1345" t="n"/>
      <c r="L451" s="1345" t="n"/>
      <c r="M451" s="1345" t="n"/>
      <c r="N451" s="1345" t="n"/>
    </row>
    <row r="452">
      <c r="A452" s="834" t="n"/>
      <c r="B452" s="835" t="n"/>
      <c r="C452" s="836" t="n"/>
      <c r="D452" s="836" t="n"/>
      <c r="E452" s="836" t="n"/>
      <c r="F452" s="836" t="n"/>
      <c r="G452" s="837" t="n"/>
      <c r="H452" s="836" t="n"/>
      <c r="I452" s="837" t="n"/>
      <c r="J452" s="1345" t="n"/>
      <c r="K452" s="1345" t="n"/>
      <c r="L452" s="1345" t="n"/>
      <c r="M452" s="1345" t="n"/>
      <c r="N452" s="1345" t="n"/>
    </row>
    <row r="453">
      <c r="A453" s="834" t="n"/>
      <c r="B453" s="835" t="n"/>
      <c r="C453" s="836" t="n"/>
      <c r="D453" s="836" t="n"/>
      <c r="E453" s="836" t="n"/>
      <c r="F453" s="836" t="n"/>
      <c r="G453" s="837" t="n"/>
      <c r="H453" s="836" t="n"/>
      <c r="I453" s="837" t="n"/>
      <c r="J453" s="1345" t="n"/>
      <c r="K453" s="1345" t="n"/>
      <c r="L453" s="1345" t="n"/>
      <c r="M453" s="1345" t="n"/>
      <c r="N453" s="1345" t="n"/>
    </row>
    <row r="454">
      <c r="A454" s="834" t="n"/>
      <c r="B454" s="835" t="n"/>
      <c r="C454" s="836" t="n"/>
      <c r="D454" s="836" t="n"/>
      <c r="E454" s="836" t="n"/>
      <c r="F454" s="836" t="n"/>
      <c r="G454" s="837" t="n"/>
      <c r="H454" s="836" t="n"/>
      <c r="I454" s="837" t="n"/>
      <c r="J454" s="1345" t="n"/>
      <c r="K454" s="1345" t="n"/>
      <c r="L454" s="1345" t="n"/>
      <c r="M454" s="1345" t="n"/>
      <c r="N454" s="1345" t="n"/>
    </row>
    <row r="455">
      <c r="A455" s="834" t="n"/>
      <c r="B455" s="835" t="n"/>
      <c r="C455" s="836" t="n"/>
      <c r="D455" s="836" t="n"/>
      <c r="E455" s="836" t="n"/>
      <c r="F455" s="836" t="n"/>
      <c r="G455" s="837" t="n"/>
      <c r="H455" s="836" t="n"/>
      <c r="I455" s="837" t="n"/>
      <c r="J455" s="1345" t="n"/>
      <c r="K455" s="1345" t="n"/>
      <c r="L455" s="1345" t="n"/>
      <c r="M455" s="1345" t="n"/>
      <c r="N455" s="1345" t="n"/>
    </row>
    <row r="456">
      <c r="A456" s="834" t="n"/>
      <c r="B456" s="835" t="n"/>
      <c r="C456" s="836" t="n"/>
      <c r="D456" s="836" t="n"/>
      <c r="E456" s="836" t="n"/>
      <c r="F456" s="836" t="n"/>
      <c r="G456" s="837" t="n"/>
      <c r="H456" s="836" t="n"/>
      <c r="I456" s="837" t="n"/>
      <c r="J456" s="1345" t="n"/>
      <c r="K456" s="1345" t="n"/>
      <c r="L456" s="1345" t="n"/>
      <c r="M456" s="1345" t="n"/>
      <c r="N456" s="1345" t="n"/>
    </row>
    <row r="457">
      <c r="A457" s="834" t="n"/>
      <c r="B457" s="835" t="n"/>
      <c r="C457" s="836" t="n"/>
      <c r="D457" s="836" t="n"/>
      <c r="E457" s="836" t="n"/>
      <c r="F457" s="836" t="n"/>
      <c r="G457" s="837" t="n"/>
      <c r="H457" s="836" t="n"/>
      <c r="I457" s="837" t="n"/>
      <c r="J457" s="1345" t="n"/>
      <c r="K457" s="1345" t="n"/>
      <c r="L457" s="1345" t="n"/>
      <c r="M457" s="1345" t="n"/>
      <c r="N457" s="1345" t="n"/>
    </row>
    <row r="458">
      <c r="A458" s="834" t="n"/>
      <c r="B458" s="835" t="n"/>
      <c r="C458" s="836" t="n"/>
      <c r="D458" s="836" t="n"/>
      <c r="E458" s="836" t="n"/>
      <c r="F458" s="836" t="n"/>
      <c r="G458" s="837" t="n"/>
      <c r="H458" s="836" t="n"/>
      <c r="I458" s="837" t="n"/>
      <c r="J458" s="1345" t="n"/>
      <c r="K458" s="1345" t="n"/>
      <c r="L458" s="1345" t="n"/>
      <c r="M458" s="1345" t="n"/>
      <c r="N458" s="1345" t="n"/>
    </row>
    <row r="459">
      <c r="A459" s="834" t="n"/>
      <c r="B459" s="835" t="n"/>
      <c r="C459" s="836" t="n"/>
      <c r="D459" s="836" t="n"/>
      <c r="E459" s="836" t="n"/>
      <c r="F459" s="836" t="n"/>
      <c r="G459" s="837" t="n"/>
      <c r="H459" s="836" t="n"/>
      <c r="I459" s="837" t="n"/>
      <c r="J459" s="1345" t="n"/>
      <c r="K459" s="1345" t="n"/>
      <c r="L459" s="1345" t="n"/>
      <c r="M459" s="1345" t="n"/>
      <c r="N459" s="1345" t="n"/>
    </row>
    <row r="460">
      <c r="A460" s="834" t="n"/>
      <c r="B460" s="835" t="n"/>
      <c r="C460" s="836" t="n"/>
      <c r="D460" s="836" t="n"/>
      <c r="E460" s="836" t="n"/>
      <c r="F460" s="836" t="n"/>
      <c r="G460" s="837" t="n"/>
      <c r="H460" s="836" t="n"/>
      <c r="I460" s="837" t="n"/>
      <c r="J460" s="1345" t="n"/>
      <c r="K460" s="1345" t="n"/>
      <c r="L460" s="1345" t="n"/>
      <c r="M460" s="1345" t="n"/>
      <c r="N460" s="1345" t="n"/>
    </row>
    <row r="461">
      <c r="A461" s="834" t="n"/>
      <c r="B461" s="835" t="n"/>
      <c r="C461" s="836" t="n"/>
      <c r="D461" s="836" t="n"/>
      <c r="E461" s="836" t="n"/>
      <c r="F461" s="836" t="n"/>
      <c r="G461" s="837" t="n"/>
      <c r="H461" s="836" t="n"/>
      <c r="I461" s="837" t="n"/>
      <c r="J461" s="1345" t="n"/>
      <c r="K461" s="1345" t="n"/>
      <c r="L461" s="1345" t="n"/>
      <c r="M461" s="1345" t="n"/>
      <c r="N461" s="1345" t="n"/>
    </row>
    <row r="462">
      <c r="A462" s="834" t="n"/>
      <c r="B462" s="835" t="n"/>
      <c r="C462" s="836" t="n"/>
      <c r="D462" s="836" t="n"/>
      <c r="E462" s="836" t="n"/>
      <c r="F462" s="836" t="n"/>
      <c r="G462" s="837" t="n"/>
      <c r="H462" s="836" t="n"/>
      <c r="I462" s="837" t="n"/>
      <c r="J462" s="1345" t="n"/>
      <c r="K462" s="1345" t="n"/>
      <c r="L462" s="1345" t="n"/>
      <c r="M462" s="1345" t="n"/>
      <c r="N462" s="1345" t="n"/>
    </row>
    <row r="463">
      <c r="A463" s="834" t="n"/>
      <c r="B463" s="835" t="n"/>
      <c r="C463" s="836" t="n"/>
      <c r="D463" s="836" t="n"/>
      <c r="E463" s="836" t="n"/>
      <c r="F463" s="836" t="n"/>
      <c r="G463" s="837" t="n"/>
      <c r="H463" s="836" t="n"/>
      <c r="I463" s="837" t="n"/>
      <c r="J463" s="1345" t="n"/>
      <c r="K463" s="1345" t="n"/>
      <c r="L463" s="1345" t="n"/>
      <c r="M463" s="1345" t="n"/>
      <c r="N463" s="1345" t="n"/>
    </row>
    <row r="464">
      <c r="A464" s="834" t="n"/>
      <c r="B464" s="835" t="n"/>
      <c r="C464" s="836" t="n"/>
      <c r="D464" s="836" t="n"/>
      <c r="E464" s="836" t="n"/>
      <c r="F464" s="836" t="n"/>
      <c r="G464" s="837" t="n"/>
      <c r="H464" s="836" t="n"/>
      <c r="I464" s="837" t="n"/>
      <c r="J464" s="1345" t="n"/>
      <c r="K464" s="1345" t="n"/>
      <c r="L464" s="1345" t="n"/>
      <c r="M464" s="1345" t="n"/>
      <c r="N464" s="1345" t="n"/>
    </row>
    <row r="465">
      <c r="A465" s="834" t="n"/>
      <c r="B465" s="835" t="n"/>
      <c r="C465" s="836" t="n"/>
      <c r="D465" s="836" t="n"/>
      <c r="E465" s="836" t="n"/>
      <c r="F465" s="836" t="n"/>
      <c r="G465" s="837" t="n"/>
      <c r="H465" s="836" t="n"/>
      <c r="I465" s="837" t="n"/>
      <c r="J465" s="1345" t="n"/>
      <c r="K465" s="1345" t="n"/>
      <c r="L465" s="1345" t="n"/>
      <c r="M465" s="1345" t="n"/>
      <c r="N465" s="1345" t="n"/>
    </row>
    <row r="466">
      <c r="A466" s="834" t="n"/>
      <c r="B466" s="835" t="n"/>
      <c r="C466" s="836" t="n"/>
      <c r="D466" s="836" t="n"/>
      <c r="E466" s="836" t="n"/>
      <c r="F466" s="836" t="n"/>
      <c r="G466" s="837" t="n"/>
      <c r="H466" s="836" t="n"/>
      <c r="I466" s="837" t="n"/>
      <c r="J466" s="1345" t="n"/>
      <c r="K466" s="1345" t="n"/>
      <c r="L466" s="1345" t="n"/>
      <c r="M466" s="1345" t="n"/>
      <c r="N466" s="1345" t="n"/>
    </row>
    <row r="467">
      <c r="A467" s="834" t="n"/>
      <c r="B467" s="835" t="n"/>
      <c r="C467" s="836" t="n"/>
      <c r="D467" s="836" t="n"/>
      <c r="E467" s="836" t="n"/>
      <c r="F467" s="836" t="n"/>
      <c r="G467" s="837" t="n"/>
      <c r="H467" s="836" t="n"/>
      <c r="I467" s="837" t="n"/>
      <c r="J467" s="1345" t="n"/>
      <c r="K467" s="1345" t="n"/>
      <c r="L467" s="1345" t="n"/>
      <c r="M467" s="1345" t="n"/>
      <c r="N467" s="1345" t="n"/>
    </row>
    <row r="468">
      <c r="A468" s="834" t="n"/>
      <c r="B468" s="835" t="n"/>
      <c r="C468" s="836" t="n"/>
      <c r="D468" s="836" t="n"/>
      <c r="E468" s="836" t="n"/>
      <c r="F468" s="836" t="n"/>
      <c r="G468" s="837" t="n"/>
      <c r="H468" s="836" t="n"/>
      <c r="I468" s="837" t="n"/>
      <c r="J468" s="1345" t="n"/>
      <c r="K468" s="1345" t="n"/>
      <c r="L468" s="1345" t="n"/>
      <c r="M468" s="1345" t="n"/>
      <c r="N468" s="1345" t="n"/>
    </row>
    <row r="469">
      <c r="A469" s="834" t="n"/>
      <c r="B469" s="835" t="n"/>
      <c r="C469" s="836" t="n"/>
      <c r="D469" s="836" t="n"/>
      <c r="E469" s="836" t="n"/>
      <c r="F469" s="836" t="n"/>
      <c r="G469" s="837" t="n"/>
      <c r="H469" s="836" t="n"/>
      <c r="I469" s="837" t="n"/>
      <c r="J469" s="1345" t="n"/>
      <c r="K469" s="1345" t="n"/>
      <c r="L469" s="1345" t="n"/>
      <c r="M469" s="1345" t="n"/>
      <c r="N469" s="1345" t="n"/>
    </row>
    <row r="470">
      <c r="A470" s="834" t="n"/>
      <c r="B470" s="835" t="n"/>
      <c r="C470" s="836" t="n"/>
      <c r="D470" s="836" t="n"/>
      <c r="E470" s="836" t="n"/>
      <c r="F470" s="836" t="n"/>
      <c r="G470" s="837" t="n"/>
      <c r="H470" s="836" t="n"/>
      <c r="I470" s="837" t="n"/>
      <c r="J470" s="1345" t="n"/>
      <c r="K470" s="1345" t="n"/>
      <c r="L470" s="1345" t="n"/>
      <c r="M470" s="1345" t="n"/>
      <c r="N470" s="1345" t="n"/>
    </row>
    <row r="471">
      <c r="A471" s="834" t="n"/>
      <c r="B471" s="835" t="n"/>
      <c r="C471" s="836" t="n"/>
      <c r="D471" s="836" t="n"/>
      <c r="E471" s="836" t="n"/>
      <c r="F471" s="836" t="n"/>
      <c r="G471" s="837" t="n"/>
      <c r="H471" s="836" t="n"/>
      <c r="I471" s="837" t="n"/>
      <c r="J471" s="1345" t="n"/>
      <c r="K471" s="1345" t="n"/>
      <c r="L471" s="1345" t="n"/>
      <c r="M471" s="1345" t="n"/>
      <c r="N471" s="1345" t="n"/>
    </row>
    <row r="472">
      <c r="A472" s="834" t="n"/>
      <c r="B472" s="835" t="n"/>
      <c r="C472" s="836" t="n"/>
      <c r="D472" s="836" t="n"/>
      <c r="E472" s="836" t="n"/>
      <c r="F472" s="836" t="n"/>
      <c r="G472" s="837" t="n"/>
      <c r="H472" s="836" t="n"/>
      <c r="I472" s="837" t="n"/>
      <c r="J472" s="1345" t="n"/>
      <c r="K472" s="1345" t="n"/>
      <c r="L472" s="1345" t="n"/>
      <c r="M472" s="1345" t="n"/>
      <c r="N472" s="1345" t="n"/>
    </row>
    <row r="473">
      <c r="A473" s="834" t="n"/>
      <c r="B473" s="835" t="n"/>
      <c r="C473" s="836" t="n"/>
      <c r="D473" s="836" t="n"/>
      <c r="E473" s="836" t="n"/>
      <c r="F473" s="836" t="n"/>
      <c r="G473" s="837" t="n"/>
      <c r="H473" s="836" t="n"/>
      <c r="I473" s="837" t="n"/>
      <c r="J473" s="1345" t="n"/>
      <c r="K473" s="1345" t="n"/>
      <c r="L473" s="1345" t="n"/>
      <c r="M473" s="1345" t="n"/>
      <c r="N473" s="1345" t="n"/>
    </row>
    <row r="474">
      <c r="A474" s="834" t="n"/>
      <c r="B474" s="835" t="n"/>
      <c r="C474" s="836" t="n"/>
      <c r="D474" s="836" t="n"/>
      <c r="E474" s="836" t="n"/>
      <c r="F474" s="836" t="n"/>
      <c r="G474" s="837" t="n"/>
      <c r="H474" s="836" t="n"/>
      <c r="I474" s="837" t="n"/>
      <c r="J474" s="1345" t="n"/>
      <c r="K474" s="1345" t="n"/>
      <c r="L474" s="1345" t="n"/>
      <c r="M474" s="1345" t="n"/>
      <c r="N474" s="1345" t="n"/>
    </row>
    <row r="475">
      <c r="A475" s="834" t="n"/>
      <c r="B475" s="835" t="n"/>
      <c r="C475" s="836" t="n"/>
      <c r="D475" s="836" t="n"/>
      <c r="E475" s="836" t="n"/>
      <c r="F475" s="836" t="n"/>
      <c r="G475" s="837" t="n"/>
      <c r="H475" s="836" t="n"/>
      <c r="I475" s="837" t="n"/>
      <c r="J475" s="1345" t="n"/>
      <c r="K475" s="1345" t="n"/>
      <c r="L475" s="1345" t="n"/>
      <c r="M475" s="1345" t="n"/>
      <c r="N475" s="1345" t="n"/>
    </row>
    <row r="476">
      <c r="A476" s="834" t="n"/>
      <c r="B476" s="835" t="n"/>
      <c r="C476" s="836" t="n"/>
      <c r="D476" s="836" t="n"/>
      <c r="E476" s="836" t="n"/>
      <c r="F476" s="836" t="n"/>
      <c r="G476" s="837" t="n"/>
      <c r="H476" s="836" t="n"/>
      <c r="I476" s="837" t="n"/>
      <c r="J476" s="1345" t="n"/>
      <c r="K476" s="1345" t="n"/>
      <c r="L476" s="1345" t="n"/>
      <c r="M476" s="1345" t="n"/>
      <c r="N476" s="1345" t="n"/>
    </row>
    <row r="477">
      <c r="A477" s="834" t="n"/>
      <c r="B477" s="835" t="n"/>
      <c r="C477" s="836" t="n"/>
      <c r="D477" s="836" t="n"/>
      <c r="E477" s="836" t="n"/>
      <c r="F477" s="836" t="n"/>
      <c r="G477" s="837" t="n"/>
      <c r="H477" s="836" t="n"/>
      <c r="I477" s="837" t="n"/>
      <c r="J477" s="1345" t="n"/>
      <c r="K477" s="1345" t="n"/>
      <c r="L477" s="1345" t="n"/>
      <c r="M477" s="1345" t="n"/>
      <c r="N477" s="1345" t="n"/>
    </row>
    <row r="478">
      <c r="A478" s="834" t="n"/>
      <c r="B478" s="835" t="n"/>
      <c r="C478" s="836" t="n"/>
      <c r="D478" s="836" t="n"/>
      <c r="E478" s="836" t="n"/>
      <c r="F478" s="836" t="n"/>
      <c r="G478" s="837" t="n"/>
      <c r="H478" s="836" t="n"/>
      <c r="I478" s="837" t="n"/>
      <c r="J478" s="1345" t="n"/>
      <c r="K478" s="1345" t="n"/>
      <c r="L478" s="1345" t="n"/>
      <c r="M478" s="1345" t="n"/>
      <c r="N478" s="1345" t="n"/>
    </row>
    <row r="479">
      <c r="A479" s="834" t="n"/>
      <c r="B479" s="835" t="n"/>
      <c r="C479" s="836" t="n"/>
      <c r="D479" s="836" t="n"/>
      <c r="E479" s="836" t="n"/>
      <c r="F479" s="836" t="n"/>
      <c r="G479" s="837" t="n"/>
      <c r="H479" s="836" t="n"/>
      <c r="I479" s="837" t="n"/>
      <c r="J479" s="1345" t="n"/>
      <c r="K479" s="1345" t="n"/>
      <c r="L479" s="1345" t="n"/>
      <c r="M479" s="1345" t="n"/>
      <c r="N479" s="1345" t="n"/>
    </row>
    <row r="480">
      <c r="A480" s="834" t="n"/>
      <c r="B480" s="835" t="n"/>
      <c r="C480" s="836" t="n"/>
      <c r="D480" s="836" t="n"/>
      <c r="E480" s="836" t="n"/>
      <c r="F480" s="836" t="n"/>
      <c r="G480" s="837" t="n"/>
      <c r="H480" s="836" t="n"/>
      <c r="I480" s="837" t="n"/>
      <c r="J480" s="1345" t="n"/>
      <c r="K480" s="1345" t="n"/>
      <c r="L480" s="1345" t="n"/>
      <c r="M480" s="1345" t="n"/>
      <c r="N480" s="1345" t="n"/>
    </row>
    <row r="481">
      <c r="A481" s="834" t="n"/>
      <c r="B481" s="835" t="n"/>
      <c r="C481" s="836" t="n"/>
      <c r="D481" s="836" t="n"/>
      <c r="E481" s="836" t="n"/>
      <c r="F481" s="836" t="n"/>
      <c r="G481" s="837" t="n"/>
      <c r="H481" s="836" t="n"/>
      <c r="I481" s="837" t="n"/>
      <c r="J481" s="1345" t="n"/>
      <c r="K481" s="1345" t="n"/>
      <c r="L481" s="1345" t="n"/>
      <c r="M481" s="1345" t="n"/>
      <c r="N481" s="1345" t="n"/>
    </row>
    <row r="482">
      <c r="A482" s="834" t="n"/>
      <c r="B482" s="835" t="n"/>
      <c r="C482" s="836" t="n"/>
      <c r="D482" s="836" t="n"/>
      <c r="E482" s="836" t="n"/>
      <c r="F482" s="836" t="n"/>
      <c r="G482" s="837" t="n"/>
      <c r="H482" s="836" t="n"/>
      <c r="I482" s="837" t="n"/>
      <c r="J482" s="1345" t="n"/>
      <c r="K482" s="1345" t="n"/>
      <c r="L482" s="1345" t="n"/>
      <c r="M482" s="1345" t="n"/>
      <c r="N482" s="1345" t="n"/>
    </row>
    <row r="483">
      <c r="A483" s="834" t="n"/>
      <c r="B483" s="835" t="n"/>
      <c r="C483" s="836" t="n"/>
      <c r="D483" s="836" t="n"/>
      <c r="E483" s="836" t="n"/>
      <c r="F483" s="836" t="n"/>
      <c r="G483" s="837" t="n"/>
      <c r="H483" s="836" t="n"/>
      <c r="I483" s="837" t="n"/>
      <c r="J483" s="1345" t="n"/>
      <c r="K483" s="1345" t="n"/>
      <c r="L483" s="1345" t="n"/>
      <c r="M483" s="1345" t="n"/>
      <c r="N483" s="1345" t="n"/>
    </row>
    <row r="484">
      <c r="A484" s="834" t="n"/>
      <c r="B484" s="835" t="n"/>
      <c r="C484" s="836" t="n"/>
      <c r="D484" s="836" t="n"/>
      <c r="E484" s="836" t="n"/>
      <c r="F484" s="836" t="n"/>
      <c r="G484" s="837" t="n"/>
      <c r="H484" s="836" t="n"/>
      <c r="I484" s="837" t="n"/>
      <c r="J484" s="1345" t="n"/>
      <c r="K484" s="1345" t="n"/>
      <c r="L484" s="1345" t="n"/>
      <c r="M484" s="1345" t="n"/>
      <c r="N484" s="1345" t="n"/>
    </row>
    <row r="485">
      <c r="A485" s="834" t="n"/>
      <c r="B485" s="835" t="n"/>
      <c r="C485" s="836" t="n"/>
      <c r="D485" s="836" t="n"/>
      <c r="E485" s="836" t="n"/>
      <c r="F485" s="836" t="n"/>
      <c r="G485" s="837" t="n"/>
      <c r="H485" s="836" t="n"/>
      <c r="I485" s="837" t="n"/>
      <c r="J485" s="1345" t="n"/>
      <c r="K485" s="1345" t="n"/>
      <c r="L485" s="1345" t="n"/>
      <c r="M485" s="1345" t="n"/>
      <c r="N485" s="1345" t="n"/>
    </row>
    <row r="486">
      <c r="A486" s="834" t="n"/>
      <c r="B486" s="835" t="n"/>
      <c r="C486" s="836" t="n"/>
      <c r="D486" s="836" t="n"/>
      <c r="E486" s="836" t="n"/>
      <c r="F486" s="836" t="n"/>
      <c r="G486" s="837" t="n"/>
      <c r="H486" s="836" t="n"/>
      <c r="I486" s="837" t="n"/>
      <c r="J486" s="1345" t="n"/>
      <c r="K486" s="1345" t="n"/>
      <c r="L486" s="1345" t="n"/>
      <c r="M486" s="1345" t="n"/>
      <c r="N486" s="1345" t="n"/>
    </row>
    <row r="487">
      <c r="A487" s="834" t="n"/>
      <c r="B487" s="835" t="n"/>
      <c r="C487" s="836" t="n"/>
      <c r="D487" s="836" t="n"/>
      <c r="E487" s="836" t="n"/>
      <c r="F487" s="836" t="n"/>
      <c r="G487" s="837" t="n"/>
      <c r="H487" s="836" t="n"/>
      <c r="I487" s="837" t="n"/>
      <c r="J487" s="1345" t="n"/>
      <c r="K487" s="1345" t="n"/>
      <c r="L487" s="1345" t="n"/>
      <c r="M487" s="1345" t="n"/>
      <c r="N487" s="1345" t="n"/>
    </row>
    <row r="488">
      <c r="A488" s="834" t="n"/>
      <c r="B488" s="835" t="n"/>
      <c r="C488" s="836" t="n"/>
      <c r="D488" s="836" t="n"/>
      <c r="E488" s="836" t="n"/>
      <c r="F488" s="836" t="n"/>
      <c r="G488" s="837" t="n"/>
      <c r="H488" s="836" t="n"/>
      <c r="I488" s="837" t="n"/>
      <c r="J488" s="1345" t="n"/>
      <c r="K488" s="1345" t="n"/>
      <c r="L488" s="1345" t="n"/>
      <c r="M488" s="1345" t="n"/>
      <c r="N488" s="1345" t="n"/>
    </row>
    <row r="489">
      <c r="A489" s="834" t="n"/>
      <c r="B489" s="835" t="n"/>
      <c r="C489" s="836" t="n"/>
      <c r="D489" s="836" t="n"/>
      <c r="E489" s="836" t="n"/>
      <c r="F489" s="836" t="n"/>
      <c r="G489" s="837" t="n"/>
      <c r="H489" s="836" t="n"/>
      <c r="I489" s="837" t="n"/>
      <c r="J489" s="1345" t="n"/>
      <c r="K489" s="1345" t="n"/>
      <c r="L489" s="1345" t="n"/>
      <c r="M489" s="1345" t="n"/>
      <c r="N489" s="1345" t="n"/>
    </row>
    <row r="490">
      <c r="A490" s="834" t="n"/>
      <c r="B490" s="835" t="n"/>
      <c r="C490" s="836" t="n"/>
      <c r="D490" s="836" t="n"/>
      <c r="E490" s="836" t="n"/>
      <c r="F490" s="836" t="n"/>
      <c r="G490" s="837" t="n"/>
      <c r="H490" s="836" t="n"/>
      <c r="I490" s="837" t="n"/>
      <c r="J490" s="1345" t="n"/>
      <c r="K490" s="1345" t="n"/>
      <c r="L490" s="1345" t="n"/>
      <c r="M490" s="1345" t="n"/>
      <c r="N490" s="1345" t="n"/>
    </row>
    <row r="491">
      <c r="A491" s="834" t="n"/>
      <c r="B491" s="835" t="n"/>
      <c r="C491" s="836" t="n"/>
      <c r="D491" s="836" t="n"/>
      <c r="E491" s="836" t="n"/>
      <c r="F491" s="836" t="n"/>
      <c r="G491" s="837" t="n"/>
      <c r="H491" s="836" t="n"/>
      <c r="I491" s="837" t="n"/>
      <c r="J491" s="1345" t="n"/>
      <c r="K491" s="1345" t="n"/>
      <c r="L491" s="1345" t="n"/>
      <c r="M491" s="1345" t="n"/>
      <c r="N491" s="1345" t="n"/>
    </row>
    <row r="492">
      <c r="A492" s="834" t="n"/>
      <c r="B492" s="835" t="n"/>
      <c r="C492" s="836" t="n"/>
      <c r="D492" s="836" t="n"/>
      <c r="E492" s="836" t="n"/>
      <c r="F492" s="836" t="n"/>
      <c r="G492" s="837" t="n"/>
      <c r="H492" s="836" t="n"/>
      <c r="I492" s="837" t="n"/>
      <c r="J492" s="1345" t="n"/>
      <c r="K492" s="1345" t="n"/>
      <c r="L492" s="1345" t="n"/>
      <c r="M492" s="1345" t="n"/>
      <c r="N492" s="1345" t="n"/>
    </row>
    <row r="493">
      <c r="A493" s="834" t="n"/>
      <c r="B493" s="835" t="n"/>
      <c r="C493" s="836" t="n"/>
      <c r="D493" s="836" t="n"/>
      <c r="E493" s="836" t="n"/>
      <c r="F493" s="836" t="n"/>
      <c r="G493" s="837" t="n"/>
      <c r="H493" s="836" t="n"/>
      <c r="I493" s="837" t="n"/>
      <c r="J493" s="1345" t="n"/>
      <c r="K493" s="1345" t="n"/>
      <c r="L493" s="1345" t="n"/>
      <c r="M493" s="1345" t="n"/>
      <c r="N493" s="1345" t="n"/>
    </row>
    <row r="494">
      <c r="A494" s="834" t="n"/>
      <c r="B494" s="835" t="n"/>
      <c r="C494" s="836" t="n"/>
      <c r="D494" s="836" t="n"/>
      <c r="E494" s="836" t="n"/>
      <c r="F494" s="836" t="n"/>
      <c r="G494" s="837" t="n"/>
      <c r="H494" s="836" t="n"/>
      <c r="I494" s="837" t="n"/>
      <c r="J494" s="1345" t="n"/>
      <c r="K494" s="1345" t="n"/>
      <c r="L494" s="1345" t="n"/>
      <c r="M494" s="1345" t="n"/>
      <c r="N494" s="1345" t="n"/>
    </row>
    <row r="495">
      <c r="A495" s="834" t="n"/>
      <c r="B495" s="835" t="n"/>
      <c r="C495" s="836" t="n"/>
      <c r="D495" s="836" t="n"/>
      <c r="E495" s="836" t="n"/>
      <c r="F495" s="836" t="n"/>
      <c r="G495" s="837" t="n"/>
      <c r="H495" s="836" t="n"/>
      <c r="I495" s="837" t="n"/>
      <c r="J495" s="1345" t="n"/>
      <c r="K495" s="1345" t="n"/>
      <c r="L495" s="1345" t="n"/>
      <c r="M495" s="1345" t="n"/>
      <c r="N495" s="1345" t="n"/>
    </row>
    <row r="496">
      <c r="A496" s="834" t="n"/>
      <c r="B496" s="835" t="n"/>
      <c r="C496" s="836" t="n"/>
      <c r="D496" s="836" t="n"/>
      <c r="E496" s="836" t="n"/>
      <c r="F496" s="836" t="n"/>
      <c r="G496" s="837" t="n"/>
      <c r="H496" s="836" t="n"/>
      <c r="I496" s="837" t="n"/>
      <c r="J496" s="1345" t="n"/>
      <c r="K496" s="1345" t="n"/>
      <c r="L496" s="1345" t="n"/>
      <c r="M496" s="1345" t="n"/>
      <c r="N496" s="1345" t="n"/>
    </row>
    <row r="497">
      <c r="A497" s="834" t="n"/>
      <c r="B497" s="835" t="n"/>
      <c r="C497" s="836" t="n"/>
      <c r="D497" s="836" t="n"/>
      <c r="E497" s="836" t="n"/>
      <c r="F497" s="836" t="n"/>
      <c r="G497" s="837" t="n"/>
      <c r="H497" s="836" t="n"/>
      <c r="I497" s="837" t="n"/>
      <c r="J497" s="1345" t="n"/>
      <c r="K497" s="1345" t="n"/>
      <c r="L497" s="1345" t="n"/>
      <c r="M497" s="1345" t="n"/>
      <c r="N497" s="1345" t="n"/>
    </row>
    <row r="498">
      <c r="A498" s="834" t="n"/>
      <c r="B498" s="835" t="n"/>
      <c r="C498" s="836" t="n"/>
      <c r="D498" s="836" t="n"/>
      <c r="E498" s="836" t="n"/>
      <c r="F498" s="836" t="n"/>
      <c r="G498" s="837" t="n"/>
      <c r="H498" s="836" t="n"/>
      <c r="I498" s="837" t="n"/>
      <c r="J498" s="1345" t="n"/>
      <c r="K498" s="1345" t="n"/>
      <c r="L498" s="1345" t="n"/>
      <c r="M498" s="1345" t="n"/>
      <c r="N498" s="1345" t="n"/>
    </row>
    <row r="499">
      <c r="A499" s="834" t="n"/>
      <c r="B499" s="835" t="n"/>
      <c r="C499" s="836" t="n"/>
      <c r="D499" s="836" t="n"/>
      <c r="E499" s="836" t="n"/>
      <c r="F499" s="836" t="n"/>
      <c r="G499" s="837" t="n"/>
      <c r="H499" s="836" t="n"/>
      <c r="I499" s="837" t="n"/>
      <c r="J499" s="1345" t="n"/>
      <c r="K499" s="1345" t="n"/>
      <c r="L499" s="1345" t="n"/>
      <c r="M499" s="1345" t="n"/>
      <c r="N499" s="1345" t="n"/>
    </row>
    <row r="500">
      <c r="A500" s="834" t="n"/>
      <c r="B500" s="835" t="n"/>
      <c r="C500" s="836" t="n"/>
      <c r="D500" s="836" t="n"/>
      <c r="E500" s="836" t="n"/>
      <c r="F500" s="836" t="n"/>
      <c r="G500" s="837" t="n"/>
      <c r="H500" s="836" t="n"/>
      <c r="I500" s="837" t="n"/>
      <c r="J500" s="1345" t="n"/>
      <c r="K500" s="1345" t="n"/>
      <c r="L500" s="1345" t="n"/>
      <c r="M500" s="1345" t="n"/>
      <c r="N500" s="1345" t="n"/>
    </row>
    <row r="501">
      <c r="A501" s="834" t="n"/>
      <c r="B501" s="835" t="n"/>
      <c r="C501" s="836" t="n"/>
      <c r="D501" s="836" t="n"/>
      <c r="E501" s="836" t="n"/>
      <c r="F501" s="836" t="n"/>
      <c r="G501" s="837" t="n"/>
      <c r="H501" s="836" t="n"/>
      <c r="I501" s="837" t="n"/>
      <c r="J501" s="1345" t="n"/>
      <c r="K501" s="1345" t="n"/>
      <c r="L501" s="1345" t="n"/>
      <c r="M501" s="1345" t="n"/>
      <c r="N501" s="1345" t="n"/>
    </row>
    <row r="502">
      <c r="A502" s="834" t="n"/>
      <c r="B502" s="835" t="n"/>
      <c r="C502" s="836" t="n"/>
      <c r="D502" s="836" t="n"/>
      <c r="E502" s="836" t="n"/>
      <c r="F502" s="836" t="n"/>
      <c r="G502" s="837" t="n"/>
      <c r="H502" s="836" t="n"/>
      <c r="I502" s="837" t="n"/>
      <c r="J502" s="1345" t="n"/>
      <c r="K502" s="1345" t="n"/>
      <c r="L502" s="1345" t="n"/>
      <c r="M502" s="1345" t="n"/>
      <c r="N502" s="1345" t="n"/>
    </row>
    <row r="503">
      <c r="A503" s="834" t="n"/>
      <c r="B503" s="835" t="n"/>
      <c r="C503" s="836" t="n"/>
      <c r="D503" s="836" t="n"/>
      <c r="E503" s="836" t="n"/>
      <c r="F503" s="836" t="n"/>
      <c r="G503" s="837" t="n"/>
      <c r="H503" s="836" t="n"/>
      <c r="I503" s="837" t="n"/>
      <c r="J503" s="1345" t="n"/>
      <c r="K503" s="1345" t="n"/>
      <c r="L503" s="1345" t="n"/>
      <c r="M503" s="1345" t="n"/>
      <c r="N503" s="1345" t="n"/>
    </row>
    <row r="504">
      <c r="A504" s="834" t="n"/>
      <c r="B504" s="835" t="n"/>
      <c r="C504" s="836" t="n"/>
      <c r="D504" s="836" t="n"/>
      <c r="E504" s="836" t="n"/>
      <c r="F504" s="836" t="n"/>
      <c r="G504" s="837" t="n"/>
      <c r="H504" s="836" t="n"/>
      <c r="I504" s="837" t="n"/>
      <c r="J504" s="1345" t="n"/>
      <c r="K504" s="1345" t="n"/>
      <c r="L504" s="1345" t="n"/>
      <c r="M504" s="1345" t="n"/>
      <c r="N504" s="1345" t="n"/>
    </row>
    <row r="505">
      <c r="A505" s="834" t="n"/>
      <c r="B505" s="835" t="n"/>
      <c r="C505" s="836" t="n"/>
      <c r="D505" s="836" t="n"/>
      <c r="E505" s="836" t="n"/>
      <c r="F505" s="836" t="n"/>
      <c r="G505" s="837" t="n"/>
      <c r="H505" s="836" t="n"/>
      <c r="I505" s="837" t="n"/>
      <c r="J505" s="1345" t="n"/>
      <c r="K505" s="1345" t="n"/>
      <c r="L505" s="1345" t="n"/>
      <c r="M505" s="1345" t="n"/>
      <c r="N505" s="1345" t="n"/>
    </row>
    <row r="506">
      <c r="A506" s="834" t="n"/>
      <c r="B506" s="835" t="n"/>
      <c r="C506" s="836" t="n"/>
      <c r="D506" s="836" t="n"/>
      <c r="E506" s="836" t="n"/>
      <c r="F506" s="836" t="n"/>
      <c r="G506" s="837" t="n"/>
      <c r="H506" s="836" t="n"/>
      <c r="I506" s="837" t="n"/>
      <c r="J506" s="1345" t="n"/>
      <c r="K506" s="1345" t="n"/>
      <c r="L506" s="1345" t="n"/>
      <c r="M506" s="1345" t="n"/>
      <c r="N506" s="1345" t="n"/>
    </row>
    <row r="507">
      <c r="A507" s="834" t="n"/>
      <c r="B507" s="835" t="n"/>
      <c r="C507" s="836" t="n"/>
      <c r="D507" s="836" t="n"/>
      <c r="E507" s="836" t="n"/>
      <c r="F507" s="836" t="n"/>
      <c r="G507" s="837" t="n"/>
      <c r="H507" s="836" t="n"/>
      <c r="I507" s="837" t="n"/>
      <c r="J507" s="1345" t="n"/>
      <c r="K507" s="1345" t="n"/>
      <c r="L507" s="1345" t="n"/>
      <c r="M507" s="1345" t="n"/>
      <c r="N507" s="1345" t="n"/>
    </row>
    <row r="508">
      <c r="A508" s="834" t="n"/>
      <c r="B508" s="835" t="n"/>
      <c r="C508" s="836" t="n"/>
      <c r="D508" s="836" t="n"/>
      <c r="E508" s="836" t="n"/>
      <c r="F508" s="836" t="n"/>
      <c r="G508" s="837" t="n"/>
      <c r="H508" s="836" t="n"/>
      <c r="I508" s="837" t="n"/>
      <c r="J508" s="1345" t="n"/>
      <c r="K508" s="1345" t="n"/>
      <c r="L508" s="1345" t="n"/>
      <c r="M508" s="1345" t="n"/>
      <c r="N508" s="1345" t="n"/>
    </row>
    <row r="509">
      <c r="A509" s="834" t="n"/>
      <c r="B509" s="835" t="n"/>
      <c r="C509" s="836" t="n"/>
      <c r="D509" s="836" t="n"/>
      <c r="E509" s="836" t="n"/>
      <c r="F509" s="836" t="n"/>
      <c r="G509" s="837" t="n"/>
      <c r="H509" s="836" t="n"/>
      <c r="I509" s="837" t="n"/>
      <c r="J509" s="1345" t="n"/>
      <c r="K509" s="1345" t="n"/>
      <c r="L509" s="1345" t="n"/>
      <c r="M509" s="1345" t="n"/>
      <c r="N509" s="1345" t="n"/>
    </row>
    <row r="510">
      <c r="A510" s="834" t="n"/>
      <c r="B510" s="835" t="n"/>
      <c r="C510" s="836" t="n"/>
      <c r="D510" s="836" t="n"/>
      <c r="E510" s="836" t="n"/>
      <c r="F510" s="836" t="n"/>
      <c r="G510" s="837" t="n"/>
      <c r="H510" s="836" t="n"/>
      <c r="I510" s="837" t="n"/>
      <c r="J510" s="1345" t="n"/>
      <c r="K510" s="1345" t="n"/>
      <c r="L510" s="1345" t="n"/>
      <c r="M510" s="1345" t="n"/>
      <c r="N510" s="1345" t="n"/>
    </row>
    <row r="511">
      <c r="A511" s="834" t="n"/>
      <c r="B511" s="835" t="n"/>
      <c r="C511" s="836" t="n"/>
      <c r="D511" s="836" t="n"/>
      <c r="E511" s="836" t="n"/>
      <c r="F511" s="836" t="n"/>
      <c r="G511" s="837" t="n"/>
      <c r="H511" s="836" t="n"/>
      <c r="I511" s="837" t="n"/>
      <c r="J511" s="1345" t="n"/>
      <c r="K511" s="1345" t="n"/>
      <c r="L511" s="1345" t="n"/>
      <c r="M511" s="1345" t="n"/>
      <c r="N511" s="1345" t="n"/>
    </row>
    <row r="512">
      <c r="A512" s="834" t="n"/>
      <c r="B512" s="835" t="n"/>
      <c r="C512" s="836" t="n"/>
      <c r="D512" s="836" t="n"/>
      <c r="E512" s="836" t="n"/>
      <c r="F512" s="836" t="n"/>
      <c r="G512" s="837" t="n"/>
      <c r="H512" s="836" t="n"/>
      <c r="I512" s="837" t="n"/>
      <c r="J512" s="1345" t="n"/>
      <c r="K512" s="1345" t="n"/>
      <c r="L512" s="1345" t="n"/>
      <c r="M512" s="1345" t="n"/>
      <c r="N512" s="1345" t="n"/>
    </row>
    <row r="513">
      <c r="A513" s="834" t="n"/>
      <c r="B513" s="835" t="n"/>
      <c r="C513" s="836" t="n"/>
      <c r="D513" s="836" t="n"/>
      <c r="E513" s="836" t="n"/>
      <c r="F513" s="836" t="n"/>
      <c r="G513" s="837" t="n"/>
      <c r="H513" s="836" t="n"/>
      <c r="I513" s="837" t="n"/>
      <c r="J513" s="1345" t="n"/>
      <c r="K513" s="1345" t="n"/>
      <c r="L513" s="1345" t="n"/>
      <c r="M513" s="1345" t="n"/>
      <c r="N513" s="1345" t="n"/>
    </row>
    <row r="514">
      <c r="A514" s="834" t="n"/>
      <c r="B514" s="835" t="n"/>
      <c r="C514" s="836" t="n"/>
      <c r="D514" s="836" t="n"/>
      <c r="E514" s="836" t="n"/>
      <c r="F514" s="836" t="n"/>
      <c r="G514" s="837" t="n"/>
      <c r="H514" s="836" t="n"/>
      <c r="I514" s="837" t="n"/>
      <c r="J514" s="1345" t="n"/>
      <c r="K514" s="1345" t="n"/>
      <c r="L514" s="1345" t="n"/>
      <c r="M514" s="1345" t="n"/>
      <c r="N514" s="1345" t="n"/>
    </row>
    <row r="515">
      <c r="A515" s="834" t="n"/>
      <c r="B515" s="835" t="n"/>
      <c r="C515" s="836" t="n"/>
      <c r="D515" s="836" t="n"/>
      <c r="E515" s="836" t="n"/>
      <c r="F515" s="836" t="n"/>
      <c r="G515" s="837" t="n"/>
      <c r="H515" s="836" t="n"/>
      <c r="I515" s="837" t="n"/>
      <c r="J515" s="1345" t="n"/>
      <c r="K515" s="1345" t="n"/>
      <c r="L515" s="1345" t="n"/>
      <c r="M515" s="1345" t="n"/>
      <c r="N515" s="1345" t="n"/>
    </row>
    <row r="516">
      <c r="A516" s="834" t="n"/>
      <c r="B516" s="835" t="n"/>
      <c r="C516" s="836" t="n"/>
      <c r="D516" s="836" t="n"/>
      <c r="E516" s="836" t="n"/>
      <c r="F516" s="836" t="n"/>
      <c r="G516" s="837" t="n"/>
      <c r="H516" s="836" t="n"/>
      <c r="I516" s="837" t="n"/>
      <c r="J516" s="1345" t="n"/>
      <c r="K516" s="1345" t="n"/>
      <c r="L516" s="1345" t="n"/>
      <c r="M516" s="1345" t="n"/>
      <c r="N516" s="1345" t="n"/>
    </row>
    <row r="517">
      <c r="A517" s="834" t="n"/>
      <c r="B517" s="835" t="n"/>
      <c r="C517" s="836" t="n"/>
      <c r="D517" s="836" t="n"/>
      <c r="E517" s="836" t="n"/>
      <c r="F517" s="836" t="n"/>
      <c r="G517" s="837" t="n"/>
      <c r="H517" s="836" t="n"/>
      <c r="I517" s="837" t="n"/>
      <c r="J517" s="1345" t="n"/>
      <c r="K517" s="1345" t="n"/>
      <c r="L517" s="1345" t="n"/>
      <c r="M517" s="1345" t="n"/>
      <c r="N517" s="1345" t="n"/>
    </row>
    <row r="518">
      <c r="A518" s="834" t="n"/>
      <c r="B518" s="835" t="n"/>
      <c r="C518" s="836" t="n"/>
      <c r="D518" s="836" t="n"/>
      <c r="E518" s="836" t="n"/>
      <c r="F518" s="836" t="n"/>
      <c r="G518" s="837" t="n"/>
      <c r="H518" s="836" t="n"/>
      <c r="I518" s="837" t="n"/>
      <c r="J518" s="1345" t="n"/>
      <c r="K518" s="1345" t="n"/>
      <c r="L518" s="1345" t="n"/>
      <c r="M518" s="1345" t="n"/>
      <c r="N518" s="1345" t="n"/>
    </row>
    <row r="519">
      <c r="A519" s="834" t="n"/>
      <c r="B519" s="835" t="n"/>
      <c r="C519" s="836" t="n"/>
      <c r="D519" s="836" t="n"/>
      <c r="E519" s="836" t="n"/>
      <c r="F519" s="836" t="n"/>
      <c r="G519" s="837" t="n"/>
      <c r="H519" s="836" t="n"/>
      <c r="I519" s="837" t="n"/>
      <c r="J519" s="1345" t="n"/>
      <c r="K519" s="1345" t="n"/>
      <c r="L519" s="1345" t="n"/>
      <c r="M519" s="1345" t="n"/>
      <c r="N519" s="1345" t="n"/>
    </row>
    <row r="520">
      <c r="A520" s="834" t="n"/>
      <c r="B520" s="835" t="n"/>
      <c r="C520" s="836" t="n"/>
      <c r="D520" s="836" t="n"/>
      <c r="E520" s="836" t="n"/>
      <c r="F520" s="836" t="n"/>
      <c r="G520" s="837" t="n"/>
      <c r="H520" s="836" t="n"/>
      <c r="I520" s="837" t="n"/>
      <c r="J520" s="1345" t="n"/>
      <c r="K520" s="1345" t="n"/>
      <c r="L520" s="1345" t="n"/>
      <c r="M520" s="1345" t="n"/>
      <c r="N520" s="1345" t="n"/>
    </row>
    <row r="521">
      <c r="A521" s="834" t="n"/>
      <c r="B521" s="835" t="n"/>
      <c r="C521" s="836" t="n"/>
      <c r="D521" s="836" t="n"/>
      <c r="E521" s="836" t="n"/>
      <c r="F521" s="836" t="n"/>
      <c r="G521" s="837" t="n"/>
      <c r="H521" s="836" t="n"/>
      <c r="I521" s="837" t="n"/>
      <c r="J521" s="1345" t="n"/>
      <c r="K521" s="1345" t="n"/>
      <c r="L521" s="1345" t="n"/>
      <c r="M521" s="1345" t="n"/>
      <c r="N521" s="1345" t="n"/>
    </row>
    <row r="522">
      <c r="A522" s="834" t="n"/>
      <c r="B522" s="835" t="n"/>
      <c r="C522" s="836" t="n"/>
      <c r="D522" s="836" t="n"/>
      <c r="E522" s="836" t="n"/>
      <c r="F522" s="836" t="n"/>
      <c r="G522" s="837" t="n"/>
      <c r="H522" s="836" t="n"/>
      <c r="I522" s="837" t="n"/>
      <c r="J522" s="1345" t="n"/>
      <c r="K522" s="1345" t="n"/>
      <c r="L522" s="1345" t="n"/>
      <c r="M522" s="1345" t="n"/>
      <c r="N522" s="1345" t="n"/>
    </row>
    <row r="523">
      <c r="A523" s="834" t="n"/>
      <c r="B523" s="835" t="n"/>
      <c r="C523" s="836" t="n"/>
      <c r="D523" s="836" t="n"/>
      <c r="E523" s="836" t="n"/>
      <c r="F523" s="836" t="n"/>
      <c r="G523" s="837" t="n"/>
      <c r="H523" s="836" t="n"/>
      <c r="I523" s="837" t="n"/>
      <c r="J523" s="1345" t="n"/>
      <c r="K523" s="1345" t="n"/>
      <c r="L523" s="1345" t="n"/>
      <c r="M523" s="1345" t="n"/>
      <c r="N523" s="1345" t="n"/>
    </row>
    <row r="524">
      <c r="A524" s="834" t="n"/>
      <c r="B524" s="835" t="n"/>
      <c r="C524" s="836" t="n"/>
      <c r="D524" s="836" t="n"/>
      <c r="E524" s="836" t="n"/>
      <c r="F524" s="836" t="n"/>
      <c r="G524" s="837" t="n"/>
      <c r="H524" s="836" t="n"/>
      <c r="I524" s="837" t="n"/>
      <c r="J524" s="1345" t="n"/>
      <c r="K524" s="1345" t="n"/>
      <c r="L524" s="1345" t="n"/>
      <c r="M524" s="1345" t="n"/>
      <c r="N524" s="1345" t="n"/>
    </row>
    <row r="525">
      <c r="A525" s="834" t="n"/>
      <c r="B525" s="835" t="n"/>
      <c r="C525" s="836" t="n"/>
      <c r="D525" s="836" t="n"/>
      <c r="E525" s="836" t="n"/>
      <c r="F525" s="836" t="n"/>
      <c r="G525" s="837" t="n"/>
      <c r="H525" s="836" t="n"/>
      <c r="I525" s="837" t="n"/>
      <c r="J525" s="1345" t="n"/>
      <c r="K525" s="1345" t="n"/>
      <c r="L525" s="1345" t="n"/>
      <c r="M525" s="1345" t="n"/>
      <c r="N525" s="1345" t="n"/>
    </row>
    <row r="526">
      <c r="A526" s="834" t="n"/>
      <c r="B526" s="835" t="n"/>
      <c r="C526" s="836" t="n"/>
      <c r="D526" s="836" t="n"/>
      <c r="E526" s="836" t="n"/>
      <c r="F526" s="836" t="n"/>
      <c r="G526" s="837" t="n"/>
      <c r="H526" s="836" t="n"/>
      <c r="I526" s="837" t="n"/>
      <c r="J526" s="1345" t="n"/>
      <c r="K526" s="1345" t="n"/>
      <c r="L526" s="1345" t="n"/>
      <c r="M526" s="1345" t="n"/>
      <c r="N526" s="1345" t="n"/>
    </row>
    <row r="527">
      <c r="A527" s="834" t="n"/>
      <c r="B527" s="835" t="n"/>
      <c r="C527" s="836" t="n"/>
      <c r="D527" s="836" t="n"/>
      <c r="E527" s="836" t="n"/>
      <c r="F527" s="836" t="n"/>
      <c r="G527" s="837" t="n"/>
      <c r="H527" s="836" t="n"/>
      <c r="I527" s="837" t="n"/>
      <c r="J527" s="1345" t="n"/>
      <c r="K527" s="1345" t="n"/>
      <c r="L527" s="1345" t="n"/>
      <c r="M527" s="1345" t="n"/>
      <c r="N527" s="1345" t="n"/>
    </row>
    <row r="528">
      <c r="A528" s="834" t="n"/>
      <c r="B528" s="835" t="n"/>
      <c r="C528" s="836" t="n"/>
      <c r="D528" s="836" t="n"/>
      <c r="E528" s="836" t="n"/>
      <c r="F528" s="836" t="n"/>
      <c r="G528" s="837" t="n"/>
      <c r="H528" s="836" t="n"/>
      <c r="I528" s="837" t="n"/>
      <c r="J528" s="1345" t="n"/>
      <c r="K528" s="1345" t="n"/>
      <c r="L528" s="1345" t="n"/>
      <c r="M528" s="1345" t="n"/>
      <c r="N528" s="1345" t="n"/>
    </row>
    <row r="529">
      <c r="A529" s="834" t="n"/>
      <c r="B529" s="835" t="n"/>
      <c r="C529" s="836" t="n"/>
      <c r="D529" s="836" t="n"/>
      <c r="E529" s="836" t="n"/>
      <c r="F529" s="836" t="n"/>
      <c r="G529" s="837" t="n"/>
      <c r="H529" s="836" t="n"/>
      <c r="I529" s="837" t="n"/>
      <c r="J529" s="1345" t="n"/>
      <c r="K529" s="1345" t="n"/>
      <c r="L529" s="1345" t="n"/>
      <c r="M529" s="1345" t="n"/>
      <c r="N529" s="1345" t="n"/>
    </row>
    <row r="530">
      <c r="A530" s="834" t="n"/>
      <c r="B530" s="835" t="n"/>
      <c r="C530" s="836" t="n"/>
      <c r="D530" s="836" t="n"/>
      <c r="E530" s="836" t="n"/>
      <c r="F530" s="836" t="n"/>
      <c r="G530" s="837" t="n"/>
      <c r="H530" s="836" t="n"/>
      <c r="I530" s="837" t="n"/>
      <c r="J530" s="1345" t="n"/>
      <c r="K530" s="1345" t="n"/>
      <c r="L530" s="1345" t="n"/>
      <c r="M530" s="1345" t="n"/>
      <c r="N530" s="1345" t="n"/>
    </row>
    <row r="531">
      <c r="A531" s="834" t="n"/>
      <c r="B531" s="835" t="n"/>
      <c r="C531" s="836" t="n"/>
      <c r="D531" s="836" t="n"/>
      <c r="E531" s="836" t="n"/>
      <c r="F531" s="836" t="n"/>
      <c r="G531" s="837" t="n"/>
      <c r="H531" s="836" t="n"/>
      <c r="I531" s="837" t="n"/>
      <c r="J531" s="1345" t="n"/>
      <c r="K531" s="1345" t="n"/>
      <c r="L531" s="1345" t="n"/>
      <c r="M531" s="1345" t="n"/>
      <c r="N531" s="1345" t="n"/>
    </row>
    <row r="532">
      <c r="A532" s="834" t="n"/>
      <c r="B532" s="835" t="n"/>
      <c r="C532" s="836" t="n"/>
      <c r="D532" s="836" t="n"/>
      <c r="E532" s="836" t="n"/>
      <c r="F532" s="836" t="n"/>
      <c r="G532" s="837" t="n"/>
      <c r="H532" s="836" t="n"/>
      <c r="I532" s="837" t="n"/>
      <c r="J532" s="1345" t="n"/>
      <c r="K532" s="1345" t="n"/>
      <c r="L532" s="1345" t="n"/>
      <c r="M532" s="1345" t="n"/>
      <c r="N532" s="1345" t="n"/>
    </row>
    <row r="533">
      <c r="A533" s="834" t="n"/>
      <c r="B533" s="835" t="n"/>
      <c r="C533" s="836" t="n"/>
      <c r="D533" s="836" t="n"/>
      <c r="E533" s="836" t="n"/>
      <c r="F533" s="836" t="n"/>
      <c r="G533" s="837" t="n"/>
      <c r="H533" s="836" t="n"/>
      <c r="I533" s="837" t="n"/>
      <c r="J533" s="1345" t="n"/>
      <c r="K533" s="1345" t="n"/>
      <c r="L533" s="1345" t="n"/>
      <c r="M533" s="1345" t="n"/>
      <c r="N533" s="1345" t="n"/>
    </row>
    <row r="534">
      <c r="A534" s="834" t="n"/>
      <c r="B534" s="835" t="n"/>
      <c r="C534" s="836" t="n"/>
      <c r="D534" s="836" t="n"/>
      <c r="E534" s="836" t="n"/>
      <c r="F534" s="836" t="n"/>
      <c r="G534" s="837" t="n"/>
      <c r="H534" s="836" t="n"/>
      <c r="I534" s="837" t="n"/>
      <c r="J534" s="1345" t="n"/>
      <c r="K534" s="1345" t="n"/>
      <c r="L534" s="1345" t="n"/>
      <c r="M534" s="1345" t="n"/>
      <c r="N534" s="1345" t="n"/>
    </row>
    <row r="535">
      <c r="A535" s="834" t="n"/>
      <c r="B535" s="835" t="n"/>
      <c r="C535" s="836" t="n"/>
      <c r="D535" s="836" t="n"/>
      <c r="E535" s="836" t="n"/>
      <c r="F535" s="836" t="n"/>
      <c r="G535" s="837" t="n"/>
      <c r="H535" s="836" t="n"/>
      <c r="I535" s="837" t="n"/>
      <c r="J535" s="1345" t="n"/>
      <c r="K535" s="1345" t="n"/>
      <c r="L535" s="1345" t="n"/>
      <c r="M535" s="1345" t="n"/>
      <c r="N535" s="1345" t="n"/>
    </row>
    <row r="536">
      <c r="A536" s="834" t="n"/>
      <c r="B536" s="835" t="n"/>
      <c r="C536" s="836" t="n"/>
      <c r="D536" s="836" t="n"/>
      <c r="E536" s="836" t="n"/>
      <c r="F536" s="836" t="n"/>
      <c r="G536" s="837" t="n"/>
      <c r="H536" s="836" t="n"/>
      <c r="I536" s="837" t="n"/>
      <c r="J536" s="1345" t="n"/>
      <c r="K536" s="1345" t="n"/>
      <c r="L536" s="1345" t="n"/>
      <c r="M536" s="1345" t="n"/>
      <c r="N536" s="1345" t="n"/>
    </row>
    <row r="537">
      <c r="A537" s="834" t="n"/>
      <c r="B537" s="835" t="n"/>
      <c r="C537" s="836" t="n"/>
      <c r="D537" s="836" t="n"/>
      <c r="E537" s="836" t="n"/>
      <c r="F537" s="836" t="n"/>
      <c r="G537" s="837" t="n"/>
      <c r="H537" s="836" t="n"/>
      <c r="I537" s="837" t="n"/>
      <c r="J537" s="1345" t="n"/>
      <c r="K537" s="1345" t="n"/>
      <c r="L537" s="1345" t="n"/>
      <c r="M537" s="1345" t="n"/>
      <c r="N537" s="1345" t="n"/>
    </row>
    <row r="538">
      <c r="A538" s="834" t="n"/>
      <c r="B538" s="835" t="n"/>
      <c r="C538" s="836" t="n"/>
      <c r="D538" s="836" t="n"/>
      <c r="E538" s="836" t="n"/>
      <c r="F538" s="836" t="n"/>
      <c r="G538" s="837" t="n"/>
      <c r="H538" s="836" t="n"/>
      <c r="I538" s="837" t="n"/>
      <c r="J538" s="1345" t="n"/>
      <c r="K538" s="1345" t="n"/>
      <c r="L538" s="1345" t="n"/>
      <c r="M538" s="1345" t="n"/>
      <c r="N538" s="1345" t="n"/>
    </row>
    <row r="539">
      <c r="A539" s="834" t="n"/>
      <c r="B539" s="835" t="n"/>
      <c r="C539" s="836" t="n"/>
      <c r="D539" s="836" t="n"/>
      <c r="E539" s="836" t="n"/>
      <c r="F539" s="836" t="n"/>
      <c r="G539" s="837" t="n"/>
      <c r="H539" s="836" t="n"/>
      <c r="I539" s="837" t="n"/>
      <c r="J539" s="1345" t="n"/>
      <c r="K539" s="1345" t="n"/>
      <c r="L539" s="1345" t="n"/>
      <c r="M539" s="1345" t="n"/>
      <c r="N539" s="1345" t="n"/>
    </row>
    <row r="540">
      <c r="A540" s="834" t="n"/>
      <c r="B540" s="835" t="n"/>
      <c r="C540" s="836" t="n"/>
      <c r="D540" s="836" t="n"/>
      <c r="E540" s="836" t="n"/>
      <c r="F540" s="836" t="n"/>
      <c r="G540" s="837" t="n"/>
      <c r="H540" s="836" t="n"/>
      <c r="I540" s="837" t="n"/>
      <c r="J540" s="1345" t="n"/>
      <c r="K540" s="1345" t="n"/>
      <c r="L540" s="1345" t="n"/>
      <c r="M540" s="1345" t="n"/>
      <c r="N540" s="1345" t="n"/>
    </row>
    <row r="541">
      <c r="A541" s="834" t="n"/>
      <c r="B541" s="835" t="n"/>
      <c r="C541" s="836" t="n"/>
      <c r="D541" s="836" t="n"/>
      <c r="E541" s="836" t="n"/>
      <c r="F541" s="836" t="n"/>
      <c r="G541" s="837" t="n"/>
      <c r="H541" s="836" t="n"/>
      <c r="I541" s="837" t="n"/>
      <c r="J541" s="1345" t="n"/>
      <c r="K541" s="1345" t="n"/>
      <c r="L541" s="1345" t="n"/>
      <c r="M541" s="1345" t="n"/>
      <c r="N541" s="1345" t="n"/>
    </row>
    <row r="542">
      <c r="A542" s="834" t="n"/>
      <c r="B542" s="835" t="n"/>
      <c r="C542" s="836" t="n"/>
      <c r="D542" s="836" t="n"/>
      <c r="E542" s="836" t="n"/>
      <c r="F542" s="836" t="n"/>
      <c r="G542" s="837" t="n"/>
      <c r="H542" s="836" t="n"/>
      <c r="I542" s="837" t="n"/>
      <c r="J542" s="1345" t="n"/>
      <c r="K542" s="1345" t="n"/>
      <c r="L542" s="1345" t="n"/>
      <c r="M542" s="1345" t="n"/>
      <c r="N542" s="1345" t="n"/>
    </row>
    <row r="543">
      <c r="A543" s="834" t="n"/>
      <c r="B543" s="835" t="n"/>
      <c r="C543" s="836" t="n"/>
      <c r="D543" s="836" t="n"/>
      <c r="E543" s="836" t="n"/>
      <c r="F543" s="836" t="n"/>
      <c r="G543" s="837" t="n"/>
      <c r="H543" s="836" t="n"/>
      <c r="I543" s="837" t="n"/>
      <c r="J543" s="1345" t="n"/>
      <c r="K543" s="1345" t="n"/>
      <c r="L543" s="1345" t="n"/>
      <c r="M543" s="1345" t="n"/>
      <c r="N543" s="1345" t="n"/>
    </row>
    <row r="544">
      <c r="A544" s="834" t="n"/>
      <c r="B544" s="835" t="n"/>
      <c r="C544" s="836" t="n"/>
      <c r="D544" s="836" t="n"/>
      <c r="E544" s="836" t="n"/>
      <c r="F544" s="836" t="n"/>
      <c r="G544" s="837" t="n"/>
      <c r="H544" s="836" t="n"/>
      <c r="I544" s="837" t="n"/>
      <c r="J544" s="1345" t="n"/>
      <c r="K544" s="1345" t="n"/>
      <c r="L544" s="1345" t="n"/>
      <c r="M544" s="1345" t="n"/>
      <c r="N544" s="1345" t="n"/>
    </row>
    <row r="545">
      <c r="A545" s="834" t="n"/>
      <c r="B545" s="835" t="n"/>
      <c r="C545" s="836" t="n"/>
      <c r="D545" s="836" t="n"/>
      <c r="E545" s="836" t="n"/>
      <c r="F545" s="836" t="n"/>
      <c r="G545" s="837" t="n"/>
      <c r="H545" s="836" t="n"/>
      <c r="I545" s="837" t="n"/>
      <c r="J545" s="1345" t="n"/>
      <c r="K545" s="1345" t="n"/>
      <c r="L545" s="1345" t="n"/>
      <c r="M545" s="1345" t="n"/>
      <c r="N545" s="1345" t="n"/>
    </row>
    <row r="546">
      <c r="A546" s="834" t="n"/>
      <c r="B546" s="835" t="n"/>
      <c r="C546" s="836" t="n"/>
      <c r="D546" s="836" t="n"/>
      <c r="E546" s="836" t="n"/>
      <c r="F546" s="836" t="n"/>
      <c r="G546" s="837" t="n"/>
      <c r="H546" s="836" t="n"/>
      <c r="I546" s="837" t="n"/>
      <c r="J546" s="1345" t="n"/>
      <c r="K546" s="1345" t="n"/>
      <c r="L546" s="1345" t="n"/>
      <c r="M546" s="1345" t="n"/>
      <c r="N546" s="1345" t="n"/>
    </row>
    <row r="547">
      <c r="A547" s="834" t="n"/>
      <c r="B547" s="835" t="n"/>
      <c r="C547" s="836" t="n"/>
      <c r="D547" s="836" t="n"/>
      <c r="E547" s="836" t="n"/>
      <c r="F547" s="836" t="n"/>
      <c r="G547" s="837" t="n"/>
      <c r="H547" s="836" t="n"/>
      <c r="I547" s="837" t="n"/>
      <c r="J547" s="1345" t="n"/>
      <c r="K547" s="1345" t="n"/>
      <c r="L547" s="1345" t="n"/>
      <c r="M547" s="1345" t="n"/>
      <c r="N547" s="1345" t="n"/>
    </row>
    <row r="548">
      <c r="A548" s="834" t="n"/>
      <c r="B548" s="835" t="n"/>
      <c r="C548" s="836" t="n"/>
      <c r="D548" s="836" t="n"/>
      <c r="E548" s="836" t="n"/>
      <c r="F548" s="836" t="n"/>
      <c r="G548" s="837" t="n"/>
      <c r="H548" s="836" t="n"/>
      <c r="I548" s="837" t="n"/>
      <c r="J548" s="1345" t="n"/>
      <c r="K548" s="1345" t="n"/>
      <c r="L548" s="1345" t="n"/>
      <c r="M548" s="1345" t="n"/>
      <c r="N548" s="1345" t="n"/>
    </row>
    <row r="549">
      <c r="A549" s="834" t="n"/>
      <c r="B549" s="835" t="n"/>
      <c r="C549" s="836" t="n"/>
      <c r="D549" s="836" t="n"/>
      <c r="E549" s="836" t="n"/>
      <c r="F549" s="836" t="n"/>
      <c r="G549" s="837" t="n"/>
      <c r="H549" s="836" t="n"/>
      <c r="I549" s="837" t="n"/>
      <c r="J549" s="1345" t="n"/>
      <c r="K549" s="1345" t="n"/>
      <c r="L549" s="1345" t="n"/>
      <c r="M549" s="1345" t="n"/>
      <c r="N549" s="1345" t="n"/>
    </row>
    <row r="550">
      <c r="A550" s="834" t="n"/>
      <c r="B550" s="835" t="n"/>
      <c r="C550" s="836" t="n"/>
      <c r="D550" s="836" t="n"/>
      <c r="E550" s="836" t="n"/>
      <c r="F550" s="836" t="n"/>
      <c r="G550" s="837" t="n"/>
      <c r="H550" s="836" t="n"/>
      <c r="I550" s="837" t="n"/>
      <c r="J550" s="1345" t="n"/>
      <c r="K550" s="1345" t="n"/>
      <c r="L550" s="1345" t="n"/>
      <c r="M550" s="1345" t="n"/>
      <c r="N550" s="1345" t="n"/>
    </row>
    <row r="551">
      <c r="A551" s="834" t="n"/>
      <c r="B551" s="835" t="n"/>
      <c r="C551" s="836" t="n"/>
      <c r="D551" s="836" t="n"/>
      <c r="E551" s="836" t="n"/>
      <c r="F551" s="836" t="n"/>
      <c r="G551" s="837" t="n"/>
      <c r="H551" s="836" t="n"/>
      <c r="I551" s="837" t="n"/>
      <c r="J551" s="1345" t="n"/>
      <c r="K551" s="1345" t="n"/>
      <c r="L551" s="1345" t="n"/>
      <c r="M551" s="1345" t="n"/>
      <c r="N551" s="1345" t="n"/>
    </row>
    <row r="552">
      <c r="A552" s="834" t="n"/>
      <c r="B552" s="835" t="n"/>
      <c r="C552" s="836" t="n"/>
      <c r="D552" s="836" t="n"/>
      <c r="E552" s="836" t="n"/>
      <c r="F552" s="836" t="n"/>
      <c r="G552" s="837" t="n"/>
      <c r="H552" s="836" t="n"/>
      <c r="I552" s="837" t="n"/>
      <c r="J552" s="1345" t="n"/>
      <c r="K552" s="1345" t="n"/>
      <c r="L552" s="1345" t="n"/>
      <c r="M552" s="1345" t="n"/>
      <c r="N552" s="1345" t="n"/>
    </row>
    <row r="553">
      <c r="A553" s="834" t="n"/>
      <c r="B553" s="835" t="n"/>
      <c r="C553" s="836" t="n"/>
      <c r="D553" s="836" t="n"/>
      <c r="E553" s="836" t="n"/>
      <c r="F553" s="836" t="n"/>
      <c r="G553" s="837" t="n"/>
      <c r="H553" s="836" t="n"/>
      <c r="I553" s="837" t="n"/>
      <c r="J553" s="1345" t="n"/>
      <c r="K553" s="1345" t="n"/>
      <c r="L553" s="1345" t="n"/>
      <c r="M553" s="1345" t="n"/>
      <c r="N553" s="1345" t="n"/>
    </row>
    <row r="554">
      <c r="A554" s="834" t="n"/>
      <c r="B554" s="835" t="n"/>
      <c r="C554" s="836" t="n"/>
      <c r="D554" s="836" t="n"/>
      <c r="E554" s="836" t="n"/>
      <c r="F554" s="836" t="n"/>
      <c r="G554" s="837" t="n"/>
      <c r="H554" s="836" t="n"/>
      <c r="I554" s="837" t="n"/>
      <c r="J554" s="1345" t="n"/>
      <c r="K554" s="1345" t="n"/>
      <c r="L554" s="1345" t="n"/>
      <c r="M554" s="1345" t="n"/>
      <c r="N554" s="1345" t="n"/>
    </row>
    <row r="555">
      <c r="A555" s="834" t="n"/>
      <c r="B555" s="835" t="n"/>
      <c r="C555" s="836" t="n"/>
      <c r="D555" s="836" t="n"/>
      <c r="E555" s="836" t="n"/>
      <c r="F555" s="836" t="n"/>
      <c r="G555" s="837" t="n"/>
      <c r="H555" s="836" t="n"/>
      <c r="I555" s="837" t="n"/>
      <c r="J555" s="1345" t="n"/>
      <c r="K555" s="1345" t="n"/>
      <c r="L555" s="1345" t="n"/>
      <c r="M555" s="1345" t="n"/>
      <c r="N555" s="1345" t="n"/>
    </row>
    <row r="556">
      <c r="A556" s="834" t="n"/>
      <c r="B556" s="835" t="n"/>
      <c r="C556" s="836" t="n"/>
      <c r="D556" s="836" t="n"/>
      <c r="E556" s="836" t="n"/>
      <c r="F556" s="836" t="n"/>
      <c r="G556" s="837" t="n"/>
      <c r="H556" s="836" t="n"/>
      <c r="I556" s="837" t="n"/>
      <c r="J556" s="1345" t="n"/>
      <c r="K556" s="1345" t="n"/>
      <c r="L556" s="1345" t="n"/>
      <c r="M556" s="1345" t="n"/>
      <c r="N556" s="1345" t="n"/>
    </row>
    <row r="557">
      <c r="A557" s="834" t="n"/>
      <c r="B557" s="835" t="n"/>
      <c r="C557" s="836" t="n"/>
      <c r="D557" s="836" t="n"/>
      <c r="E557" s="836" t="n"/>
      <c r="F557" s="836" t="n"/>
      <c r="G557" s="837" t="n"/>
      <c r="H557" s="836" t="n"/>
      <c r="I557" s="837" t="n"/>
      <c r="J557" s="1345" t="n"/>
      <c r="K557" s="1345" t="n"/>
      <c r="L557" s="1345" t="n"/>
      <c r="M557" s="1345" t="n"/>
      <c r="N557" s="1345" t="n"/>
    </row>
    <row r="558">
      <c r="A558" s="834" t="n"/>
      <c r="B558" s="835" t="n"/>
      <c r="C558" s="836" t="n"/>
      <c r="D558" s="836" t="n"/>
      <c r="E558" s="836" t="n"/>
      <c r="F558" s="836" t="n"/>
      <c r="G558" s="837" t="n"/>
      <c r="H558" s="836" t="n"/>
      <c r="I558" s="837" t="n"/>
      <c r="J558" s="1345" t="n"/>
      <c r="K558" s="1345" t="n"/>
      <c r="L558" s="1345" t="n"/>
      <c r="M558" s="1345" t="n"/>
      <c r="N558" s="1345" t="n"/>
    </row>
    <row r="559">
      <c r="A559" s="834" t="n"/>
      <c r="B559" s="835" t="n"/>
      <c r="C559" s="836" t="n"/>
      <c r="D559" s="836" t="n"/>
      <c r="E559" s="836" t="n"/>
      <c r="F559" s="836" t="n"/>
      <c r="G559" s="837" t="n"/>
      <c r="H559" s="836" t="n"/>
      <c r="I559" s="837" t="n"/>
      <c r="J559" s="1345" t="n"/>
      <c r="K559" s="1345" t="n"/>
      <c r="L559" s="1345" t="n"/>
      <c r="M559" s="1345" t="n"/>
      <c r="N559" s="1345" t="n"/>
    </row>
    <row r="560">
      <c r="A560" s="834" t="n"/>
      <c r="B560" s="835" t="n"/>
      <c r="C560" s="836" t="n"/>
      <c r="D560" s="836" t="n"/>
      <c r="E560" s="836" t="n"/>
      <c r="F560" s="836" t="n"/>
      <c r="G560" s="837" t="n"/>
      <c r="H560" s="836" t="n"/>
      <c r="I560" s="837" t="n"/>
      <c r="J560" s="1345" t="n"/>
      <c r="K560" s="1345" t="n"/>
      <c r="L560" s="1345" t="n"/>
      <c r="M560" s="1345" t="n"/>
      <c r="N560" s="1345" t="n"/>
    </row>
    <row r="561">
      <c r="A561" s="834" t="n"/>
      <c r="B561" s="835" t="n"/>
      <c r="C561" s="836" t="n"/>
      <c r="D561" s="836" t="n"/>
      <c r="E561" s="836" t="n"/>
      <c r="F561" s="836" t="n"/>
      <c r="G561" s="837" t="n"/>
      <c r="H561" s="836" t="n"/>
      <c r="I561" s="837" t="n"/>
      <c r="J561" s="1345" t="n"/>
      <c r="K561" s="1345" t="n"/>
      <c r="L561" s="1345" t="n"/>
      <c r="M561" s="1345" t="n"/>
      <c r="N561" s="1345" t="n"/>
    </row>
    <row r="562">
      <c r="A562" s="834" t="n"/>
      <c r="B562" s="835" t="n"/>
      <c r="C562" s="836" t="n"/>
      <c r="D562" s="836" t="n"/>
      <c r="E562" s="836" t="n"/>
      <c r="F562" s="836" t="n"/>
      <c r="G562" s="837" t="n"/>
      <c r="H562" s="836" t="n"/>
      <c r="I562" s="837" t="n"/>
      <c r="J562" s="1345" t="n"/>
      <c r="K562" s="1345" t="n"/>
      <c r="L562" s="1345" t="n"/>
      <c r="M562" s="1345" t="n"/>
      <c r="N562" s="1345" t="n"/>
    </row>
    <row r="563">
      <c r="A563" s="834" t="n"/>
      <c r="B563" s="835" t="n"/>
      <c r="C563" s="836" t="n"/>
      <c r="D563" s="836" t="n"/>
      <c r="E563" s="836" t="n"/>
      <c r="F563" s="836" t="n"/>
      <c r="G563" s="837" t="n"/>
      <c r="H563" s="836" t="n"/>
      <c r="I563" s="837" t="n"/>
      <c r="J563" s="1345" t="n"/>
      <c r="K563" s="1345" t="n"/>
      <c r="L563" s="1345" t="n"/>
      <c r="M563" s="1345" t="n"/>
      <c r="N563" s="1345" t="n"/>
    </row>
    <row r="564">
      <c r="A564" s="834" t="n"/>
      <c r="B564" s="835" t="n"/>
      <c r="C564" s="836" t="n"/>
      <c r="D564" s="836" t="n"/>
      <c r="E564" s="836" t="n"/>
      <c r="F564" s="836" t="n"/>
      <c r="G564" s="837" t="n"/>
      <c r="H564" s="836" t="n"/>
      <c r="I564" s="837" t="n"/>
      <c r="J564" s="1345" t="n"/>
      <c r="K564" s="1345" t="n"/>
      <c r="L564" s="1345" t="n"/>
      <c r="M564" s="1345" t="n"/>
      <c r="N564" s="1345" t="n"/>
    </row>
    <row r="565">
      <c r="A565" s="834" t="n"/>
      <c r="B565" s="835" t="n"/>
      <c r="C565" s="836" t="n"/>
      <c r="D565" s="836" t="n"/>
      <c r="E565" s="836" t="n"/>
      <c r="F565" s="836" t="n"/>
      <c r="G565" s="837" t="n"/>
      <c r="H565" s="836" t="n"/>
      <c r="I565" s="837" t="n"/>
      <c r="J565" s="1345" t="n"/>
      <c r="K565" s="1345" t="n"/>
      <c r="L565" s="1345" t="n"/>
      <c r="M565" s="1345" t="n"/>
      <c r="N565" s="1345" t="n"/>
    </row>
    <row r="566">
      <c r="A566" s="834" t="n"/>
      <c r="B566" s="835" t="n"/>
      <c r="C566" s="836" t="n"/>
      <c r="D566" s="836" t="n"/>
      <c r="E566" s="836" t="n"/>
      <c r="F566" s="836" t="n"/>
      <c r="G566" s="837" t="n"/>
      <c r="H566" s="836" t="n"/>
      <c r="I566" s="837" t="n"/>
      <c r="J566" s="1345" t="n"/>
      <c r="K566" s="1345" t="n"/>
      <c r="L566" s="1345" t="n"/>
      <c r="M566" s="1345" t="n"/>
      <c r="N566" s="1345" t="n"/>
    </row>
    <row r="567">
      <c r="A567" s="834" t="n"/>
      <c r="B567" s="835" t="n"/>
      <c r="C567" s="836" t="n"/>
      <c r="D567" s="836" t="n"/>
      <c r="E567" s="836" t="n"/>
      <c r="F567" s="836" t="n"/>
      <c r="G567" s="837" t="n"/>
      <c r="H567" s="836" t="n"/>
      <c r="I567" s="837" t="n"/>
      <c r="J567" s="1345" t="n"/>
      <c r="K567" s="1345" t="n"/>
      <c r="L567" s="1345" t="n"/>
      <c r="M567" s="1345" t="n"/>
      <c r="N567" s="1345" t="n"/>
    </row>
    <row r="568">
      <c r="A568" s="834" t="n"/>
      <c r="B568" s="835" t="n"/>
      <c r="C568" s="836" t="n"/>
      <c r="D568" s="836" t="n"/>
      <c r="E568" s="836" t="n"/>
      <c r="F568" s="836" t="n"/>
      <c r="G568" s="837" t="n"/>
      <c r="H568" s="836" t="n"/>
      <c r="I568" s="837" t="n"/>
      <c r="J568" s="1345" t="n"/>
      <c r="K568" s="1345" t="n"/>
      <c r="L568" s="1345" t="n"/>
      <c r="M568" s="1345" t="n"/>
      <c r="N568" s="1345" t="n"/>
    </row>
    <row r="569">
      <c r="A569" s="834" t="n"/>
      <c r="B569" s="835" t="n"/>
      <c r="C569" s="836" t="n"/>
      <c r="D569" s="836" t="n"/>
      <c r="E569" s="836" t="n"/>
      <c r="F569" s="836" t="n"/>
      <c r="G569" s="837" t="n"/>
      <c r="H569" s="836" t="n"/>
      <c r="I569" s="837" t="n"/>
      <c r="J569" s="1345" t="n"/>
      <c r="K569" s="1345" t="n"/>
      <c r="L569" s="1345" t="n"/>
      <c r="M569" s="1345" t="n"/>
      <c r="N569" s="1345" t="n"/>
    </row>
    <row r="570">
      <c r="A570" s="834" t="n"/>
      <c r="B570" s="835" t="n"/>
      <c r="C570" s="836" t="n"/>
      <c r="D570" s="836" t="n"/>
      <c r="E570" s="836" t="n"/>
      <c r="F570" s="836" t="n"/>
      <c r="G570" s="837" t="n"/>
      <c r="H570" s="836" t="n"/>
      <c r="I570" s="837" t="n"/>
      <c r="J570" s="1345" t="n"/>
      <c r="K570" s="1345" t="n"/>
      <c r="L570" s="1345" t="n"/>
      <c r="M570" s="1345" t="n"/>
      <c r="N570" s="1345" t="n"/>
    </row>
    <row r="571">
      <c r="A571" s="834" t="n"/>
      <c r="B571" s="835" t="n"/>
      <c r="C571" s="836" t="n"/>
      <c r="D571" s="836" t="n"/>
      <c r="E571" s="836" t="n"/>
      <c r="F571" s="836" t="n"/>
      <c r="G571" s="837" t="n"/>
      <c r="H571" s="836" t="n"/>
      <c r="I571" s="837" t="n"/>
      <c r="J571" s="1345" t="n"/>
      <c r="K571" s="1345" t="n"/>
      <c r="L571" s="1345" t="n"/>
      <c r="M571" s="1345" t="n"/>
      <c r="N571" s="1345" t="n"/>
    </row>
    <row r="572">
      <c r="A572" s="834" t="n"/>
      <c r="B572" s="835" t="n"/>
      <c r="C572" s="836" t="n"/>
      <c r="D572" s="836" t="n"/>
      <c r="E572" s="836" t="n"/>
      <c r="F572" s="836" t="n"/>
      <c r="G572" s="837" t="n"/>
      <c r="H572" s="836" t="n"/>
      <c r="I572" s="837" t="n"/>
      <c r="J572" s="1345" t="n"/>
      <c r="K572" s="1345" t="n"/>
      <c r="L572" s="1345" t="n"/>
      <c r="M572" s="1345" t="n"/>
      <c r="N572" s="1345" t="n"/>
    </row>
    <row r="573">
      <c r="A573" s="834" t="n"/>
      <c r="B573" s="835" t="n"/>
      <c r="C573" s="836" t="n"/>
      <c r="D573" s="836" t="n"/>
      <c r="E573" s="836" t="n"/>
      <c r="F573" s="836" t="n"/>
      <c r="G573" s="837" t="n"/>
      <c r="H573" s="836" t="n"/>
      <c r="I573" s="837" t="n"/>
      <c r="J573" s="1345" t="n"/>
      <c r="K573" s="1345" t="n"/>
      <c r="L573" s="1345" t="n"/>
      <c r="M573" s="1345" t="n"/>
      <c r="N573" s="1345" t="n"/>
    </row>
    <row r="574">
      <c r="A574" s="834" t="n"/>
      <c r="B574" s="835" t="n"/>
      <c r="C574" s="836" t="n"/>
      <c r="D574" s="836" t="n"/>
      <c r="E574" s="836" t="n"/>
      <c r="F574" s="836" t="n"/>
      <c r="G574" s="837" t="n"/>
      <c r="H574" s="836" t="n"/>
      <c r="I574" s="837" t="n"/>
      <c r="J574" s="1345" t="n"/>
      <c r="K574" s="1345" t="n"/>
      <c r="L574" s="1345" t="n"/>
      <c r="M574" s="1345" t="n"/>
      <c r="N574" s="1345" t="n"/>
    </row>
    <row r="575">
      <c r="A575" s="834" t="n"/>
      <c r="B575" s="835" t="n"/>
      <c r="C575" s="836" t="n"/>
      <c r="D575" s="836" t="n"/>
      <c r="E575" s="836" t="n"/>
      <c r="F575" s="836" t="n"/>
      <c r="G575" s="837" t="n"/>
      <c r="H575" s="836" t="n"/>
      <c r="I575" s="837" t="n"/>
      <c r="J575" s="1345" t="n"/>
      <c r="K575" s="1345" t="n"/>
      <c r="L575" s="1345" t="n"/>
      <c r="M575" s="1345" t="n"/>
      <c r="N575" s="1345" t="n"/>
    </row>
    <row r="576">
      <c r="A576" s="834" t="n"/>
      <c r="B576" s="835" t="n"/>
      <c r="C576" s="836" t="n"/>
      <c r="D576" s="836" t="n"/>
      <c r="E576" s="836" t="n"/>
      <c r="F576" s="836" t="n"/>
      <c r="G576" s="837" t="n"/>
      <c r="H576" s="836" t="n"/>
      <c r="I576" s="837" t="n"/>
      <c r="J576" s="1345" t="n"/>
      <c r="K576" s="1345" t="n"/>
      <c r="L576" s="1345" t="n"/>
      <c r="M576" s="1345" t="n"/>
      <c r="N576" s="1345" t="n"/>
    </row>
    <row r="577">
      <c r="A577" s="834" t="n"/>
      <c r="B577" s="835" t="n"/>
      <c r="C577" s="836" t="n"/>
      <c r="D577" s="836" t="n"/>
      <c r="E577" s="836" t="n"/>
      <c r="F577" s="836" t="n"/>
      <c r="G577" s="837" t="n"/>
      <c r="H577" s="836" t="n"/>
      <c r="I577" s="837" t="n"/>
      <c r="J577" s="1345" t="n"/>
      <c r="K577" s="1345" t="n"/>
      <c r="L577" s="1345" t="n"/>
      <c r="M577" s="1345" t="n"/>
      <c r="N577" s="1345" t="n"/>
    </row>
    <row r="578">
      <c r="A578" s="834" t="n"/>
      <c r="B578" s="835" t="n"/>
      <c r="C578" s="836" t="n"/>
      <c r="D578" s="836" t="n"/>
      <c r="E578" s="836" t="n"/>
      <c r="F578" s="836" t="n"/>
      <c r="G578" s="837" t="n"/>
      <c r="H578" s="836" t="n"/>
      <c r="I578" s="837" t="n"/>
      <c r="J578" s="1345" t="n"/>
      <c r="K578" s="1345" t="n"/>
      <c r="L578" s="1345" t="n"/>
      <c r="M578" s="1345" t="n"/>
      <c r="N578" s="1345" t="n"/>
    </row>
    <row r="579">
      <c r="A579" s="834" t="n"/>
      <c r="B579" s="835" t="n"/>
      <c r="C579" s="836" t="n"/>
      <c r="D579" s="836" t="n"/>
      <c r="E579" s="836" t="n"/>
      <c r="F579" s="836" t="n"/>
      <c r="G579" s="837" t="n"/>
      <c r="H579" s="836" t="n"/>
      <c r="I579" s="837" t="n"/>
      <c r="J579" s="1345" t="n"/>
      <c r="K579" s="1345" t="n"/>
      <c r="L579" s="1345" t="n"/>
      <c r="M579" s="1345" t="n"/>
      <c r="N579" s="1345" t="n"/>
    </row>
    <row r="580">
      <c r="A580" s="834" t="n"/>
      <c r="B580" s="835" t="n"/>
      <c r="C580" s="836" t="n"/>
      <c r="D580" s="836" t="n"/>
      <c r="E580" s="836" t="n"/>
      <c r="F580" s="836" t="n"/>
      <c r="G580" s="837" t="n"/>
      <c r="H580" s="836" t="n"/>
      <c r="I580" s="837" t="n"/>
      <c r="J580" s="1345" t="n"/>
      <c r="K580" s="1345" t="n"/>
      <c r="L580" s="1345" t="n"/>
      <c r="M580" s="1345" t="n"/>
      <c r="N580" s="1345" t="n"/>
    </row>
    <row r="581">
      <c r="A581" s="834" t="n"/>
      <c r="B581" s="835" t="n"/>
      <c r="C581" s="836" t="n"/>
      <c r="D581" s="836" t="n"/>
      <c r="E581" s="836" t="n"/>
      <c r="F581" s="836" t="n"/>
      <c r="G581" s="837" t="n"/>
      <c r="H581" s="836" t="n"/>
      <c r="I581" s="837" t="n"/>
      <c r="J581" s="1345" t="n"/>
      <c r="K581" s="1345" t="n"/>
      <c r="L581" s="1345" t="n"/>
      <c r="M581" s="1345" t="n"/>
      <c r="N581" s="1345" t="n"/>
    </row>
    <row r="582">
      <c r="A582" s="834" t="n"/>
      <c r="B582" s="835" t="n"/>
      <c r="C582" s="836" t="n"/>
      <c r="D582" s="836" t="n"/>
      <c r="E582" s="836" t="n"/>
      <c r="F582" s="836" t="n"/>
      <c r="G582" s="837" t="n"/>
      <c r="H582" s="836" t="n"/>
      <c r="I582" s="837" t="n"/>
      <c r="J582" s="1345" t="n"/>
      <c r="K582" s="1345" t="n"/>
      <c r="L582" s="1345" t="n"/>
      <c r="M582" s="1345" t="n"/>
      <c r="N582" s="1345" t="n"/>
    </row>
    <row r="583">
      <c r="A583" s="834" t="n"/>
      <c r="B583" s="835" t="n"/>
      <c r="C583" s="836" t="n"/>
      <c r="D583" s="836" t="n"/>
      <c r="E583" s="836" t="n"/>
      <c r="F583" s="836" t="n"/>
      <c r="G583" s="837" t="n"/>
      <c r="H583" s="836" t="n"/>
      <c r="I583" s="837" t="n"/>
      <c r="J583" s="1345" t="n"/>
      <c r="K583" s="1345" t="n"/>
      <c r="L583" s="1345" t="n"/>
      <c r="M583" s="1345" t="n"/>
      <c r="N583" s="1345" t="n"/>
    </row>
    <row r="584">
      <c r="A584" s="834" t="n"/>
      <c r="B584" s="835" t="n"/>
      <c r="C584" s="836" t="n"/>
      <c r="D584" s="836" t="n"/>
      <c r="E584" s="836" t="n"/>
      <c r="F584" s="836" t="n"/>
      <c r="G584" s="837" t="n"/>
      <c r="H584" s="836" t="n"/>
      <c r="I584" s="837" t="n"/>
      <c r="J584" s="1345" t="n"/>
      <c r="K584" s="1345" t="n"/>
      <c r="L584" s="1345" t="n"/>
      <c r="M584" s="1345" t="n"/>
      <c r="N584" s="1345" t="n"/>
    </row>
    <row r="585">
      <c r="A585" s="834" t="n"/>
      <c r="B585" s="835" t="n"/>
      <c r="C585" s="836" t="n"/>
      <c r="D585" s="836" t="n"/>
      <c r="E585" s="836" t="n"/>
      <c r="F585" s="836" t="n"/>
      <c r="G585" s="837" t="n"/>
      <c r="H585" s="836" t="n"/>
      <c r="I585" s="837" t="n"/>
      <c r="J585" s="1345" t="n"/>
      <c r="K585" s="1345" t="n"/>
      <c r="L585" s="1345" t="n"/>
      <c r="M585" s="1345" t="n"/>
      <c r="N585" s="1345" t="n"/>
    </row>
    <row r="586">
      <c r="A586" s="834" t="n"/>
      <c r="B586" s="835" t="n"/>
      <c r="C586" s="836" t="n"/>
      <c r="D586" s="836" t="n"/>
      <c r="E586" s="836" t="n"/>
      <c r="F586" s="836" t="n"/>
      <c r="G586" s="837" t="n"/>
      <c r="H586" s="836" t="n"/>
      <c r="I586" s="837" t="n"/>
      <c r="J586" s="1345" t="n"/>
      <c r="K586" s="1345" t="n"/>
      <c r="L586" s="1345" t="n"/>
      <c r="M586" s="1345" t="n"/>
      <c r="N586" s="1345" t="n"/>
    </row>
    <row r="587">
      <c r="A587" s="834" t="n"/>
      <c r="B587" s="835" t="n"/>
      <c r="C587" s="836" t="n"/>
      <c r="D587" s="836" t="n"/>
      <c r="E587" s="836" t="n"/>
      <c r="F587" s="836" t="n"/>
      <c r="G587" s="837" t="n"/>
      <c r="H587" s="836" t="n"/>
      <c r="I587" s="837" t="n"/>
      <c r="J587" s="1345" t="n"/>
      <c r="K587" s="1345" t="n"/>
      <c r="L587" s="1345" t="n"/>
      <c r="M587" s="1345" t="n"/>
      <c r="N587" s="1345" t="n"/>
    </row>
    <row r="588">
      <c r="A588" s="834" t="n"/>
      <c r="B588" s="835" t="n"/>
      <c r="C588" s="836" t="n"/>
      <c r="D588" s="836" t="n"/>
      <c r="E588" s="836" t="n"/>
      <c r="F588" s="836" t="n"/>
      <c r="G588" s="837" t="n"/>
      <c r="H588" s="836" t="n"/>
      <c r="I588" s="837" t="n"/>
      <c r="J588" s="1345" t="n"/>
      <c r="K588" s="1345" t="n"/>
      <c r="L588" s="1345" t="n"/>
      <c r="M588" s="1345" t="n"/>
      <c r="N588" s="1345" t="n"/>
    </row>
    <row r="589">
      <c r="A589" s="834" t="n"/>
      <c r="B589" s="835" t="n"/>
      <c r="C589" s="836" t="n"/>
      <c r="D589" s="836" t="n"/>
      <c r="E589" s="836" t="n"/>
      <c r="F589" s="836" t="n"/>
      <c r="G589" s="837" t="n"/>
      <c r="H589" s="836" t="n"/>
      <c r="I589" s="837" t="n"/>
      <c r="J589" s="1345" t="n"/>
      <c r="K589" s="1345" t="n"/>
      <c r="L589" s="1345" t="n"/>
      <c r="M589" s="1345" t="n"/>
      <c r="N589" s="1345" t="n"/>
    </row>
    <row r="590">
      <c r="A590" s="834" t="n"/>
      <c r="B590" s="835" t="n"/>
      <c r="C590" s="836" t="n"/>
      <c r="D590" s="836" t="n"/>
      <c r="E590" s="836" t="n"/>
      <c r="F590" s="836" t="n"/>
      <c r="G590" s="837" t="n"/>
      <c r="H590" s="836" t="n"/>
      <c r="I590" s="837" t="n"/>
      <c r="J590" s="1345" t="n"/>
      <c r="K590" s="1345" t="n"/>
      <c r="L590" s="1345" t="n"/>
      <c r="M590" s="1345" t="n"/>
      <c r="N590" s="1345" t="n"/>
    </row>
    <row r="591">
      <c r="A591" s="834" t="n"/>
      <c r="B591" s="835" t="n"/>
      <c r="C591" s="836" t="n"/>
      <c r="D591" s="836" t="n"/>
      <c r="E591" s="836" t="n"/>
      <c r="F591" s="836" t="n"/>
      <c r="G591" s="837" t="n"/>
      <c r="H591" s="836" t="n"/>
      <c r="I591" s="837" t="n"/>
      <c r="J591" s="1345" t="n"/>
      <c r="K591" s="1345" t="n"/>
      <c r="L591" s="1345" t="n"/>
      <c r="M591" s="1345" t="n"/>
      <c r="N591" s="1345" t="n"/>
    </row>
    <row r="592">
      <c r="A592" s="834" t="n"/>
      <c r="B592" s="835" t="n"/>
      <c r="C592" s="836" t="n"/>
      <c r="D592" s="836" t="n"/>
      <c r="E592" s="836" t="n"/>
      <c r="F592" s="836" t="n"/>
      <c r="G592" s="837" t="n"/>
      <c r="H592" s="836" t="n"/>
      <c r="I592" s="837" t="n"/>
      <c r="J592" s="1345" t="n"/>
      <c r="K592" s="1345" t="n"/>
      <c r="L592" s="1345" t="n"/>
      <c r="M592" s="1345" t="n"/>
      <c r="N592" s="1345" t="n"/>
    </row>
    <row r="593">
      <c r="A593" s="834" t="n"/>
      <c r="B593" s="835" t="n"/>
      <c r="C593" s="836" t="n"/>
      <c r="D593" s="836" t="n"/>
      <c r="E593" s="836" t="n"/>
      <c r="F593" s="836" t="n"/>
      <c r="G593" s="837" t="n"/>
      <c r="H593" s="836" t="n"/>
      <c r="I593" s="837" t="n"/>
      <c r="J593" s="1345" t="n"/>
      <c r="K593" s="1345" t="n"/>
      <c r="L593" s="1345" t="n"/>
      <c r="M593" s="1345" t="n"/>
      <c r="N593" s="1345" t="n"/>
    </row>
    <row r="594">
      <c r="A594" s="834" t="n"/>
      <c r="B594" s="835" t="n"/>
      <c r="C594" s="836" t="n"/>
      <c r="D594" s="836" t="n"/>
      <c r="E594" s="836" t="n"/>
      <c r="F594" s="836" t="n"/>
      <c r="G594" s="837" t="n"/>
      <c r="H594" s="836" t="n"/>
      <c r="I594" s="837" t="n"/>
      <c r="J594" s="1345" t="n"/>
      <c r="K594" s="1345" t="n"/>
      <c r="L594" s="1345" t="n"/>
      <c r="M594" s="1345" t="n"/>
      <c r="N594" s="1345" t="n"/>
    </row>
    <row r="595">
      <c r="A595" s="834" t="n"/>
      <c r="B595" s="835" t="n"/>
      <c r="C595" s="836" t="n"/>
      <c r="D595" s="836" t="n"/>
      <c r="E595" s="836" t="n"/>
      <c r="F595" s="836" t="n"/>
      <c r="G595" s="837" t="n"/>
      <c r="H595" s="836" t="n"/>
      <c r="I595" s="837" t="n"/>
      <c r="J595" s="1345" t="n"/>
      <c r="K595" s="1345" t="n"/>
      <c r="L595" s="1345" t="n"/>
      <c r="M595" s="1345" t="n"/>
      <c r="N595" s="1345" t="n"/>
    </row>
    <row r="596">
      <c r="A596" s="834" t="n"/>
      <c r="B596" s="835" t="n"/>
      <c r="C596" s="836" t="n"/>
      <c r="D596" s="836" t="n"/>
      <c r="E596" s="836" t="n"/>
      <c r="F596" s="836" t="n"/>
      <c r="G596" s="837" t="n"/>
      <c r="H596" s="836" t="n"/>
      <c r="I596" s="837" t="n"/>
      <c r="J596" s="1345" t="n"/>
      <c r="K596" s="1345" t="n"/>
      <c r="L596" s="1345" t="n"/>
      <c r="M596" s="1345" t="n"/>
      <c r="N596" s="1345" t="n"/>
    </row>
    <row r="597">
      <c r="A597" s="834" t="n"/>
      <c r="B597" s="835" t="n"/>
      <c r="C597" s="836" t="n"/>
      <c r="D597" s="836" t="n"/>
      <c r="E597" s="836" t="n"/>
      <c r="F597" s="836" t="n"/>
      <c r="G597" s="837" t="n"/>
      <c r="H597" s="836" t="n"/>
      <c r="I597" s="837" t="n"/>
      <c r="J597" s="1345" t="n"/>
      <c r="K597" s="1345" t="n"/>
      <c r="L597" s="1345" t="n"/>
      <c r="M597" s="1345" t="n"/>
      <c r="N597" s="1345" t="n"/>
    </row>
    <row r="598">
      <c r="A598" s="834" t="n"/>
      <c r="B598" s="835" t="n"/>
      <c r="C598" s="836" t="n"/>
      <c r="D598" s="836" t="n"/>
      <c r="E598" s="836" t="n"/>
      <c r="F598" s="836" t="n"/>
      <c r="G598" s="837" t="n"/>
      <c r="H598" s="836" t="n"/>
      <c r="I598" s="837" t="n"/>
      <c r="J598" s="1345" t="n"/>
      <c r="K598" s="1345" t="n"/>
      <c r="L598" s="1345" t="n"/>
      <c r="M598" s="1345" t="n"/>
      <c r="N598" s="1345" t="n"/>
    </row>
    <row r="599">
      <c r="A599" s="834" t="n"/>
      <c r="B599" s="835" t="n"/>
      <c r="C599" s="836" t="n"/>
      <c r="D599" s="836" t="n"/>
      <c r="E599" s="836" t="n"/>
      <c r="F599" s="836" t="n"/>
      <c r="G599" s="837" t="n"/>
      <c r="H599" s="836" t="n"/>
      <c r="I599" s="837" t="n"/>
      <c r="J599" s="1345" t="n"/>
      <c r="K599" s="1345" t="n"/>
      <c r="L599" s="1345" t="n"/>
      <c r="M599" s="1345" t="n"/>
      <c r="N599" s="1345" t="n"/>
    </row>
    <row r="600">
      <c r="A600" s="834" t="n"/>
      <c r="B600" s="835" t="n"/>
      <c r="C600" s="836" t="n"/>
      <c r="D600" s="836" t="n"/>
      <c r="E600" s="836" t="n"/>
      <c r="F600" s="836" t="n"/>
      <c r="G600" s="837" t="n"/>
      <c r="H600" s="836" t="n"/>
      <c r="I600" s="837" t="n"/>
      <c r="J600" s="1345" t="n"/>
      <c r="K600" s="1345" t="n"/>
      <c r="L600" s="1345" t="n"/>
      <c r="M600" s="1345" t="n"/>
      <c r="N600" s="1345" t="n"/>
    </row>
    <row r="601">
      <c r="A601" s="834" t="n"/>
      <c r="B601" s="835" t="n"/>
      <c r="C601" s="836" t="n"/>
      <c r="D601" s="836" t="n"/>
      <c r="E601" s="836" t="n"/>
      <c r="F601" s="836" t="n"/>
      <c r="G601" s="837" t="n"/>
      <c r="H601" s="836" t="n"/>
      <c r="I601" s="837" t="n"/>
      <c r="J601" s="1345" t="n"/>
      <c r="K601" s="1345" t="n"/>
      <c r="L601" s="1345" t="n"/>
      <c r="M601" s="1345" t="n"/>
      <c r="N601" s="1345" t="n"/>
    </row>
    <row r="602">
      <c r="A602" s="834" t="n"/>
      <c r="B602" s="835" t="n"/>
      <c r="C602" s="836" t="n"/>
      <c r="D602" s="836" t="n"/>
      <c r="E602" s="836" t="n"/>
      <c r="F602" s="836" t="n"/>
      <c r="G602" s="837" t="n"/>
      <c r="H602" s="836" t="n"/>
      <c r="I602" s="837" t="n"/>
      <c r="J602" s="1345" t="n"/>
      <c r="K602" s="1345" t="n"/>
      <c r="L602" s="1345" t="n"/>
      <c r="M602" s="1345" t="n"/>
      <c r="N602" s="1345" t="n"/>
    </row>
    <row r="603">
      <c r="A603" s="834" t="n"/>
      <c r="B603" s="835" t="n"/>
      <c r="C603" s="836" t="n"/>
      <c r="D603" s="836" t="n"/>
      <c r="E603" s="836" t="n"/>
      <c r="F603" s="836" t="n"/>
      <c r="G603" s="837" t="n"/>
      <c r="H603" s="836" t="n"/>
      <c r="I603" s="837" t="n"/>
      <c r="J603" s="1345" t="n"/>
      <c r="K603" s="1345" t="n"/>
      <c r="L603" s="1345" t="n"/>
      <c r="M603" s="1345" t="n"/>
      <c r="N603" s="1345" t="n"/>
    </row>
    <row r="604">
      <c r="A604" s="834" t="n"/>
      <c r="B604" s="835" t="n"/>
      <c r="C604" s="836" t="n"/>
      <c r="D604" s="836" t="n"/>
      <c r="E604" s="836" t="n"/>
      <c r="F604" s="836" t="n"/>
      <c r="G604" s="837" t="n"/>
      <c r="H604" s="836" t="n"/>
      <c r="I604" s="837" t="n"/>
      <c r="J604" s="1345" t="n"/>
      <c r="K604" s="1345" t="n"/>
      <c r="L604" s="1345" t="n"/>
      <c r="M604" s="1345" t="n"/>
      <c r="N604" s="1345" t="n"/>
    </row>
    <row r="605">
      <c r="A605" s="834" t="n"/>
      <c r="B605" s="835" t="n"/>
      <c r="C605" s="836" t="n"/>
      <c r="D605" s="836" t="n"/>
      <c r="E605" s="836" t="n"/>
      <c r="F605" s="836" t="n"/>
      <c r="G605" s="837" t="n"/>
      <c r="H605" s="836" t="n"/>
      <c r="I605" s="837" t="n"/>
      <c r="J605" s="1345" t="n"/>
      <c r="K605" s="1345" t="n"/>
      <c r="L605" s="1345" t="n"/>
      <c r="M605" s="1345" t="n"/>
      <c r="N605" s="1345" t="n"/>
    </row>
    <row r="606">
      <c r="A606" s="834" t="n"/>
      <c r="B606" s="835" t="n"/>
      <c r="C606" s="836" t="n"/>
      <c r="D606" s="836" t="n"/>
      <c r="E606" s="836" t="n"/>
      <c r="F606" s="836" t="n"/>
      <c r="G606" s="837" t="n"/>
      <c r="H606" s="836" t="n"/>
      <c r="I606" s="837" t="n"/>
      <c r="J606" s="1345" t="n"/>
      <c r="K606" s="1345" t="n"/>
      <c r="L606" s="1345" t="n"/>
      <c r="M606" s="1345" t="n"/>
      <c r="N606" s="1345" t="n"/>
    </row>
    <row r="607">
      <c r="A607" s="834" t="n"/>
      <c r="B607" s="835" t="n"/>
      <c r="C607" s="836" t="n"/>
      <c r="D607" s="836" t="n"/>
      <c r="E607" s="836" t="n"/>
      <c r="F607" s="836" t="n"/>
      <c r="G607" s="837" t="n"/>
      <c r="H607" s="836" t="n"/>
      <c r="I607" s="837" t="n"/>
      <c r="J607" s="1345" t="n"/>
      <c r="K607" s="1345" t="n"/>
      <c r="L607" s="1345" t="n"/>
      <c r="M607" s="1345" t="n"/>
      <c r="N607" s="1345" t="n"/>
    </row>
    <row r="608">
      <c r="A608" s="834" t="n"/>
      <c r="B608" s="835" t="n"/>
      <c r="C608" s="836" t="n"/>
      <c r="D608" s="836" t="n"/>
      <c r="E608" s="836" t="n"/>
      <c r="F608" s="836" t="n"/>
      <c r="G608" s="837" t="n"/>
      <c r="H608" s="836" t="n"/>
      <c r="I608" s="837" t="n"/>
      <c r="J608" s="1345" t="n"/>
      <c r="K608" s="1345" t="n"/>
      <c r="L608" s="1345" t="n"/>
      <c r="M608" s="1345" t="n"/>
      <c r="N608" s="1345" t="n"/>
    </row>
    <row r="609">
      <c r="A609" s="834" t="n"/>
      <c r="B609" s="835" t="n"/>
      <c r="C609" s="836" t="n"/>
      <c r="D609" s="836" t="n"/>
      <c r="E609" s="836" t="n"/>
      <c r="F609" s="836" t="n"/>
      <c r="G609" s="837" t="n"/>
      <c r="H609" s="836" t="n"/>
      <c r="I609" s="837" t="n"/>
      <c r="J609" s="1345" t="n"/>
      <c r="K609" s="1345" t="n"/>
      <c r="L609" s="1345" t="n"/>
      <c r="M609" s="1345" t="n"/>
      <c r="N609" s="1345" t="n"/>
    </row>
    <row r="610">
      <c r="A610" s="834" t="n"/>
      <c r="B610" s="835" t="n"/>
      <c r="C610" s="836" t="n"/>
      <c r="D610" s="836" t="n"/>
      <c r="E610" s="836" t="n"/>
      <c r="F610" s="836" t="n"/>
      <c r="G610" s="837" t="n"/>
      <c r="H610" s="836" t="n"/>
      <c r="I610" s="837" t="n"/>
      <c r="J610" s="1345" t="n"/>
      <c r="K610" s="1345" t="n"/>
      <c r="L610" s="1345" t="n"/>
      <c r="M610" s="1345" t="n"/>
      <c r="N610" s="1345" t="n"/>
    </row>
    <row r="611">
      <c r="A611" s="834" t="n"/>
      <c r="B611" s="835" t="n"/>
      <c r="C611" s="836" t="n"/>
      <c r="D611" s="836" t="n"/>
      <c r="E611" s="836" t="n"/>
      <c r="F611" s="836" t="n"/>
      <c r="G611" s="837" t="n"/>
      <c r="H611" s="836" t="n"/>
      <c r="I611" s="837" t="n"/>
      <c r="J611" s="1345" t="n"/>
      <c r="K611" s="1345" t="n"/>
      <c r="L611" s="1345" t="n"/>
      <c r="M611" s="1345" t="n"/>
      <c r="N611" s="1345" t="n"/>
    </row>
    <row r="612">
      <c r="A612" s="834" t="n"/>
      <c r="B612" s="835" t="n"/>
      <c r="C612" s="836" t="n"/>
      <c r="D612" s="836" t="n"/>
      <c r="E612" s="836" t="n"/>
      <c r="F612" s="836" t="n"/>
      <c r="G612" s="837" t="n"/>
      <c r="H612" s="836" t="n"/>
      <c r="I612" s="837" t="n"/>
      <c r="J612" s="1345" t="n"/>
      <c r="K612" s="1345" t="n"/>
      <c r="L612" s="1345" t="n"/>
      <c r="M612" s="1345" t="n"/>
      <c r="N612" s="1345" t="n"/>
    </row>
    <row r="613">
      <c r="A613" s="834" t="n"/>
      <c r="B613" s="835" t="n"/>
      <c r="C613" s="836" t="n"/>
      <c r="D613" s="836" t="n"/>
      <c r="E613" s="836" t="n"/>
      <c r="F613" s="836" t="n"/>
      <c r="G613" s="837" t="n"/>
      <c r="H613" s="836" t="n"/>
      <c r="I613" s="837" t="n"/>
      <c r="J613" s="1345" t="n"/>
      <c r="K613" s="1345" t="n"/>
      <c r="L613" s="1345" t="n"/>
      <c r="M613" s="1345" t="n"/>
      <c r="N613" s="1345" t="n"/>
    </row>
    <row r="614">
      <c r="A614" s="834" t="n"/>
      <c r="B614" s="835" t="n"/>
      <c r="C614" s="836" t="n"/>
      <c r="D614" s="836" t="n"/>
      <c r="E614" s="836" t="n"/>
      <c r="F614" s="836" t="n"/>
      <c r="G614" s="837" t="n"/>
      <c r="H614" s="836" t="n"/>
      <c r="I614" s="837" t="n"/>
      <c r="J614" s="1345" t="n"/>
      <c r="K614" s="1345" t="n"/>
      <c r="L614" s="1345" t="n"/>
      <c r="M614" s="1345" t="n"/>
      <c r="N614" s="1345" t="n"/>
    </row>
    <row r="615">
      <c r="A615" s="834" t="n"/>
      <c r="B615" s="835" t="n"/>
      <c r="C615" s="836" t="n"/>
      <c r="D615" s="836" t="n"/>
      <c r="E615" s="836" t="n"/>
      <c r="F615" s="836" t="n"/>
      <c r="G615" s="837" t="n"/>
      <c r="H615" s="836" t="n"/>
      <c r="I615" s="837" t="n"/>
      <c r="J615" s="1345" t="n"/>
      <c r="K615" s="1345" t="n"/>
      <c r="L615" s="1345" t="n"/>
      <c r="M615" s="1345" t="n"/>
      <c r="N615" s="1345" t="n"/>
    </row>
    <row r="616">
      <c r="A616" s="834" t="n"/>
      <c r="B616" s="835" t="n"/>
      <c r="C616" s="836" t="n"/>
      <c r="D616" s="836" t="n"/>
      <c r="E616" s="836" t="n"/>
      <c r="F616" s="836" t="n"/>
      <c r="G616" s="837" t="n"/>
      <c r="H616" s="836" t="n"/>
      <c r="I616" s="837" t="n"/>
      <c r="J616" s="1345" t="n"/>
      <c r="K616" s="1345" t="n"/>
      <c r="L616" s="1345" t="n"/>
      <c r="M616" s="1345" t="n"/>
      <c r="N616" s="1345" t="n"/>
    </row>
    <row r="617">
      <c r="A617" s="834" t="n"/>
      <c r="B617" s="835" t="n"/>
      <c r="C617" s="836" t="n"/>
      <c r="D617" s="836" t="n"/>
      <c r="E617" s="836" t="n"/>
      <c r="F617" s="836" t="n"/>
      <c r="G617" s="837" t="n"/>
      <c r="H617" s="836" t="n"/>
      <c r="I617" s="837" t="n"/>
      <c r="J617" s="1345" t="n"/>
      <c r="K617" s="1345" t="n"/>
      <c r="L617" s="1345" t="n"/>
      <c r="M617" s="1345" t="n"/>
      <c r="N617" s="1345" t="n"/>
    </row>
    <row r="618">
      <c r="A618" s="834" t="n"/>
      <c r="B618" s="835" t="n"/>
      <c r="C618" s="836" t="n"/>
      <c r="D618" s="836" t="n"/>
      <c r="E618" s="836" t="n"/>
      <c r="F618" s="836" t="n"/>
      <c r="G618" s="837" t="n"/>
      <c r="H618" s="836" t="n"/>
      <c r="I618" s="837" t="n"/>
      <c r="J618" s="1345" t="n"/>
      <c r="K618" s="1345" t="n"/>
      <c r="L618" s="1345" t="n"/>
      <c r="M618" s="1345" t="n"/>
      <c r="N618" s="1345" t="n"/>
    </row>
    <row r="619">
      <c r="A619" s="834" t="n"/>
      <c r="B619" s="835" t="n"/>
      <c r="C619" s="836" t="n"/>
      <c r="D619" s="836" t="n"/>
      <c r="E619" s="836" t="n"/>
      <c r="F619" s="836" t="n"/>
      <c r="G619" s="837" t="n"/>
      <c r="H619" s="836" t="n"/>
      <c r="I619" s="837" t="n"/>
      <c r="J619" s="1345" t="n"/>
      <c r="K619" s="1345" t="n"/>
      <c r="L619" s="1345" t="n"/>
      <c r="M619" s="1345" t="n"/>
      <c r="N619" s="1345" t="n"/>
    </row>
    <row r="620">
      <c r="A620" s="834" t="n"/>
      <c r="B620" s="835" t="n"/>
      <c r="C620" s="836" t="n"/>
      <c r="D620" s="836" t="n"/>
      <c r="E620" s="836" t="n"/>
      <c r="F620" s="836" t="n"/>
      <c r="G620" s="837" t="n"/>
      <c r="H620" s="836" t="n"/>
      <c r="I620" s="837" t="n"/>
      <c r="J620" s="1345" t="n"/>
      <c r="K620" s="1345" t="n"/>
      <c r="L620" s="1345" t="n"/>
      <c r="M620" s="1345" t="n"/>
      <c r="N620" s="1345" t="n"/>
    </row>
    <row r="621">
      <c r="A621" s="834" t="n"/>
      <c r="B621" s="835" t="n"/>
      <c r="C621" s="836" t="n"/>
      <c r="D621" s="836" t="n"/>
      <c r="E621" s="836" t="n"/>
      <c r="F621" s="836" t="n"/>
      <c r="G621" s="837" t="n"/>
      <c r="H621" s="836" t="n"/>
      <c r="I621" s="837" t="n"/>
      <c r="J621" s="1345" t="n"/>
      <c r="K621" s="1345" t="n"/>
      <c r="L621" s="1345" t="n"/>
      <c r="M621" s="1345" t="n"/>
      <c r="N621" s="1345" t="n"/>
    </row>
    <row r="622">
      <c r="A622" s="834" t="n"/>
      <c r="B622" s="835" t="n"/>
      <c r="C622" s="836" t="n"/>
      <c r="D622" s="836" t="n"/>
      <c r="E622" s="836" t="n"/>
      <c r="F622" s="836" t="n"/>
      <c r="G622" s="837" t="n"/>
      <c r="H622" s="836" t="n"/>
      <c r="I622" s="837" t="n"/>
      <c r="J622" s="1345" t="n"/>
      <c r="K622" s="1345" t="n"/>
      <c r="L622" s="1345" t="n"/>
      <c r="M622" s="1345" t="n"/>
      <c r="N622" s="1345" t="n"/>
    </row>
    <row r="623">
      <c r="A623" s="834" t="n"/>
      <c r="B623" s="835" t="n"/>
      <c r="C623" s="836" t="n"/>
      <c r="D623" s="836" t="n"/>
      <c r="E623" s="836" t="n"/>
      <c r="F623" s="836" t="n"/>
      <c r="G623" s="837" t="n"/>
      <c r="H623" s="836" t="n"/>
      <c r="I623" s="837" t="n"/>
      <c r="J623" s="1345" t="n"/>
      <c r="K623" s="1345" t="n"/>
      <c r="L623" s="1345" t="n"/>
      <c r="M623" s="1345" t="n"/>
      <c r="N623" s="1345" t="n"/>
    </row>
    <row r="624">
      <c r="A624" s="834" t="n"/>
      <c r="B624" s="835" t="n"/>
      <c r="C624" s="836" t="n"/>
      <c r="D624" s="836" t="n"/>
      <c r="E624" s="836" t="n"/>
      <c r="F624" s="836" t="n"/>
      <c r="G624" s="837" t="n"/>
      <c r="H624" s="836" t="n"/>
      <c r="I624" s="837" t="n"/>
      <c r="J624" s="1345" t="n"/>
      <c r="K624" s="1345" t="n"/>
      <c r="L624" s="1345" t="n"/>
      <c r="M624" s="1345" t="n"/>
      <c r="N624" s="1345" t="n"/>
    </row>
    <row r="625">
      <c r="A625" s="834" t="n"/>
      <c r="B625" s="835" t="n"/>
      <c r="C625" s="836" t="n"/>
      <c r="D625" s="836" t="n"/>
      <c r="E625" s="836" t="n"/>
      <c r="F625" s="836" t="n"/>
      <c r="G625" s="837" t="n"/>
      <c r="H625" s="836" t="n"/>
      <c r="I625" s="837" t="n"/>
      <c r="J625" s="1345" t="n"/>
      <c r="K625" s="1345" t="n"/>
      <c r="L625" s="1345" t="n"/>
      <c r="M625" s="1345" t="n"/>
      <c r="N625" s="1345" t="n"/>
    </row>
    <row r="626">
      <c r="A626" s="834" t="n"/>
      <c r="B626" s="835" t="n"/>
      <c r="C626" s="836" t="n"/>
      <c r="D626" s="836" t="n"/>
      <c r="E626" s="836" t="n"/>
      <c r="F626" s="836" t="n"/>
      <c r="G626" s="837" t="n"/>
      <c r="H626" s="836" t="n"/>
      <c r="I626" s="837" t="n"/>
      <c r="J626" s="1345" t="n"/>
      <c r="K626" s="1345" t="n"/>
      <c r="L626" s="1345" t="n"/>
      <c r="M626" s="1345" t="n"/>
      <c r="N626" s="1345" t="n"/>
    </row>
    <row r="627">
      <c r="A627" s="834" t="n"/>
      <c r="B627" s="835" t="n"/>
      <c r="C627" s="836" t="n"/>
      <c r="D627" s="836" t="n"/>
      <c r="E627" s="836" t="n"/>
      <c r="F627" s="836" t="n"/>
      <c r="G627" s="837" t="n"/>
      <c r="H627" s="836" t="n"/>
      <c r="I627" s="837" t="n"/>
      <c r="J627" s="1345" t="n"/>
      <c r="K627" s="1345" t="n"/>
      <c r="L627" s="1345" t="n"/>
      <c r="M627" s="1345" t="n"/>
      <c r="N627" s="1345" t="n"/>
    </row>
    <row r="628">
      <c r="A628" s="834" t="n"/>
      <c r="B628" s="835" t="n"/>
      <c r="C628" s="836" t="n"/>
      <c r="D628" s="836" t="n"/>
      <c r="E628" s="836" t="n"/>
      <c r="F628" s="836" t="n"/>
      <c r="G628" s="837" t="n"/>
      <c r="H628" s="836" t="n"/>
      <c r="I628" s="837" t="n"/>
      <c r="J628" s="1345" t="n"/>
      <c r="K628" s="1345" t="n"/>
      <c r="L628" s="1345" t="n"/>
      <c r="M628" s="1345" t="n"/>
      <c r="N628" s="1345" t="n"/>
    </row>
    <row r="629">
      <c r="A629" s="834" t="n"/>
      <c r="B629" s="835" t="n"/>
      <c r="C629" s="836" t="n"/>
      <c r="D629" s="836" t="n"/>
      <c r="E629" s="836" t="n"/>
      <c r="F629" s="836" t="n"/>
      <c r="G629" s="837" t="n"/>
      <c r="H629" s="836" t="n"/>
      <c r="I629" s="837" t="n"/>
      <c r="J629" s="1345" t="n"/>
      <c r="K629" s="1345" t="n"/>
      <c r="L629" s="1345" t="n"/>
      <c r="M629" s="1345" t="n"/>
      <c r="N629" s="1345" t="n"/>
    </row>
    <row r="630">
      <c r="A630" s="834" t="n"/>
      <c r="B630" s="835" t="n"/>
      <c r="C630" s="836" t="n"/>
      <c r="D630" s="836" t="n"/>
      <c r="E630" s="836" t="n"/>
      <c r="F630" s="836" t="n"/>
      <c r="G630" s="837" t="n"/>
      <c r="H630" s="836" t="n"/>
      <c r="I630" s="837" t="n"/>
      <c r="J630" s="1345" t="n"/>
      <c r="K630" s="1345" t="n"/>
      <c r="L630" s="1345" t="n"/>
      <c r="M630" s="1345" t="n"/>
      <c r="N630" s="1345" t="n"/>
    </row>
    <row r="631">
      <c r="A631" s="834" t="n"/>
      <c r="B631" s="835" t="n"/>
      <c r="C631" s="836" t="n"/>
      <c r="D631" s="836" t="n"/>
      <c r="E631" s="836" t="n"/>
      <c r="F631" s="836" t="n"/>
      <c r="G631" s="837" t="n"/>
      <c r="H631" s="836" t="n"/>
      <c r="I631" s="837" t="n"/>
      <c r="J631" s="1345" t="n"/>
      <c r="K631" s="1345" t="n"/>
      <c r="L631" s="1345" t="n"/>
      <c r="M631" s="1345" t="n"/>
      <c r="N631" s="1345" t="n"/>
    </row>
    <row r="632">
      <c r="A632" s="834" t="n"/>
      <c r="B632" s="835" t="n"/>
      <c r="C632" s="836" t="n"/>
      <c r="D632" s="836" t="n"/>
      <c r="E632" s="836" t="n"/>
      <c r="F632" s="836" t="n"/>
      <c r="G632" s="837" t="n"/>
      <c r="H632" s="836" t="n"/>
      <c r="I632" s="837" t="n"/>
      <c r="J632" s="1345" t="n"/>
      <c r="K632" s="1345" t="n"/>
      <c r="L632" s="1345" t="n"/>
      <c r="M632" s="1345" t="n"/>
      <c r="N632" s="1345" t="n"/>
    </row>
    <row r="633">
      <c r="A633" s="834" t="n"/>
      <c r="B633" s="835" t="n"/>
      <c r="C633" s="836" t="n"/>
      <c r="D633" s="836" t="n"/>
      <c r="E633" s="836" t="n"/>
      <c r="F633" s="836" t="n"/>
      <c r="G633" s="837" t="n"/>
      <c r="H633" s="836" t="n"/>
      <c r="I633" s="837" t="n"/>
      <c r="J633" s="1345" t="n"/>
      <c r="K633" s="1345" t="n"/>
      <c r="L633" s="1345" t="n"/>
      <c r="M633" s="1345" t="n"/>
      <c r="N633" s="1345" t="n"/>
    </row>
    <row r="634">
      <c r="A634" s="834" t="n"/>
      <c r="B634" s="835" t="n"/>
      <c r="C634" s="836" t="n"/>
      <c r="D634" s="836" t="n"/>
      <c r="E634" s="836" t="n"/>
      <c r="F634" s="836" t="n"/>
      <c r="G634" s="837" t="n"/>
      <c r="H634" s="836" t="n"/>
      <c r="I634" s="837" t="n"/>
      <c r="J634" s="1345" t="n"/>
      <c r="K634" s="1345" t="n"/>
      <c r="L634" s="1345" t="n"/>
      <c r="M634" s="1345" t="n"/>
      <c r="N634" s="1345" t="n"/>
    </row>
    <row r="635">
      <c r="A635" s="834" t="n"/>
      <c r="B635" s="835" t="n"/>
      <c r="C635" s="836" t="n"/>
      <c r="D635" s="836" t="n"/>
      <c r="E635" s="836" t="n"/>
      <c r="F635" s="836" t="n"/>
      <c r="G635" s="837" t="n"/>
      <c r="H635" s="836" t="n"/>
      <c r="I635" s="837" t="n"/>
      <c r="J635" s="1345" t="n"/>
      <c r="K635" s="1345" t="n"/>
      <c r="L635" s="1345" t="n"/>
      <c r="M635" s="1345" t="n"/>
      <c r="N635" s="1345" t="n"/>
    </row>
    <row r="636">
      <c r="A636" s="834" t="n"/>
      <c r="B636" s="835" t="n"/>
      <c r="C636" s="836" t="n"/>
      <c r="D636" s="836" t="n"/>
      <c r="E636" s="836" t="n"/>
      <c r="F636" s="836" t="n"/>
      <c r="G636" s="837" t="n"/>
      <c r="H636" s="836" t="n"/>
      <c r="I636" s="837" t="n"/>
      <c r="J636" s="1345" t="n"/>
      <c r="K636" s="1345" t="n"/>
      <c r="L636" s="1345" t="n"/>
      <c r="M636" s="1345" t="n"/>
      <c r="N636" s="1345" t="n"/>
    </row>
    <row r="637">
      <c r="A637" s="834" t="n"/>
      <c r="B637" s="835" t="n"/>
      <c r="C637" s="836" t="n"/>
      <c r="D637" s="836" t="n"/>
      <c r="E637" s="836" t="n"/>
      <c r="F637" s="836" t="n"/>
      <c r="G637" s="837" t="n"/>
      <c r="H637" s="836" t="n"/>
      <c r="I637" s="837" t="n"/>
      <c r="J637" s="1345" t="n"/>
      <c r="K637" s="1345" t="n"/>
      <c r="L637" s="1345" t="n"/>
      <c r="M637" s="1345" t="n"/>
      <c r="N637" s="1345" t="n"/>
    </row>
    <row r="638">
      <c r="A638" s="834" t="n"/>
      <c r="B638" s="835" t="n"/>
      <c r="C638" s="836" t="n"/>
      <c r="D638" s="836" t="n"/>
      <c r="E638" s="836" t="n"/>
      <c r="F638" s="836" t="n"/>
      <c r="G638" s="837" t="n"/>
      <c r="H638" s="836" t="n"/>
      <c r="I638" s="837" t="n"/>
      <c r="J638" s="1345" t="n"/>
      <c r="K638" s="1345" t="n"/>
      <c r="L638" s="1345" t="n"/>
      <c r="M638" s="1345" t="n"/>
      <c r="N638" s="1345" t="n"/>
    </row>
    <row r="639">
      <c r="A639" s="834" t="n"/>
      <c r="B639" s="835" t="n"/>
      <c r="C639" s="836" t="n"/>
      <c r="D639" s="836" t="n"/>
      <c r="E639" s="836" t="n"/>
      <c r="F639" s="836" t="n"/>
      <c r="G639" s="837" t="n"/>
      <c r="H639" s="836" t="n"/>
      <c r="I639" s="837" t="n"/>
      <c r="J639" s="1345" t="n"/>
      <c r="K639" s="1345" t="n"/>
      <c r="L639" s="1345" t="n"/>
      <c r="M639" s="1345" t="n"/>
      <c r="N639" s="1345" t="n"/>
    </row>
    <row r="640">
      <c r="A640" s="834" t="n"/>
      <c r="B640" s="835" t="n"/>
      <c r="C640" s="836" t="n"/>
      <c r="D640" s="836" t="n"/>
      <c r="E640" s="836" t="n"/>
      <c r="F640" s="836" t="n"/>
      <c r="G640" s="837" t="n"/>
      <c r="H640" s="836" t="n"/>
      <c r="I640" s="837" t="n"/>
      <c r="J640" s="1345" t="n"/>
      <c r="K640" s="1345" t="n"/>
      <c r="L640" s="1345" t="n"/>
      <c r="M640" s="1345" t="n"/>
      <c r="N640" s="1345" t="n"/>
    </row>
    <row r="641">
      <c r="A641" s="834" t="n"/>
      <c r="B641" s="835" t="n"/>
      <c r="C641" s="836" t="n"/>
      <c r="D641" s="836" t="n"/>
      <c r="E641" s="836" t="n"/>
      <c r="F641" s="836" t="n"/>
      <c r="G641" s="837" t="n"/>
      <c r="H641" s="836" t="n"/>
      <c r="I641" s="837" t="n"/>
      <c r="J641" s="1345" t="n"/>
      <c r="K641" s="1345" t="n"/>
      <c r="L641" s="1345" t="n"/>
      <c r="M641" s="1345" t="n"/>
      <c r="N641" s="1345" t="n"/>
    </row>
    <row r="642">
      <c r="A642" s="834" t="n"/>
      <c r="B642" s="835" t="n"/>
      <c r="C642" s="836" t="n"/>
      <c r="D642" s="836" t="n"/>
      <c r="E642" s="836" t="n"/>
      <c r="F642" s="836" t="n"/>
      <c r="G642" s="837" t="n"/>
      <c r="H642" s="836" t="n"/>
      <c r="I642" s="837" t="n"/>
      <c r="J642" s="1345" t="n"/>
      <c r="K642" s="1345" t="n"/>
      <c r="L642" s="1345" t="n"/>
      <c r="M642" s="1345" t="n"/>
      <c r="N642" s="1345" t="n"/>
    </row>
    <row r="643">
      <c r="A643" s="834" t="n"/>
      <c r="B643" s="835" t="n"/>
      <c r="C643" s="836" t="n"/>
      <c r="D643" s="836" t="n"/>
      <c r="E643" s="836" t="n"/>
      <c r="F643" s="836" t="n"/>
      <c r="G643" s="837" t="n"/>
      <c r="H643" s="836" t="n"/>
      <c r="I643" s="837" t="n"/>
      <c r="J643" s="1345" t="n"/>
      <c r="K643" s="1345" t="n"/>
      <c r="L643" s="1345" t="n"/>
      <c r="M643" s="1345" t="n"/>
      <c r="N643" s="1345" t="n"/>
    </row>
    <row r="644">
      <c r="A644" s="834" t="n"/>
      <c r="B644" s="835" t="n"/>
      <c r="C644" s="836" t="n"/>
      <c r="D644" s="836" t="n"/>
      <c r="E644" s="836" t="n"/>
      <c r="F644" s="836" t="n"/>
      <c r="G644" s="837" t="n"/>
      <c r="H644" s="836" t="n"/>
      <c r="I644" s="837" t="n"/>
      <c r="J644" s="1345" t="n"/>
      <c r="K644" s="1345" t="n"/>
      <c r="L644" s="1345" t="n"/>
      <c r="M644" s="1345" t="n"/>
      <c r="N644" s="1345" t="n"/>
    </row>
    <row r="645">
      <c r="A645" s="834" t="n"/>
      <c r="B645" s="835" t="n"/>
      <c r="C645" s="836" t="n"/>
      <c r="D645" s="836" t="n"/>
      <c r="E645" s="836" t="n"/>
      <c r="F645" s="836" t="n"/>
      <c r="G645" s="837" t="n"/>
      <c r="H645" s="836" t="n"/>
      <c r="I645" s="837" t="n"/>
      <c r="J645" s="1345" t="n"/>
      <c r="K645" s="1345" t="n"/>
      <c r="L645" s="1345" t="n"/>
      <c r="M645" s="1345" t="n"/>
      <c r="N645" s="1345" t="n"/>
    </row>
    <row r="646">
      <c r="A646" s="834" t="n"/>
      <c r="B646" s="835" t="n"/>
      <c r="C646" s="836" t="n"/>
      <c r="D646" s="836" t="n"/>
      <c r="E646" s="836" t="n"/>
      <c r="F646" s="836" t="n"/>
      <c r="G646" s="837" t="n"/>
      <c r="H646" s="836" t="n"/>
      <c r="I646" s="837" t="n"/>
      <c r="J646" s="1345" t="n"/>
      <c r="K646" s="1345" t="n"/>
      <c r="L646" s="1345" t="n"/>
      <c r="M646" s="1345" t="n"/>
      <c r="N646" s="1345" t="n"/>
    </row>
    <row r="647">
      <c r="A647" s="834" t="n"/>
      <c r="B647" s="835" t="n"/>
      <c r="C647" s="836" t="n"/>
      <c r="D647" s="836" t="n"/>
      <c r="E647" s="836" t="n"/>
      <c r="F647" s="836" t="n"/>
      <c r="G647" s="837" t="n"/>
      <c r="H647" s="836" t="n"/>
      <c r="I647" s="837" t="n"/>
      <c r="J647" s="1345" t="n"/>
      <c r="K647" s="1345" t="n"/>
      <c r="L647" s="1345" t="n"/>
      <c r="M647" s="1345" t="n"/>
      <c r="N647" s="1345" t="n"/>
    </row>
    <row r="648">
      <c r="A648" s="834" t="n"/>
      <c r="B648" s="835" t="n"/>
      <c r="C648" s="836" t="n"/>
      <c r="D648" s="836" t="n"/>
      <c r="E648" s="836" t="n"/>
      <c r="F648" s="836" t="n"/>
      <c r="G648" s="837" t="n"/>
      <c r="H648" s="836" t="n"/>
      <c r="I648" s="837" t="n"/>
      <c r="J648" s="1345" t="n"/>
      <c r="K648" s="1345" t="n"/>
      <c r="L648" s="1345" t="n"/>
      <c r="M648" s="1345" t="n"/>
      <c r="N648" s="1345" t="n"/>
    </row>
    <row r="649">
      <c r="A649" s="834" t="n"/>
      <c r="B649" s="835" t="n"/>
      <c r="C649" s="836" t="n"/>
      <c r="D649" s="836" t="n"/>
      <c r="E649" s="836" t="n"/>
      <c r="F649" s="836" t="n"/>
      <c r="G649" s="837" t="n"/>
      <c r="H649" s="836" t="n"/>
      <c r="I649" s="837" t="n"/>
      <c r="J649" s="1345" t="n"/>
      <c r="K649" s="1345" t="n"/>
      <c r="L649" s="1345" t="n"/>
      <c r="M649" s="1345" t="n"/>
      <c r="N649" s="1345" t="n"/>
    </row>
    <row r="650">
      <c r="A650" s="834" t="n"/>
      <c r="B650" s="835" t="n"/>
      <c r="C650" s="836" t="n"/>
      <c r="D650" s="836" t="n"/>
      <c r="E650" s="836" t="n"/>
      <c r="F650" s="836" t="n"/>
      <c r="G650" s="837" t="n"/>
      <c r="H650" s="836" t="n"/>
      <c r="I650" s="837" t="n"/>
      <c r="J650" s="1345" t="n"/>
      <c r="K650" s="1345" t="n"/>
      <c r="L650" s="1345" t="n"/>
      <c r="M650" s="1345" t="n"/>
      <c r="N650" s="1345" t="n"/>
    </row>
    <row r="651">
      <c r="A651" s="834" t="n"/>
      <c r="B651" s="835" t="n"/>
      <c r="C651" s="836" t="n"/>
      <c r="D651" s="836" t="n"/>
      <c r="E651" s="836" t="n"/>
      <c r="F651" s="836" t="n"/>
      <c r="G651" s="837" t="n"/>
      <c r="H651" s="836" t="n"/>
      <c r="I651" s="837" t="n"/>
      <c r="J651" s="1345" t="n"/>
      <c r="K651" s="1345" t="n"/>
      <c r="L651" s="1345" t="n"/>
      <c r="M651" s="1345" t="n"/>
      <c r="N651" s="1345" t="n"/>
    </row>
    <row r="652">
      <c r="A652" s="834" t="n"/>
      <c r="B652" s="835" t="n"/>
      <c r="C652" s="836" t="n"/>
      <c r="D652" s="836" t="n"/>
      <c r="E652" s="836" t="n"/>
      <c r="F652" s="836" t="n"/>
      <c r="G652" s="837" t="n"/>
      <c r="H652" s="836" t="n"/>
      <c r="I652" s="837" t="n"/>
      <c r="J652" s="1345" t="n"/>
      <c r="K652" s="1345" t="n"/>
      <c r="L652" s="1345" t="n"/>
      <c r="M652" s="1345" t="n"/>
      <c r="N652" s="1345" t="n"/>
    </row>
    <row r="653">
      <c r="A653" s="834" t="n"/>
      <c r="B653" s="835" t="n"/>
      <c r="C653" s="836" t="n"/>
      <c r="D653" s="836" t="n"/>
      <c r="E653" s="836" t="n"/>
      <c r="F653" s="836" t="n"/>
      <c r="G653" s="837" t="n"/>
      <c r="H653" s="836" t="n"/>
      <c r="I653" s="837" t="n"/>
      <c r="J653" s="1345" t="n"/>
      <c r="K653" s="1345" t="n"/>
      <c r="L653" s="1345" t="n"/>
      <c r="M653" s="1345" t="n"/>
      <c r="N653" s="1345" t="n"/>
    </row>
    <row r="654">
      <c r="A654" s="834" t="n"/>
      <c r="B654" s="835" t="n"/>
      <c r="C654" s="836" t="n"/>
      <c r="D654" s="836" t="n"/>
      <c r="E654" s="836" t="n"/>
      <c r="F654" s="836" t="n"/>
      <c r="G654" s="837" t="n"/>
      <c r="H654" s="836" t="n"/>
      <c r="I654" s="837" t="n"/>
      <c r="J654" s="1345" t="n"/>
      <c r="K654" s="1345" t="n"/>
      <c r="L654" s="1345" t="n"/>
      <c r="M654" s="1345" t="n"/>
      <c r="N654" s="1345" t="n"/>
    </row>
    <row r="655">
      <c r="A655" s="834" t="n"/>
      <c r="B655" s="835" t="n"/>
      <c r="C655" s="836" t="n"/>
      <c r="D655" s="836" t="n"/>
      <c r="E655" s="836" t="n"/>
      <c r="F655" s="836" t="n"/>
      <c r="G655" s="837" t="n"/>
      <c r="H655" s="836" t="n"/>
      <c r="I655" s="837" t="n"/>
      <c r="J655" s="1345" t="n"/>
      <c r="K655" s="1345" t="n"/>
      <c r="L655" s="1345" t="n"/>
      <c r="M655" s="1345" t="n"/>
      <c r="N655" s="1345" t="n"/>
    </row>
    <row r="656">
      <c r="A656" s="834" t="n"/>
      <c r="B656" s="835" t="n"/>
      <c r="C656" s="836" t="n"/>
      <c r="D656" s="836" t="n"/>
      <c r="E656" s="836" t="n"/>
      <c r="F656" s="836" t="n"/>
      <c r="G656" s="837" t="n"/>
      <c r="H656" s="836" t="n"/>
      <c r="I656" s="837" t="n"/>
      <c r="J656" s="1345" t="n"/>
      <c r="K656" s="1345" t="n"/>
      <c r="L656" s="1345" t="n"/>
      <c r="M656" s="1345" t="n"/>
      <c r="N656" s="1345" t="n"/>
    </row>
    <row r="657">
      <c r="A657" s="834" t="n"/>
      <c r="B657" s="835" t="n"/>
      <c r="C657" s="836" t="n"/>
      <c r="D657" s="836" t="n"/>
      <c r="E657" s="836" t="n"/>
      <c r="F657" s="836" t="n"/>
      <c r="G657" s="837" t="n"/>
      <c r="H657" s="836" t="n"/>
      <c r="I657" s="837" t="n"/>
      <c r="J657" s="1345" t="n"/>
      <c r="K657" s="1345" t="n"/>
      <c r="L657" s="1345" t="n"/>
      <c r="M657" s="1345" t="n"/>
      <c r="N657" s="1345" t="n"/>
    </row>
    <row r="658">
      <c r="A658" s="834" t="n"/>
      <c r="B658" s="835" t="n"/>
      <c r="C658" s="836" t="n"/>
      <c r="D658" s="836" t="n"/>
      <c r="E658" s="836" t="n"/>
      <c r="F658" s="836" t="n"/>
      <c r="G658" s="837" t="n"/>
      <c r="H658" s="836" t="n"/>
      <c r="I658" s="837" t="n"/>
      <c r="J658" s="1345" t="n"/>
      <c r="K658" s="1345" t="n"/>
      <c r="L658" s="1345" t="n"/>
      <c r="M658" s="1345" t="n"/>
      <c r="N658" s="1345" t="n"/>
    </row>
    <row r="659">
      <c r="A659" s="834" t="n"/>
      <c r="B659" s="835" t="n"/>
      <c r="C659" s="836" t="n"/>
      <c r="D659" s="836" t="n"/>
      <c r="E659" s="836" t="n"/>
      <c r="F659" s="836" t="n"/>
      <c r="G659" s="837" t="n"/>
      <c r="H659" s="836" t="n"/>
      <c r="I659" s="837" t="n"/>
      <c r="J659" s="1345" t="n"/>
      <c r="K659" s="1345" t="n"/>
      <c r="L659" s="1345" t="n"/>
      <c r="M659" s="1345" t="n"/>
      <c r="N659" s="1345" t="n"/>
    </row>
    <row r="660">
      <c r="A660" s="834" t="n"/>
      <c r="B660" s="835" t="n"/>
      <c r="C660" s="836" t="n"/>
      <c r="D660" s="836" t="n"/>
      <c r="E660" s="836" t="n"/>
      <c r="F660" s="836" t="n"/>
      <c r="G660" s="837" t="n"/>
      <c r="H660" s="836" t="n"/>
      <c r="I660" s="837" t="n"/>
      <c r="J660" s="1345" t="n"/>
      <c r="K660" s="1345" t="n"/>
      <c r="L660" s="1345" t="n"/>
      <c r="M660" s="1345" t="n"/>
      <c r="N660" s="1345" t="n"/>
    </row>
    <row r="661">
      <c r="A661" s="834" t="n"/>
      <c r="B661" s="835" t="n"/>
      <c r="C661" s="836" t="n"/>
      <c r="D661" s="836" t="n"/>
      <c r="E661" s="836" t="n"/>
      <c r="F661" s="836" t="n"/>
      <c r="G661" s="837" t="n"/>
      <c r="H661" s="836" t="n"/>
      <c r="I661" s="837" t="n"/>
      <c r="J661" s="1345" t="n"/>
      <c r="K661" s="1345" t="n"/>
      <c r="L661" s="1345" t="n"/>
      <c r="M661" s="1345" t="n"/>
      <c r="N661" s="1345" t="n"/>
    </row>
    <row r="662">
      <c r="A662" s="834" t="n"/>
      <c r="B662" s="835" t="n"/>
      <c r="C662" s="836" t="n"/>
      <c r="D662" s="836" t="n"/>
      <c r="E662" s="836" t="n"/>
      <c r="F662" s="836" t="n"/>
      <c r="G662" s="837" t="n"/>
      <c r="H662" s="836" t="n"/>
      <c r="I662" s="837" t="n"/>
      <c r="J662" s="1345" t="n"/>
      <c r="K662" s="1345" t="n"/>
      <c r="L662" s="1345" t="n"/>
      <c r="M662" s="1345" t="n"/>
      <c r="N662" s="1345" t="n"/>
    </row>
    <row r="663">
      <c r="A663" s="834" t="n"/>
      <c r="B663" s="835" t="n"/>
      <c r="C663" s="836" t="n"/>
      <c r="D663" s="836" t="n"/>
      <c r="E663" s="836" t="n"/>
      <c r="F663" s="836" t="n"/>
      <c r="G663" s="837" t="n"/>
      <c r="H663" s="836" t="n"/>
      <c r="I663" s="837" t="n"/>
      <c r="J663" s="1345" t="n"/>
      <c r="K663" s="1345" t="n"/>
      <c r="L663" s="1345" t="n"/>
      <c r="M663" s="1345" t="n"/>
      <c r="N663" s="1345" t="n"/>
    </row>
    <row r="664">
      <c r="A664" s="834" t="n"/>
      <c r="B664" s="835" t="n"/>
      <c r="C664" s="836" t="n"/>
      <c r="D664" s="836" t="n"/>
      <c r="E664" s="836" t="n"/>
      <c r="F664" s="836" t="n"/>
      <c r="G664" s="837" t="n"/>
      <c r="H664" s="836" t="n"/>
      <c r="I664" s="837" t="n"/>
      <c r="J664" s="1345" t="n"/>
      <c r="K664" s="1345" t="n"/>
      <c r="L664" s="1345" t="n"/>
      <c r="M664" s="1345" t="n"/>
      <c r="N664" s="1345" t="n"/>
    </row>
    <row r="665">
      <c r="A665" s="834" t="n"/>
      <c r="B665" s="835" t="n"/>
      <c r="C665" s="836" t="n"/>
      <c r="D665" s="836" t="n"/>
      <c r="E665" s="836" t="n"/>
      <c r="F665" s="836" t="n"/>
      <c r="G665" s="837" t="n"/>
      <c r="H665" s="836" t="n"/>
      <c r="I665" s="837" t="n"/>
      <c r="J665" s="1345" t="n"/>
      <c r="K665" s="1345" t="n"/>
      <c r="L665" s="1345" t="n"/>
      <c r="M665" s="1345" t="n"/>
      <c r="N665" s="1345" t="n"/>
    </row>
    <row r="666">
      <c r="A666" s="834" t="n"/>
      <c r="B666" s="835" t="n"/>
      <c r="C666" s="836" t="n"/>
      <c r="D666" s="836" t="n"/>
      <c r="E666" s="836" t="n"/>
      <c r="F666" s="836" t="n"/>
      <c r="G666" s="837" t="n"/>
      <c r="H666" s="836" t="n"/>
      <c r="I666" s="837" t="n"/>
      <c r="J666" s="1345" t="n"/>
      <c r="K666" s="1345" t="n"/>
      <c r="L666" s="1345" t="n"/>
      <c r="M666" s="1345" t="n"/>
      <c r="N666" s="1345" t="n"/>
    </row>
    <row r="667">
      <c r="A667" s="834" t="n"/>
      <c r="B667" s="835" t="n"/>
      <c r="C667" s="836" t="n"/>
      <c r="D667" s="836" t="n"/>
      <c r="E667" s="836" t="n"/>
      <c r="F667" s="836" t="n"/>
      <c r="G667" s="837" t="n"/>
      <c r="H667" s="836" t="n"/>
      <c r="I667" s="837" t="n"/>
      <c r="J667" s="1345" t="n"/>
      <c r="K667" s="1345" t="n"/>
      <c r="L667" s="1345" t="n"/>
      <c r="M667" s="1345" t="n"/>
      <c r="N667" s="1345" t="n"/>
    </row>
    <row r="668">
      <c r="A668" s="834" t="n"/>
      <c r="B668" s="835" t="n"/>
      <c r="C668" s="836" t="n"/>
      <c r="D668" s="836" t="n"/>
      <c r="E668" s="836" t="n"/>
      <c r="F668" s="836" t="n"/>
      <c r="G668" s="837" t="n"/>
      <c r="H668" s="836" t="n"/>
      <c r="I668" s="837" t="n"/>
      <c r="J668" s="1345" t="n"/>
      <c r="K668" s="1345" t="n"/>
      <c r="L668" s="1345" t="n"/>
      <c r="M668" s="1345" t="n"/>
      <c r="N668" s="1345" t="n"/>
    </row>
    <row r="669">
      <c r="A669" s="834" t="n"/>
      <c r="B669" s="835" t="n"/>
      <c r="C669" s="836" t="n"/>
      <c r="D669" s="836" t="n"/>
      <c r="E669" s="836" t="n"/>
      <c r="F669" s="836" t="n"/>
      <c r="G669" s="837" t="n"/>
      <c r="H669" s="836" t="n"/>
      <c r="I669" s="837" t="n"/>
      <c r="J669" s="1345" t="n"/>
      <c r="K669" s="1345" t="n"/>
      <c r="L669" s="1345" t="n"/>
      <c r="M669" s="1345" t="n"/>
      <c r="N669" s="1345" t="n"/>
    </row>
    <row r="670">
      <c r="A670" s="834" t="n"/>
      <c r="B670" s="835" t="n"/>
      <c r="C670" s="836" t="n"/>
      <c r="D670" s="836" t="n"/>
      <c r="E670" s="836" t="n"/>
      <c r="F670" s="836" t="n"/>
      <c r="G670" s="837" t="n"/>
      <c r="H670" s="836" t="n"/>
      <c r="I670" s="837" t="n"/>
      <c r="J670" s="1345" t="n"/>
      <c r="K670" s="1345" t="n"/>
      <c r="L670" s="1345" t="n"/>
      <c r="M670" s="1345" t="n"/>
      <c r="N670" s="1345" t="n"/>
    </row>
    <row r="671">
      <c r="A671" s="834" t="n"/>
      <c r="B671" s="835" t="n"/>
      <c r="C671" s="836" t="n"/>
      <c r="D671" s="836" t="n"/>
      <c r="E671" s="836" t="n"/>
      <c r="F671" s="836" t="n"/>
      <c r="G671" s="837" t="n"/>
      <c r="H671" s="836" t="n"/>
      <c r="I671" s="837" t="n"/>
      <c r="J671" s="1345" t="n"/>
      <c r="K671" s="1345" t="n"/>
      <c r="L671" s="1345" t="n"/>
      <c r="M671" s="1345" t="n"/>
      <c r="N671" s="1345" t="n"/>
    </row>
    <row r="672">
      <c r="A672" s="834" t="n"/>
      <c r="B672" s="835" t="n"/>
      <c r="C672" s="836" t="n"/>
      <c r="D672" s="836" t="n"/>
      <c r="E672" s="836" t="n"/>
      <c r="F672" s="836" t="n"/>
      <c r="G672" s="837" t="n"/>
      <c r="H672" s="836" t="n"/>
      <c r="I672" s="837" t="n"/>
      <c r="J672" s="1345" t="n"/>
      <c r="K672" s="1345" t="n"/>
      <c r="L672" s="1345" t="n"/>
      <c r="M672" s="1345" t="n"/>
      <c r="N672" s="1345" t="n"/>
    </row>
    <row r="673">
      <c r="A673" s="834" t="n"/>
      <c r="B673" s="835" t="n"/>
      <c r="C673" s="836" t="n"/>
      <c r="D673" s="836" t="n"/>
      <c r="E673" s="836" t="n"/>
      <c r="F673" s="836" t="n"/>
      <c r="G673" s="837" t="n"/>
      <c r="H673" s="836" t="n"/>
      <c r="I673" s="837" t="n"/>
      <c r="J673" s="1345" t="n"/>
      <c r="K673" s="1345" t="n"/>
      <c r="L673" s="1345" t="n"/>
      <c r="M673" s="1345" t="n"/>
      <c r="N673" s="1345" t="n"/>
    </row>
    <row r="674">
      <c r="A674" s="834" t="n"/>
      <c r="B674" s="835" t="n"/>
      <c r="C674" s="836" t="n"/>
      <c r="D674" s="836" t="n"/>
      <c r="E674" s="836" t="n"/>
      <c r="F674" s="836" t="n"/>
      <c r="G674" s="837" t="n"/>
      <c r="H674" s="836" t="n"/>
      <c r="I674" s="837" t="n"/>
      <c r="J674" s="1345" t="n"/>
      <c r="K674" s="1345" t="n"/>
      <c r="L674" s="1345" t="n"/>
      <c r="M674" s="1345" t="n"/>
      <c r="N674" s="1345" t="n"/>
    </row>
    <row r="675">
      <c r="A675" s="834" t="n"/>
      <c r="B675" s="835" t="n"/>
      <c r="C675" s="836" t="n"/>
      <c r="D675" s="836" t="n"/>
      <c r="E675" s="836" t="n"/>
      <c r="F675" s="836" t="n"/>
      <c r="G675" s="837" t="n"/>
      <c r="H675" s="836" t="n"/>
      <c r="I675" s="837" t="n"/>
      <c r="J675" s="1345" t="n"/>
      <c r="K675" s="1345" t="n"/>
      <c r="L675" s="1345" t="n"/>
      <c r="M675" s="1345" t="n"/>
      <c r="N675" s="1345" t="n"/>
    </row>
    <row r="676">
      <c r="A676" s="834" t="n"/>
      <c r="B676" s="835" t="n"/>
      <c r="C676" s="836" t="n"/>
      <c r="D676" s="836" t="n"/>
      <c r="E676" s="836" t="n"/>
      <c r="F676" s="836" t="n"/>
      <c r="G676" s="837" t="n"/>
      <c r="H676" s="836" t="n"/>
      <c r="I676" s="837" t="n"/>
      <c r="J676" s="1345" t="n"/>
      <c r="K676" s="1345" t="n"/>
      <c r="L676" s="1345" t="n"/>
      <c r="M676" s="1345" t="n"/>
      <c r="N676" s="1345" t="n"/>
    </row>
    <row r="677">
      <c r="A677" s="834" t="n"/>
      <c r="B677" s="835" t="n"/>
      <c r="C677" s="836" t="n"/>
      <c r="D677" s="836" t="n"/>
      <c r="E677" s="836" t="n"/>
      <c r="F677" s="836" t="n"/>
      <c r="G677" s="837" t="n"/>
      <c r="H677" s="836" t="n"/>
      <c r="I677" s="837" t="n"/>
      <c r="J677" s="1345" t="n"/>
      <c r="K677" s="1345" t="n"/>
      <c r="L677" s="1345" t="n"/>
      <c r="M677" s="1345" t="n"/>
      <c r="N677" s="1345" t="n"/>
    </row>
    <row r="678">
      <c r="A678" s="834" t="n"/>
      <c r="B678" s="835" t="n"/>
      <c r="C678" s="836" t="n"/>
      <c r="D678" s="836" t="n"/>
      <c r="E678" s="836" t="n"/>
      <c r="F678" s="836" t="n"/>
      <c r="G678" s="837" t="n"/>
      <c r="H678" s="836" t="n"/>
      <c r="I678" s="837" t="n"/>
      <c r="J678" s="1345" t="n"/>
      <c r="K678" s="1345" t="n"/>
      <c r="L678" s="1345" t="n"/>
      <c r="M678" s="1345" t="n"/>
      <c r="N678" s="1345" t="n"/>
    </row>
    <row r="679">
      <c r="A679" s="834" t="n"/>
      <c r="B679" s="835" t="n"/>
      <c r="C679" s="836" t="n"/>
      <c r="D679" s="836" t="n"/>
      <c r="E679" s="836" t="n"/>
      <c r="F679" s="836" t="n"/>
      <c r="G679" s="837" t="n"/>
      <c r="H679" s="836" t="n"/>
      <c r="I679" s="837" t="n"/>
      <c r="J679" s="1345" t="n"/>
      <c r="K679" s="1345" t="n"/>
      <c r="L679" s="1345" t="n"/>
      <c r="M679" s="1345" t="n"/>
      <c r="N679" s="1345" t="n"/>
    </row>
    <row r="680">
      <c r="A680" s="834" t="n"/>
      <c r="B680" s="835" t="n"/>
      <c r="C680" s="836" t="n"/>
      <c r="D680" s="836" t="n"/>
      <c r="E680" s="836" t="n"/>
      <c r="F680" s="836" t="n"/>
      <c r="G680" s="837" t="n"/>
      <c r="H680" s="836" t="n"/>
      <c r="I680" s="837" t="n"/>
      <c r="J680" s="1345" t="n"/>
      <c r="K680" s="1345" t="n"/>
      <c r="L680" s="1345" t="n"/>
      <c r="M680" s="1345" t="n"/>
      <c r="N680" s="1345" t="n"/>
    </row>
    <row r="681">
      <c r="A681" s="834" t="n"/>
      <c r="B681" s="835" t="n"/>
      <c r="C681" s="836" t="n"/>
      <c r="D681" s="836" t="n"/>
      <c r="E681" s="836" t="n"/>
      <c r="F681" s="836" t="n"/>
      <c r="G681" s="837" t="n"/>
      <c r="H681" s="836" t="n"/>
      <c r="I681" s="837" t="n"/>
      <c r="J681" s="1345" t="n"/>
      <c r="K681" s="1345" t="n"/>
      <c r="L681" s="1345" t="n"/>
      <c r="M681" s="1345" t="n"/>
      <c r="N681" s="1345" t="n"/>
    </row>
    <row r="682">
      <c r="A682" s="834" t="n"/>
      <c r="B682" s="835" t="n"/>
      <c r="C682" s="836" t="n"/>
      <c r="D682" s="836" t="n"/>
      <c r="E682" s="836" t="n"/>
      <c r="F682" s="836" t="n"/>
      <c r="G682" s="837" t="n"/>
      <c r="H682" s="836" t="n"/>
      <c r="I682" s="837" t="n"/>
      <c r="J682" s="1345" t="n"/>
      <c r="K682" s="1345" t="n"/>
      <c r="L682" s="1345" t="n"/>
      <c r="M682" s="1345" t="n"/>
      <c r="N682" s="1345" t="n"/>
    </row>
    <row r="683">
      <c r="A683" s="834" t="n"/>
      <c r="B683" s="835" t="n"/>
      <c r="C683" s="836" t="n"/>
      <c r="D683" s="836" t="n"/>
      <c r="E683" s="836" t="n"/>
      <c r="F683" s="836" t="n"/>
      <c r="G683" s="837" t="n"/>
      <c r="H683" s="836" t="n"/>
      <c r="I683" s="837" t="n"/>
      <c r="J683" s="1345" t="n"/>
      <c r="K683" s="1345" t="n"/>
      <c r="L683" s="1345" t="n"/>
      <c r="M683" s="1345" t="n"/>
      <c r="N683" s="1345" t="n"/>
    </row>
    <row r="684">
      <c r="A684" s="834" t="n"/>
      <c r="B684" s="835" t="n"/>
      <c r="C684" s="836" t="n"/>
      <c r="D684" s="836" t="n"/>
      <c r="E684" s="836" t="n"/>
      <c r="F684" s="836" t="n"/>
      <c r="G684" s="837" t="n"/>
      <c r="H684" s="836" t="n"/>
      <c r="I684" s="837" t="n"/>
      <c r="J684" s="1345" t="n"/>
      <c r="K684" s="1345" t="n"/>
      <c r="L684" s="1345" t="n"/>
      <c r="M684" s="1345" t="n"/>
      <c r="N684" s="1345" t="n"/>
    </row>
    <row r="685">
      <c r="A685" s="834" t="n"/>
      <c r="B685" s="835" t="n"/>
      <c r="C685" s="836" t="n"/>
      <c r="D685" s="836" t="n"/>
      <c r="E685" s="836" t="n"/>
      <c r="F685" s="836" t="n"/>
      <c r="G685" s="837" t="n"/>
      <c r="H685" s="836" t="n"/>
      <c r="I685" s="837" t="n"/>
      <c r="J685" s="1345" t="n"/>
      <c r="K685" s="1345" t="n"/>
      <c r="L685" s="1345" t="n"/>
      <c r="M685" s="1345" t="n"/>
      <c r="N685" s="1345" t="n"/>
    </row>
    <row r="686">
      <c r="A686" s="834" t="n"/>
      <c r="B686" s="835" t="n"/>
      <c r="C686" s="836" t="n"/>
      <c r="D686" s="836" t="n"/>
      <c r="E686" s="836" t="n"/>
      <c r="F686" s="836" t="n"/>
      <c r="G686" s="837" t="n"/>
      <c r="H686" s="836" t="n"/>
      <c r="I686" s="837" t="n"/>
      <c r="J686" s="1345" t="n"/>
      <c r="K686" s="1345" t="n"/>
      <c r="L686" s="1345" t="n"/>
      <c r="M686" s="1345" t="n"/>
      <c r="N686" s="1345" t="n"/>
    </row>
    <row r="687">
      <c r="A687" s="834" t="n"/>
      <c r="B687" s="835" t="n"/>
      <c r="C687" s="836" t="n"/>
      <c r="D687" s="836" t="n"/>
      <c r="E687" s="836" t="n"/>
      <c r="F687" s="836" t="n"/>
      <c r="G687" s="837" t="n"/>
      <c r="H687" s="836" t="n"/>
      <c r="I687" s="837" t="n"/>
      <c r="J687" s="1345" t="n"/>
      <c r="K687" s="1345" t="n"/>
      <c r="L687" s="1345" t="n"/>
      <c r="M687" s="1345" t="n"/>
      <c r="N687" s="1345" t="n"/>
    </row>
    <row r="688">
      <c r="A688" s="834" t="n"/>
      <c r="B688" s="835" t="n"/>
      <c r="C688" s="836" t="n"/>
      <c r="D688" s="836" t="n"/>
      <c r="E688" s="836" t="n"/>
      <c r="F688" s="836" t="n"/>
      <c r="G688" s="837" t="n"/>
      <c r="H688" s="836" t="n"/>
      <c r="I688" s="837" t="n"/>
      <c r="J688" s="1345" t="n"/>
      <c r="K688" s="1345" t="n"/>
      <c r="L688" s="1345" t="n"/>
      <c r="M688" s="1345" t="n"/>
      <c r="N688" s="1345" t="n"/>
    </row>
    <row r="689">
      <c r="A689" s="834" t="n"/>
      <c r="B689" s="835" t="n"/>
      <c r="C689" s="836" t="n"/>
      <c r="D689" s="836" t="n"/>
      <c r="E689" s="836" t="n"/>
      <c r="F689" s="836" t="n"/>
      <c r="G689" s="837" t="n"/>
      <c r="H689" s="836" t="n"/>
      <c r="I689" s="837" t="n"/>
      <c r="J689" s="1345" t="n"/>
      <c r="K689" s="1345" t="n"/>
      <c r="L689" s="1345" t="n"/>
      <c r="M689" s="1345" t="n"/>
      <c r="N689" s="1345" t="n"/>
    </row>
    <row r="690">
      <c r="A690" s="834" t="n"/>
      <c r="B690" s="835" t="n"/>
      <c r="C690" s="836" t="n"/>
      <c r="D690" s="836" t="n"/>
      <c r="E690" s="836" t="n"/>
      <c r="F690" s="836" t="n"/>
      <c r="G690" s="837" t="n"/>
      <c r="H690" s="836" t="n"/>
      <c r="I690" s="837" t="n"/>
      <c r="J690" s="1345" t="n"/>
      <c r="K690" s="1345" t="n"/>
      <c r="L690" s="1345" t="n"/>
      <c r="M690" s="1345" t="n"/>
      <c r="N690" s="1345" t="n"/>
    </row>
    <row r="691">
      <c r="A691" s="834" t="n"/>
      <c r="B691" s="835" t="n"/>
      <c r="C691" s="836" t="n"/>
      <c r="D691" s="836" t="n"/>
      <c r="E691" s="836" t="n"/>
      <c r="F691" s="836" t="n"/>
      <c r="G691" s="837" t="n"/>
      <c r="H691" s="836" t="n"/>
      <c r="I691" s="837" t="n"/>
      <c r="J691" s="1345" t="n"/>
      <c r="K691" s="1345" t="n"/>
      <c r="L691" s="1345" t="n"/>
      <c r="M691" s="1345" t="n"/>
      <c r="N691" s="1345" t="n"/>
    </row>
    <row r="692">
      <c r="A692" s="834" t="n"/>
      <c r="B692" s="835" t="n"/>
      <c r="C692" s="836" t="n"/>
      <c r="D692" s="836" t="n"/>
      <c r="E692" s="836" t="n"/>
      <c r="F692" s="836" t="n"/>
      <c r="G692" s="837" t="n"/>
      <c r="H692" s="836" t="n"/>
      <c r="I692" s="837" t="n"/>
      <c r="J692" s="1345" t="n"/>
      <c r="K692" s="1345" t="n"/>
      <c r="L692" s="1345" t="n"/>
      <c r="M692" s="1345" t="n"/>
      <c r="N692" s="1345" t="n"/>
    </row>
    <row r="693">
      <c r="A693" s="834" t="n"/>
      <c r="B693" s="835" t="n"/>
      <c r="C693" s="836" t="n"/>
      <c r="D693" s="836" t="n"/>
      <c r="E693" s="836" t="n"/>
      <c r="F693" s="836" t="n"/>
      <c r="G693" s="837" t="n"/>
      <c r="H693" s="836" t="n"/>
      <c r="I693" s="837" t="n"/>
      <c r="J693" s="1345" t="n"/>
      <c r="K693" s="1345" t="n"/>
      <c r="L693" s="1345" t="n"/>
      <c r="M693" s="1345" t="n"/>
      <c r="N693" s="1345" t="n"/>
    </row>
    <row r="694">
      <c r="A694" s="834" t="n"/>
      <c r="B694" s="835" t="n"/>
      <c r="C694" s="836" t="n"/>
      <c r="D694" s="836" t="n"/>
      <c r="E694" s="836" t="n"/>
      <c r="F694" s="836" t="n"/>
      <c r="G694" s="837" t="n"/>
      <c r="H694" s="836" t="n"/>
      <c r="I694" s="837" t="n"/>
      <c r="J694" s="1345" t="n"/>
      <c r="K694" s="1345" t="n"/>
      <c r="L694" s="1345" t="n"/>
      <c r="M694" s="1345" t="n"/>
      <c r="N694" s="1345" t="n"/>
    </row>
    <row r="695">
      <c r="A695" s="834" t="n"/>
      <c r="B695" s="835" t="n"/>
      <c r="C695" s="836" t="n"/>
      <c r="D695" s="836" t="n"/>
      <c r="E695" s="836" t="n"/>
      <c r="F695" s="836" t="n"/>
      <c r="G695" s="837" t="n"/>
      <c r="H695" s="836" t="n"/>
      <c r="I695" s="837" t="n"/>
      <c r="J695" s="1345" t="n"/>
      <c r="K695" s="1345" t="n"/>
      <c r="L695" s="1345" t="n"/>
      <c r="M695" s="1345" t="n"/>
      <c r="N695" s="1345" t="n"/>
    </row>
    <row r="696">
      <c r="A696" s="834" t="n"/>
      <c r="B696" s="835" t="n"/>
      <c r="C696" s="836" t="n"/>
      <c r="D696" s="836" t="n"/>
      <c r="E696" s="836" t="n"/>
      <c r="F696" s="836" t="n"/>
      <c r="G696" s="837" t="n"/>
      <c r="H696" s="836" t="n"/>
      <c r="I696" s="837" t="n"/>
      <c r="J696" s="1345" t="n"/>
      <c r="K696" s="1345" t="n"/>
      <c r="L696" s="1345" t="n"/>
      <c r="M696" s="1345" t="n"/>
      <c r="N696" s="1345" t="n"/>
    </row>
    <row r="697">
      <c r="A697" s="834" t="n"/>
      <c r="B697" s="835" t="n"/>
      <c r="C697" s="836" t="n"/>
      <c r="D697" s="836" t="n"/>
      <c r="E697" s="836" t="n"/>
      <c r="F697" s="836" t="n"/>
      <c r="G697" s="837" t="n"/>
      <c r="H697" s="836" t="n"/>
      <c r="I697" s="837" t="n"/>
      <c r="J697" s="1345" t="n"/>
      <c r="K697" s="1345" t="n"/>
      <c r="L697" s="1345" t="n"/>
      <c r="M697" s="1345" t="n"/>
      <c r="N697" s="1345" t="n"/>
    </row>
    <row r="698">
      <c r="A698" s="834" t="n"/>
      <c r="B698" s="835" t="n"/>
      <c r="C698" s="836" t="n"/>
      <c r="D698" s="836" t="n"/>
      <c r="E698" s="836" t="n"/>
      <c r="F698" s="836" t="n"/>
      <c r="G698" s="837" t="n"/>
      <c r="H698" s="836" t="n"/>
      <c r="I698" s="837" t="n"/>
      <c r="J698" s="1345" t="n"/>
      <c r="K698" s="1345" t="n"/>
      <c r="L698" s="1345" t="n"/>
      <c r="M698" s="1345" t="n"/>
      <c r="N698" s="1345" t="n"/>
    </row>
    <row r="699">
      <c r="A699" s="834" t="n"/>
      <c r="B699" s="835" t="n"/>
      <c r="C699" s="836" t="n"/>
      <c r="D699" s="836" t="n"/>
      <c r="E699" s="836" t="n"/>
      <c r="F699" s="836" t="n"/>
      <c r="G699" s="837" t="n"/>
      <c r="H699" s="836" t="n"/>
      <c r="I699" s="837" t="n"/>
      <c r="J699" s="1345" t="n"/>
      <c r="K699" s="1345" t="n"/>
      <c r="L699" s="1345" t="n"/>
      <c r="M699" s="1345" t="n"/>
      <c r="N699" s="1345" t="n"/>
    </row>
    <row r="700">
      <c r="A700" s="834" t="n"/>
      <c r="B700" s="835" t="n"/>
      <c r="C700" s="836" t="n"/>
      <c r="D700" s="836" t="n"/>
      <c r="E700" s="836" t="n"/>
      <c r="F700" s="836" t="n"/>
      <c r="G700" s="837" t="n"/>
      <c r="H700" s="836" t="n"/>
      <c r="I700" s="837" t="n"/>
      <c r="J700" s="1345" t="n"/>
      <c r="K700" s="1345" t="n"/>
      <c r="L700" s="1345" t="n"/>
      <c r="M700" s="1345" t="n"/>
      <c r="N700" s="1345" t="n"/>
    </row>
    <row r="701">
      <c r="A701" s="834" t="n"/>
      <c r="B701" s="835" t="n"/>
      <c r="C701" s="836" t="n"/>
      <c r="D701" s="836" t="n"/>
      <c r="E701" s="836" t="n"/>
      <c r="F701" s="836" t="n"/>
      <c r="G701" s="837" t="n"/>
      <c r="H701" s="836" t="n"/>
      <c r="I701" s="837" t="n"/>
      <c r="J701" s="1345" t="n"/>
      <c r="K701" s="1345" t="n"/>
      <c r="L701" s="1345" t="n"/>
      <c r="M701" s="1345" t="n"/>
      <c r="N701" s="1345" t="n"/>
    </row>
    <row r="702">
      <c r="A702" s="834" t="n"/>
      <c r="B702" s="835" t="n"/>
      <c r="C702" s="836" t="n"/>
      <c r="D702" s="836" t="n"/>
      <c r="E702" s="836" t="n"/>
      <c r="F702" s="836" t="n"/>
      <c r="G702" s="837" t="n"/>
      <c r="H702" s="836" t="n"/>
      <c r="I702" s="837" t="n"/>
      <c r="J702" s="1345" t="n"/>
      <c r="K702" s="1345" t="n"/>
      <c r="L702" s="1345" t="n"/>
      <c r="M702" s="1345" t="n"/>
      <c r="N702" s="1345" t="n"/>
    </row>
    <row r="703">
      <c r="A703" s="834" t="n"/>
      <c r="B703" s="835" t="n"/>
      <c r="C703" s="836" t="n"/>
      <c r="D703" s="836" t="n"/>
      <c r="E703" s="836" t="n"/>
      <c r="F703" s="836" t="n"/>
      <c r="G703" s="837" t="n"/>
      <c r="H703" s="836" t="n"/>
      <c r="I703" s="837" t="n"/>
      <c r="J703" s="1345" t="n"/>
      <c r="K703" s="1345" t="n"/>
      <c r="L703" s="1345" t="n"/>
      <c r="M703" s="1345" t="n"/>
      <c r="N703" s="1345" t="n"/>
    </row>
    <row r="704">
      <c r="A704" s="834" t="n"/>
      <c r="B704" s="835" t="n"/>
      <c r="C704" s="836" t="n"/>
      <c r="D704" s="836" t="n"/>
      <c r="E704" s="836" t="n"/>
      <c r="F704" s="836" t="n"/>
      <c r="G704" s="837" t="n"/>
      <c r="H704" s="836" t="n"/>
      <c r="I704" s="837" t="n"/>
      <c r="J704" s="1345" t="n"/>
      <c r="K704" s="1345" t="n"/>
      <c r="L704" s="1345" t="n"/>
      <c r="M704" s="1345" t="n"/>
      <c r="N704" s="1345" t="n"/>
    </row>
    <row r="705">
      <c r="A705" s="834" t="n"/>
      <c r="B705" s="835" t="n"/>
      <c r="C705" s="836" t="n"/>
      <c r="D705" s="836" t="n"/>
      <c r="E705" s="836" t="n"/>
      <c r="F705" s="836" t="n"/>
      <c r="G705" s="837" t="n"/>
      <c r="H705" s="836" t="n"/>
      <c r="I705" s="837" t="n"/>
      <c r="J705" s="1345" t="n"/>
      <c r="K705" s="1345" t="n"/>
      <c r="L705" s="1345" t="n"/>
      <c r="M705" s="1345" t="n"/>
      <c r="N705" s="1345" t="n"/>
    </row>
    <row r="706">
      <c r="A706" s="834" t="n"/>
      <c r="B706" s="835" t="n"/>
      <c r="C706" s="836" t="n"/>
      <c r="D706" s="836" t="n"/>
      <c r="E706" s="836" t="n"/>
      <c r="F706" s="836" t="n"/>
      <c r="G706" s="837" t="n"/>
      <c r="H706" s="836" t="n"/>
      <c r="I706" s="837" t="n"/>
      <c r="J706" s="1345" t="n"/>
      <c r="K706" s="1345" t="n"/>
      <c r="L706" s="1345" t="n"/>
      <c r="M706" s="1345" t="n"/>
      <c r="N706" s="1345" t="n"/>
    </row>
    <row r="707">
      <c r="A707" s="834" t="n"/>
      <c r="B707" s="835" t="n"/>
      <c r="C707" s="836" t="n"/>
      <c r="D707" s="836" t="n"/>
      <c r="E707" s="836" t="n"/>
      <c r="F707" s="836" t="n"/>
      <c r="G707" s="837" t="n"/>
      <c r="H707" s="836" t="n"/>
      <c r="I707" s="837" t="n"/>
      <c r="J707" s="1345" t="n"/>
      <c r="K707" s="1345" t="n"/>
      <c r="L707" s="1345" t="n"/>
      <c r="M707" s="1345" t="n"/>
      <c r="N707" s="1345" t="n"/>
    </row>
    <row r="708">
      <c r="A708" s="834" t="n"/>
      <c r="B708" s="835" t="n"/>
      <c r="C708" s="836" t="n"/>
      <c r="D708" s="836" t="n"/>
      <c r="E708" s="836" t="n"/>
      <c r="F708" s="836" t="n"/>
      <c r="G708" s="837" t="n"/>
      <c r="H708" s="836" t="n"/>
      <c r="I708" s="837" t="n"/>
      <c r="J708" s="1345" t="n"/>
      <c r="K708" s="1345" t="n"/>
      <c r="L708" s="1345" t="n"/>
      <c r="M708" s="1345" t="n"/>
      <c r="N708" s="1345" t="n"/>
    </row>
    <row r="709">
      <c r="A709" s="834" t="n"/>
      <c r="B709" s="835" t="n"/>
      <c r="C709" s="836" t="n"/>
      <c r="D709" s="836" t="n"/>
      <c r="E709" s="836" t="n"/>
      <c r="F709" s="836" t="n"/>
      <c r="G709" s="837" t="n"/>
      <c r="H709" s="836" t="n"/>
      <c r="I709" s="837" t="n"/>
      <c r="J709" s="1345" t="n"/>
      <c r="K709" s="1345" t="n"/>
      <c r="L709" s="1345" t="n"/>
      <c r="M709" s="1345" t="n"/>
      <c r="N709" s="1345" t="n"/>
    </row>
    <row r="710">
      <c r="A710" s="834" t="n"/>
      <c r="B710" s="835" t="n"/>
      <c r="C710" s="836" t="n"/>
      <c r="D710" s="836" t="n"/>
      <c r="E710" s="836" t="n"/>
      <c r="F710" s="836" t="n"/>
      <c r="G710" s="837" t="n"/>
      <c r="H710" s="836" t="n"/>
      <c r="I710" s="837" t="n"/>
      <c r="J710" s="1345" t="n"/>
      <c r="K710" s="1345" t="n"/>
      <c r="L710" s="1345" t="n"/>
      <c r="M710" s="1345" t="n"/>
      <c r="N710" s="1345" t="n"/>
    </row>
    <row r="711">
      <c r="A711" s="834" t="n"/>
      <c r="B711" s="835" t="n"/>
      <c r="C711" s="836" t="n"/>
      <c r="D711" s="836" t="n"/>
      <c r="E711" s="836" t="n"/>
      <c r="F711" s="836" t="n"/>
      <c r="G711" s="837" t="n"/>
      <c r="H711" s="836" t="n"/>
      <c r="I711" s="837" t="n"/>
      <c r="J711" s="1345" t="n"/>
      <c r="K711" s="1345" t="n"/>
      <c r="L711" s="1345" t="n"/>
      <c r="M711" s="1345" t="n"/>
      <c r="N711" s="1345" t="n"/>
    </row>
    <row r="712">
      <c r="A712" s="834" t="n"/>
      <c r="B712" s="835" t="n"/>
      <c r="C712" s="836" t="n"/>
      <c r="D712" s="836" t="n"/>
      <c r="E712" s="836" t="n"/>
      <c r="F712" s="836" t="n"/>
      <c r="G712" s="837" t="n"/>
      <c r="H712" s="836" t="n"/>
      <c r="I712" s="837" t="n"/>
      <c r="J712" s="1345" t="n"/>
      <c r="K712" s="1345" t="n"/>
      <c r="L712" s="1345" t="n"/>
      <c r="M712" s="1345" t="n"/>
      <c r="N712" s="1345" t="n"/>
    </row>
    <row r="713">
      <c r="A713" s="834" t="n"/>
      <c r="B713" s="835" t="n"/>
      <c r="C713" s="836" t="n"/>
      <c r="D713" s="836" t="n"/>
      <c r="E713" s="836" t="n"/>
      <c r="F713" s="836" t="n"/>
      <c r="G713" s="837" t="n"/>
      <c r="H713" s="836" t="n"/>
      <c r="I713" s="837" t="n"/>
      <c r="J713" s="1345" t="n"/>
      <c r="K713" s="1345" t="n"/>
      <c r="L713" s="1345" t="n"/>
      <c r="M713" s="1345" t="n"/>
      <c r="N713" s="1345" t="n"/>
    </row>
    <row r="714">
      <c r="A714" s="834" t="n"/>
      <c r="B714" s="835" t="n"/>
      <c r="C714" s="836" t="n"/>
      <c r="D714" s="836" t="n"/>
      <c r="E714" s="836" t="n"/>
      <c r="F714" s="836" t="n"/>
      <c r="G714" s="837" t="n"/>
      <c r="H714" s="836" t="n"/>
      <c r="I714" s="837" t="n"/>
      <c r="J714" s="1345" t="n"/>
      <c r="K714" s="1345" t="n"/>
      <c r="L714" s="1345" t="n"/>
      <c r="M714" s="1345" t="n"/>
      <c r="N714" s="1345" t="n"/>
    </row>
    <row r="715">
      <c r="A715" s="834" t="n"/>
      <c r="B715" s="835" t="n"/>
      <c r="C715" s="836" t="n"/>
      <c r="D715" s="836" t="n"/>
      <c r="E715" s="836" t="n"/>
      <c r="F715" s="836" t="n"/>
      <c r="G715" s="837" t="n"/>
      <c r="H715" s="836" t="n"/>
      <c r="I715" s="837" t="n"/>
      <c r="J715" s="1345" t="n"/>
      <c r="K715" s="1345" t="n"/>
      <c r="L715" s="1345" t="n"/>
      <c r="M715" s="1345" t="n"/>
      <c r="N715" s="1345" t="n"/>
    </row>
    <row r="716">
      <c r="A716" s="834" t="n"/>
      <c r="B716" s="835" t="n"/>
      <c r="C716" s="836" t="n"/>
      <c r="D716" s="836" t="n"/>
      <c r="E716" s="836" t="n"/>
      <c r="F716" s="836" t="n"/>
      <c r="G716" s="837" t="n"/>
      <c r="H716" s="836" t="n"/>
      <c r="I716" s="837" t="n"/>
      <c r="J716" s="1345" t="n"/>
      <c r="K716" s="1345" t="n"/>
      <c r="L716" s="1345" t="n"/>
      <c r="M716" s="1345" t="n"/>
      <c r="N716" s="1345" t="n"/>
    </row>
    <row r="717">
      <c r="A717" s="834" t="n"/>
      <c r="B717" s="835" t="n"/>
      <c r="C717" s="836" t="n"/>
      <c r="D717" s="836" t="n"/>
      <c r="E717" s="836" t="n"/>
      <c r="F717" s="836" t="n"/>
      <c r="G717" s="837" t="n"/>
      <c r="H717" s="836" t="n"/>
      <c r="I717" s="837" t="n"/>
      <c r="J717" s="1345" t="n"/>
      <c r="K717" s="1345" t="n"/>
      <c r="L717" s="1345" t="n"/>
      <c r="M717" s="1345" t="n"/>
      <c r="N717" s="1345" t="n"/>
    </row>
    <row r="718">
      <c r="A718" s="834" t="n"/>
      <c r="B718" s="835" t="n"/>
      <c r="C718" s="836" t="n"/>
      <c r="D718" s="836" t="n"/>
      <c r="E718" s="836" t="n"/>
      <c r="F718" s="836" t="n"/>
      <c r="G718" s="837" t="n"/>
      <c r="H718" s="836" t="n"/>
      <c r="I718" s="837" t="n"/>
      <c r="J718" s="1345" t="n"/>
      <c r="K718" s="1345" t="n"/>
      <c r="L718" s="1345" t="n"/>
      <c r="M718" s="1345" t="n"/>
      <c r="N718" s="1345" t="n"/>
    </row>
    <row r="719">
      <c r="A719" s="834" t="n"/>
      <c r="B719" s="835" t="n"/>
      <c r="C719" s="836" t="n"/>
      <c r="D719" s="836" t="n"/>
      <c r="E719" s="836" t="n"/>
      <c r="F719" s="836" t="n"/>
      <c r="G719" s="837" t="n"/>
      <c r="H719" s="836" t="n"/>
      <c r="I719" s="837" t="n"/>
      <c r="J719" s="1345" t="n"/>
      <c r="K719" s="1345" t="n"/>
      <c r="L719" s="1345" t="n"/>
      <c r="M719" s="1345" t="n"/>
      <c r="N719" s="1345" t="n"/>
    </row>
    <row r="720">
      <c r="A720" s="834" t="n"/>
      <c r="B720" s="835" t="n"/>
      <c r="C720" s="836" t="n"/>
      <c r="D720" s="836" t="n"/>
      <c r="E720" s="836" t="n"/>
      <c r="F720" s="836" t="n"/>
      <c r="G720" s="837" t="n"/>
      <c r="H720" s="836" t="n"/>
      <c r="I720" s="837" t="n"/>
      <c r="J720" s="1345" t="n"/>
      <c r="K720" s="1345" t="n"/>
      <c r="L720" s="1345" t="n"/>
      <c r="M720" s="1345" t="n"/>
      <c r="N720" s="1345" t="n"/>
    </row>
    <row r="721">
      <c r="A721" s="834" t="n"/>
      <c r="B721" s="835" t="n"/>
      <c r="C721" s="836" t="n"/>
      <c r="D721" s="836" t="n"/>
      <c r="E721" s="836" t="n"/>
      <c r="F721" s="836" t="n"/>
      <c r="G721" s="837" t="n"/>
      <c r="H721" s="836" t="n"/>
      <c r="I721" s="837" t="n"/>
      <c r="J721" s="1345" t="n"/>
      <c r="K721" s="1345" t="n"/>
      <c r="L721" s="1345" t="n"/>
      <c r="M721" s="1345" t="n"/>
      <c r="N721" s="1345" t="n"/>
    </row>
    <row r="722">
      <c r="A722" s="834" t="n"/>
      <c r="B722" s="835" t="n"/>
      <c r="C722" s="836" t="n"/>
      <c r="D722" s="836" t="n"/>
      <c r="E722" s="836" t="n"/>
      <c r="F722" s="836" t="n"/>
      <c r="G722" s="837" t="n"/>
      <c r="H722" s="836" t="n"/>
      <c r="I722" s="837" t="n"/>
      <c r="J722" s="1345" t="n"/>
      <c r="K722" s="1345" t="n"/>
      <c r="L722" s="1345" t="n"/>
      <c r="M722" s="1345" t="n"/>
      <c r="N722" s="1345" t="n"/>
    </row>
    <row r="723">
      <c r="A723" s="834" t="n"/>
      <c r="B723" s="835" t="n"/>
      <c r="C723" s="836" t="n"/>
      <c r="D723" s="836" t="n"/>
      <c r="E723" s="836" t="n"/>
      <c r="F723" s="836" t="n"/>
      <c r="G723" s="837" t="n"/>
      <c r="H723" s="836" t="n"/>
      <c r="I723" s="837" t="n"/>
      <c r="J723" s="1345" t="n"/>
      <c r="K723" s="1345" t="n"/>
      <c r="L723" s="1345" t="n"/>
      <c r="M723" s="1345" t="n"/>
      <c r="N723" s="1345" t="n"/>
    </row>
    <row r="724">
      <c r="A724" s="834" t="n"/>
      <c r="B724" s="835" t="n"/>
      <c r="C724" s="836" t="n"/>
      <c r="D724" s="836" t="n"/>
      <c r="E724" s="836" t="n"/>
      <c r="F724" s="836" t="n"/>
      <c r="G724" s="837" t="n"/>
      <c r="H724" s="836" t="n"/>
      <c r="I724" s="837" t="n"/>
      <c r="J724" s="1345" t="n"/>
      <c r="K724" s="1345" t="n"/>
      <c r="L724" s="1345" t="n"/>
      <c r="M724" s="1345" t="n"/>
      <c r="N724" s="1345" t="n"/>
    </row>
    <row r="725">
      <c r="A725" s="834" t="n"/>
      <c r="B725" s="835" t="n"/>
      <c r="C725" s="836" t="n"/>
      <c r="D725" s="836" t="n"/>
      <c r="E725" s="836" t="n"/>
      <c r="F725" s="836" t="n"/>
      <c r="G725" s="837" t="n"/>
      <c r="H725" s="836" t="n"/>
      <c r="I725" s="837" t="n"/>
      <c r="J725" s="1345" t="n"/>
      <c r="K725" s="1345" t="n"/>
      <c r="L725" s="1345" t="n"/>
      <c r="M725" s="1345" t="n"/>
      <c r="N725" s="1345" t="n"/>
    </row>
    <row r="726">
      <c r="A726" s="834" t="n"/>
      <c r="B726" s="835" t="n"/>
      <c r="C726" s="836" t="n"/>
      <c r="D726" s="836" t="n"/>
      <c r="E726" s="836" t="n"/>
      <c r="F726" s="836" t="n"/>
      <c r="G726" s="837" t="n"/>
      <c r="H726" s="836" t="n"/>
      <c r="I726" s="837" t="n"/>
      <c r="J726" s="1345" t="n"/>
      <c r="K726" s="1345" t="n"/>
      <c r="L726" s="1345" t="n"/>
      <c r="M726" s="1345" t="n"/>
      <c r="N726" s="1345" t="n"/>
    </row>
    <row r="727">
      <c r="A727" s="834" t="n"/>
      <c r="B727" s="835" t="n"/>
      <c r="C727" s="836" t="n"/>
      <c r="D727" s="836" t="n"/>
      <c r="E727" s="836" t="n"/>
      <c r="F727" s="836" t="n"/>
      <c r="G727" s="837" t="n"/>
      <c r="H727" s="836" t="n"/>
      <c r="I727" s="837" t="n"/>
      <c r="J727" s="1345" t="n"/>
      <c r="K727" s="1345" t="n"/>
      <c r="L727" s="1345" t="n"/>
      <c r="M727" s="1345" t="n"/>
      <c r="N727" s="1345" t="n"/>
    </row>
    <row r="728">
      <c r="A728" s="834" t="n"/>
      <c r="B728" s="835" t="n"/>
      <c r="C728" s="836" t="n"/>
      <c r="D728" s="836" t="n"/>
      <c r="E728" s="836" t="n"/>
      <c r="F728" s="836" t="n"/>
      <c r="G728" s="837" t="n"/>
      <c r="H728" s="836" t="n"/>
      <c r="I728" s="837" t="n"/>
      <c r="J728" s="1345" t="n"/>
      <c r="K728" s="1345" t="n"/>
      <c r="L728" s="1345" t="n"/>
      <c r="M728" s="1345" t="n"/>
      <c r="N728" s="1345" t="n"/>
    </row>
    <row r="729">
      <c r="A729" s="834" t="n"/>
      <c r="B729" s="835" t="n"/>
      <c r="C729" s="836" t="n"/>
      <c r="D729" s="836" t="n"/>
      <c r="E729" s="836" t="n"/>
      <c r="F729" s="836" t="n"/>
      <c r="G729" s="837" t="n"/>
      <c r="H729" s="836" t="n"/>
      <c r="I729" s="837" t="n"/>
      <c r="J729" s="1345" t="n"/>
      <c r="K729" s="1345" t="n"/>
      <c r="L729" s="1345" t="n"/>
      <c r="M729" s="1345" t="n"/>
      <c r="N729" s="1345" t="n"/>
    </row>
    <row r="730">
      <c r="A730" s="834" t="n"/>
      <c r="B730" s="835" t="n"/>
      <c r="C730" s="836" t="n"/>
      <c r="D730" s="836" t="n"/>
      <c r="E730" s="836" t="n"/>
      <c r="F730" s="836" t="n"/>
      <c r="G730" s="837" t="n"/>
      <c r="H730" s="836" t="n"/>
      <c r="I730" s="837" t="n"/>
      <c r="J730" s="1345" t="n"/>
      <c r="K730" s="1345" t="n"/>
      <c r="L730" s="1345" t="n"/>
      <c r="M730" s="1345" t="n"/>
      <c r="N730" s="1345" t="n"/>
    </row>
    <row r="731">
      <c r="A731" s="834" t="n"/>
      <c r="B731" s="835" t="n"/>
      <c r="C731" s="836" t="n"/>
      <c r="D731" s="836" t="n"/>
      <c r="E731" s="836" t="n"/>
      <c r="F731" s="836" t="n"/>
      <c r="G731" s="837" t="n"/>
      <c r="H731" s="836" t="n"/>
      <c r="I731" s="837" t="n"/>
      <c r="J731" s="1345" t="n"/>
      <c r="K731" s="1345" t="n"/>
      <c r="L731" s="1345" t="n"/>
      <c r="M731" s="1345" t="n"/>
      <c r="N731" s="1345" t="n"/>
    </row>
    <row r="732">
      <c r="A732" s="834" t="n"/>
      <c r="B732" s="835" t="n"/>
      <c r="C732" s="836" t="n"/>
      <c r="D732" s="836" t="n"/>
      <c r="E732" s="836" t="n"/>
      <c r="F732" s="836" t="n"/>
      <c r="G732" s="837" t="n"/>
      <c r="H732" s="836" t="n"/>
      <c r="I732" s="837" t="n"/>
      <c r="J732" s="1345" t="n"/>
      <c r="K732" s="1345" t="n"/>
      <c r="L732" s="1345" t="n"/>
      <c r="M732" s="1345" t="n"/>
      <c r="N732" s="1345" t="n"/>
    </row>
    <row r="733">
      <c r="A733" s="834" t="n"/>
      <c r="B733" s="835" t="n"/>
      <c r="C733" s="836" t="n"/>
      <c r="D733" s="836" t="n"/>
      <c r="E733" s="836" t="n"/>
      <c r="F733" s="836" t="n"/>
      <c r="G733" s="837" t="n"/>
      <c r="H733" s="836" t="n"/>
      <c r="I733" s="837" t="n"/>
      <c r="J733" s="1345" t="n"/>
      <c r="K733" s="1345" t="n"/>
      <c r="L733" s="1345" t="n"/>
      <c r="M733" s="1345" t="n"/>
      <c r="N733" s="1345" t="n"/>
    </row>
    <row r="734">
      <c r="A734" s="834" t="n"/>
      <c r="B734" s="835" t="n"/>
      <c r="C734" s="836" t="n"/>
      <c r="D734" s="836" t="n"/>
      <c r="E734" s="836" t="n"/>
      <c r="F734" s="836" t="n"/>
      <c r="G734" s="837" t="n"/>
      <c r="H734" s="836" t="n"/>
      <c r="I734" s="837" t="n"/>
      <c r="J734" s="1345" t="n"/>
      <c r="K734" s="1345" t="n"/>
      <c r="L734" s="1345" t="n"/>
      <c r="M734" s="1345" t="n"/>
      <c r="N734" s="1345" t="n"/>
    </row>
    <row r="735">
      <c r="A735" s="834" t="n"/>
      <c r="B735" s="835" t="n"/>
      <c r="C735" s="836" t="n"/>
      <c r="D735" s="836" t="n"/>
      <c r="E735" s="836" t="n"/>
      <c r="F735" s="836" t="n"/>
      <c r="G735" s="837" t="n"/>
      <c r="H735" s="836" t="n"/>
      <c r="I735" s="837" t="n"/>
      <c r="J735" s="1345" t="n"/>
      <c r="K735" s="1345" t="n"/>
      <c r="L735" s="1345" t="n"/>
      <c r="M735" s="1345" t="n"/>
      <c r="N735" s="1345" t="n"/>
    </row>
    <row r="736">
      <c r="A736" s="834" t="n"/>
      <c r="B736" s="835" t="n"/>
      <c r="C736" s="836" t="n"/>
      <c r="D736" s="836" t="n"/>
      <c r="E736" s="836" t="n"/>
      <c r="F736" s="836" t="n"/>
      <c r="G736" s="837" t="n"/>
      <c r="H736" s="836" t="n"/>
      <c r="I736" s="837" t="n"/>
      <c r="J736" s="1345" t="n"/>
      <c r="K736" s="1345" t="n"/>
      <c r="L736" s="1345" t="n"/>
      <c r="M736" s="1345" t="n"/>
      <c r="N736" s="1345" t="n"/>
    </row>
    <row r="737">
      <c r="A737" s="834" t="n"/>
      <c r="B737" s="835" t="n"/>
      <c r="C737" s="836" t="n"/>
      <c r="D737" s="836" t="n"/>
      <c r="E737" s="836" t="n"/>
      <c r="F737" s="836" t="n"/>
      <c r="G737" s="837" t="n"/>
      <c r="H737" s="836" t="n"/>
      <c r="I737" s="837" t="n"/>
      <c r="J737" s="1345" t="n"/>
      <c r="K737" s="1345" t="n"/>
      <c r="L737" s="1345" t="n"/>
      <c r="M737" s="1345" t="n"/>
      <c r="N737" s="1345" t="n"/>
    </row>
    <row r="738">
      <c r="A738" s="834" t="n"/>
      <c r="B738" s="835" t="n"/>
      <c r="C738" s="836" t="n"/>
      <c r="D738" s="836" t="n"/>
      <c r="E738" s="836" t="n"/>
      <c r="F738" s="836" t="n"/>
      <c r="G738" s="837" t="n"/>
      <c r="H738" s="836" t="n"/>
      <c r="I738" s="837" t="n"/>
      <c r="J738" s="1345" t="n"/>
      <c r="K738" s="1345" t="n"/>
      <c r="L738" s="1345" t="n"/>
      <c r="M738" s="1345" t="n"/>
      <c r="N738" s="1345" t="n"/>
    </row>
    <row r="739">
      <c r="A739" s="834" t="n"/>
      <c r="B739" s="835" t="n"/>
      <c r="C739" s="836" t="n"/>
      <c r="D739" s="836" t="n"/>
      <c r="E739" s="836" t="n"/>
      <c r="F739" s="836" t="n"/>
      <c r="G739" s="837" t="n"/>
      <c r="H739" s="836" t="n"/>
      <c r="I739" s="837" t="n"/>
      <c r="J739" s="1345" t="n"/>
      <c r="K739" s="1345" t="n"/>
      <c r="L739" s="1345" t="n"/>
      <c r="M739" s="1345" t="n"/>
      <c r="N739" s="1345" t="n"/>
    </row>
    <row r="740">
      <c r="A740" s="834" t="n"/>
      <c r="B740" s="835" t="n"/>
      <c r="C740" s="836" t="n"/>
      <c r="D740" s="836" t="n"/>
      <c r="E740" s="836" t="n"/>
      <c r="F740" s="836" t="n"/>
      <c r="G740" s="837" t="n"/>
      <c r="H740" s="836" t="n"/>
      <c r="I740" s="837" t="n"/>
      <c r="J740" s="1345" t="n"/>
      <c r="K740" s="1345" t="n"/>
      <c r="L740" s="1345" t="n"/>
      <c r="M740" s="1345" t="n"/>
      <c r="N740" s="1345" t="n"/>
    </row>
    <row r="741">
      <c r="A741" s="834" t="n"/>
      <c r="B741" s="835" t="n"/>
      <c r="C741" s="836" t="n"/>
      <c r="D741" s="836" t="n"/>
      <c r="E741" s="836" t="n"/>
      <c r="F741" s="836" t="n"/>
      <c r="G741" s="837" t="n"/>
      <c r="H741" s="836" t="n"/>
      <c r="I741" s="837" t="n"/>
      <c r="J741" s="1345" t="n"/>
      <c r="K741" s="1345" t="n"/>
      <c r="L741" s="1345" t="n"/>
      <c r="M741" s="1345" t="n"/>
      <c r="N741" s="1345" t="n"/>
    </row>
    <row r="742">
      <c r="A742" s="834" t="n"/>
      <c r="B742" s="835" t="n"/>
      <c r="C742" s="836" t="n"/>
      <c r="D742" s="836" t="n"/>
      <c r="E742" s="836" t="n"/>
      <c r="F742" s="836" t="n"/>
      <c r="G742" s="837" t="n"/>
      <c r="H742" s="836" t="n"/>
      <c r="I742" s="837" t="n"/>
      <c r="J742" s="1345" t="n"/>
      <c r="K742" s="1345" t="n"/>
      <c r="L742" s="1345" t="n"/>
      <c r="M742" s="1345" t="n"/>
      <c r="N742" s="1345" t="n"/>
    </row>
    <row r="743">
      <c r="A743" s="834" t="n"/>
      <c r="B743" s="835" t="n"/>
      <c r="C743" s="836" t="n"/>
      <c r="D743" s="836" t="n"/>
      <c r="E743" s="836" t="n"/>
      <c r="F743" s="836" t="n"/>
      <c r="G743" s="837" t="n"/>
      <c r="H743" s="836" t="n"/>
      <c r="I743" s="837" t="n"/>
      <c r="J743" s="1345" t="n"/>
      <c r="K743" s="1345" t="n"/>
      <c r="L743" s="1345" t="n"/>
      <c r="M743" s="1345" t="n"/>
      <c r="N743" s="1345" t="n"/>
    </row>
    <row r="744">
      <c r="A744" s="834" t="n"/>
      <c r="B744" s="835" t="n"/>
      <c r="C744" s="836" t="n"/>
      <c r="D744" s="836" t="n"/>
      <c r="E744" s="836" t="n"/>
      <c r="F744" s="836" t="n"/>
      <c r="G744" s="837" t="n"/>
      <c r="H744" s="836" t="n"/>
      <c r="I744" s="837" t="n"/>
      <c r="J744" s="1345" t="n"/>
      <c r="K744" s="1345" t="n"/>
      <c r="L744" s="1345" t="n"/>
      <c r="M744" s="1345" t="n"/>
      <c r="N744" s="1345" t="n"/>
    </row>
    <row r="745">
      <c r="A745" s="834" t="n"/>
      <c r="B745" s="835" t="n"/>
      <c r="C745" s="836" t="n"/>
      <c r="D745" s="836" t="n"/>
      <c r="E745" s="836" t="n"/>
      <c r="F745" s="836" t="n"/>
      <c r="G745" s="837" t="n"/>
      <c r="H745" s="836" t="n"/>
      <c r="I745" s="837" t="n"/>
      <c r="J745" s="1345" t="n"/>
      <c r="K745" s="1345" t="n"/>
      <c r="L745" s="1345" t="n"/>
      <c r="M745" s="1345" t="n"/>
      <c r="N745" s="1345" t="n"/>
    </row>
    <row r="746">
      <c r="A746" s="834" t="n"/>
      <c r="B746" s="835" t="n"/>
      <c r="C746" s="836" t="n"/>
      <c r="D746" s="836" t="n"/>
      <c r="E746" s="836" t="n"/>
      <c r="F746" s="836" t="n"/>
      <c r="G746" s="837" t="n"/>
      <c r="H746" s="836" t="n"/>
      <c r="I746" s="837" t="n"/>
      <c r="J746" s="1345" t="n"/>
      <c r="K746" s="1345" t="n"/>
      <c r="L746" s="1345" t="n"/>
      <c r="M746" s="1345" t="n"/>
      <c r="N746" s="1345" t="n"/>
    </row>
    <row r="747">
      <c r="A747" s="834" t="n"/>
      <c r="B747" s="835" t="n"/>
      <c r="C747" s="836" t="n"/>
      <c r="D747" s="836" t="n"/>
      <c r="E747" s="836" t="n"/>
      <c r="F747" s="836" t="n"/>
      <c r="G747" s="837" t="n"/>
      <c r="H747" s="836" t="n"/>
      <c r="I747" s="837" t="n"/>
      <c r="J747" s="1345" t="n"/>
      <c r="K747" s="1345" t="n"/>
      <c r="L747" s="1345" t="n"/>
      <c r="M747" s="1345" t="n"/>
      <c r="N747" s="1345" t="n"/>
    </row>
    <row r="748">
      <c r="A748" s="834" t="n"/>
      <c r="B748" s="835" t="n"/>
      <c r="C748" s="836" t="n"/>
      <c r="D748" s="836" t="n"/>
      <c r="E748" s="836" t="n"/>
      <c r="F748" s="836" t="n"/>
      <c r="G748" s="837" t="n"/>
      <c r="H748" s="836" t="n"/>
      <c r="I748" s="837" t="n"/>
      <c r="J748" s="1345" t="n"/>
      <c r="K748" s="1345" t="n"/>
      <c r="L748" s="1345" t="n"/>
      <c r="M748" s="1345" t="n"/>
      <c r="N748" s="1345" t="n"/>
    </row>
    <row r="749">
      <c r="A749" s="834" t="n"/>
      <c r="B749" s="835" t="n"/>
      <c r="C749" s="836" t="n"/>
      <c r="D749" s="836" t="n"/>
      <c r="E749" s="836" t="n"/>
      <c r="F749" s="836" t="n"/>
      <c r="G749" s="837" t="n"/>
      <c r="H749" s="836" t="n"/>
      <c r="I749" s="837" t="n"/>
      <c r="J749" s="1345" t="n"/>
      <c r="K749" s="1345" t="n"/>
      <c r="L749" s="1345" t="n"/>
      <c r="M749" s="1345" t="n"/>
      <c r="N749" s="1345" t="n"/>
    </row>
    <row r="750">
      <c r="A750" s="834" t="n"/>
      <c r="B750" s="835" t="n"/>
      <c r="C750" s="836" t="n"/>
      <c r="D750" s="836" t="n"/>
      <c r="E750" s="836" t="n"/>
      <c r="F750" s="836" t="n"/>
      <c r="G750" s="837" t="n"/>
      <c r="H750" s="836" t="n"/>
      <c r="I750" s="837" t="n"/>
      <c r="J750" s="1345" t="n"/>
      <c r="K750" s="1345" t="n"/>
      <c r="L750" s="1345" t="n"/>
      <c r="M750" s="1345" t="n"/>
      <c r="N750" s="1345" t="n"/>
    </row>
    <row r="751">
      <c r="A751" s="834" t="n"/>
      <c r="B751" s="835" t="n"/>
      <c r="C751" s="836" t="n"/>
      <c r="D751" s="836" t="n"/>
      <c r="E751" s="836" t="n"/>
      <c r="F751" s="836" t="n"/>
      <c r="G751" s="837" t="n"/>
      <c r="H751" s="836" t="n"/>
      <c r="I751" s="837" t="n"/>
      <c r="J751" s="1345" t="n"/>
      <c r="K751" s="1345" t="n"/>
      <c r="L751" s="1345" t="n"/>
      <c r="M751" s="1345" t="n"/>
      <c r="N751" s="1345" t="n"/>
    </row>
    <row r="752">
      <c r="A752" s="834" t="n"/>
      <c r="B752" s="835" t="n"/>
      <c r="C752" s="836" t="n"/>
      <c r="D752" s="836" t="n"/>
      <c r="E752" s="836" t="n"/>
      <c r="F752" s="836" t="n"/>
      <c r="G752" s="837" t="n"/>
      <c r="H752" s="836" t="n"/>
      <c r="I752" s="837" t="n"/>
      <c r="J752" s="1345" t="n"/>
      <c r="K752" s="1345" t="n"/>
      <c r="L752" s="1345" t="n"/>
      <c r="M752" s="1345" t="n"/>
      <c r="N752" s="1345" t="n"/>
    </row>
    <row r="753">
      <c r="A753" s="834" t="n"/>
      <c r="B753" s="835" t="n"/>
      <c r="C753" s="836" t="n"/>
      <c r="D753" s="836" t="n"/>
      <c r="E753" s="836" t="n"/>
      <c r="F753" s="836" t="n"/>
      <c r="G753" s="837" t="n"/>
      <c r="H753" s="836" t="n"/>
      <c r="I753" s="837" t="n"/>
      <c r="J753" s="1345" t="n"/>
      <c r="K753" s="1345" t="n"/>
      <c r="L753" s="1345" t="n"/>
      <c r="M753" s="1345" t="n"/>
      <c r="N753" s="1345" t="n"/>
    </row>
    <row r="754">
      <c r="A754" s="834" t="n"/>
      <c r="B754" s="835" t="n"/>
      <c r="C754" s="836" t="n"/>
      <c r="D754" s="836" t="n"/>
      <c r="E754" s="836" t="n"/>
      <c r="F754" s="836" t="n"/>
      <c r="G754" s="837" t="n"/>
      <c r="H754" s="836" t="n"/>
      <c r="I754" s="837" t="n"/>
      <c r="J754" s="1345" t="n"/>
      <c r="K754" s="1345" t="n"/>
      <c r="L754" s="1345" t="n"/>
      <c r="M754" s="1345" t="n"/>
      <c r="N754" s="1345" t="n"/>
    </row>
    <row r="755">
      <c r="A755" s="834" t="n"/>
      <c r="B755" s="835" t="n"/>
      <c r="C755" s="836" t="n"/>
      <c r="D755" s="836" t="n"/>
      <c r="E755" s="836" t="n"/>
      <c r="F755" s="836" t="n"/>
      <c r="G755" s="837" t="n"/>
      <c r="H755" s="836" t="n"/>
      <c r="I755" s="837" t="n"/>
      <c r="J755" s="1345" t="n"/>
      <c r="K755" s="1345" t="n"/>
      <c r="L755" s="1345" t="n"/>
      <c r="M755" s="1345" t="n"/>
      <c r="N755" s="1345" t="n"/>
    </row>
    <row r="756">
      <c r="A756" s="834" t="n"/>
      <c r="B756" s="835" t="n"/>
      <c r="C756" s="836" t="n"/>
      <c r="D756" s="836" t="n"/>
      <c r="E756" s="836" t="n"/>
      <c r="F756" s="836" t="n"/>
      <c r="G756" s="837" t="n"/>
      <c r="H756" s="836" t="n"/>
      <c r="I756" s="837" t="n"/>
      <c r="J756" s="1345" t="n"/>
      <c r="K756" s="1345" t="n"/>
      <c r="L756" s="1345" t="n"/>
      <c r="M756" s="1345" t="n"/>
      <c r="N756" s="1345" t="n"/>
    </row>
    <row r="757">
      <c r="A757" s="834" t="n"/>
      <c r="B757" s="835" t="n"/>
      <c r="C757" s="836" t="n"/>
      <c r="D757" s="836" t="n"/>
      <c r="E757" s="836" t="n"/>
      <c r="F757" s="836" t="n"/>
      <c r="G757" s="837" t="n"/>
      <c r="H757" s="836" t="n"/>
      <c r="I757" s="837" t="n"/>
      <c r="J757" s="1345" t="n"/>
      <c r="K757" s="1345" t="n"/>
      <c r="L757" s="1345" t="n"/>
      <c r="M757" s="1345" t="n"/>
      <c r="N757" s="1345" t="n"/>
    </row>
    <row r="758">
      <c r="A758" s="834" t="n"/>
      <c r="B758" s="835" t="n"/>
      <c r="C758" s="836" t="n"/>
      <c r="D758" s="836" t="n"/>
      <c r="E758" s="836" t="n"/>
      <c r="F758" s="836" t="n"/>
      <c r="G758" s="837" t="n"/>
      <c r="H758" s="836" t="n"/>
      <c r="I758" s="837" t="n"/>
      <c r="J758" s="1345" t="n"/>
      <c r="K758" s="1345" t="n"/>
      <c r="L758" s="1345" t="n"/>
      <c r="M758" s="1345" t="n"/>
      <c r="N758" s="1345" t="n"/>
    </row>
    <row r="759">
      <c r="A759" s="834" t="n"/>
      <c r="B759" s="835" t="n"/>
      <c r="C759" s="836" t="n"/>
      <c r="D759" s="836" t="n"/>
      <c r="E759" s="836" t="n"/>
      <c r="F759" s="836" t="n"/>
      <c r="G759" s="837" t="n"/>
      <c r="H759" s="836" t="n"/>
      <c r="I759" s="837" t="n"/>
      <c r="J759" s="1345" t="n"/>
      <c r="K759" s="1345" t="n"/>
      <c r="L759" s="1345" t="n"/>
      <c r="M759" s="1345" t="n"/>
      <c r="N759" s="1345" t="n"/>
    </row>
    <row r="760">
      <c r="A760" s="834" t="n"/>
      <c r="B760" s="835" t="n"/>
      <c r="C760" s="836" t="n"/>
      <c r="D760" s="836" t="n"/>
      <c r="E760" s="836" t="n"/>
      <c r="F760" s="836" t="n"/>
      <c r="G760" s="837" t="n"/>
      <c r="H760" s="836" t="n"/>
      <c r="I760" s="837" t="n"/>
      <c r="J760" s="1345" t="n"/>
      <c r="K760" s="1345" t="n"/>
      <c r="L760" s="1345" t="n"/>
      <c r="M760" s="1345" t="n"/>
      <c r="N760" s="1345" t="n"/>
    </row>
    <row r="761">
      <c r="A761" s="834" t="n"/>
      <c r="B761" s="835" t="n"/>
      <c r="C761" s="836" t="n"/>
      <c r="D761" s="836" t="n"/>
      <c r="E761" s="836" t="n"/>
      <c r="F761" s="836" t="n"/>
      <c r="G761" s="837" t="n"/>
      <c r="H761" s="836" t="n"/>
      <c r="I761" s="837" t="n"/>
      <c r="J761" s="1345" t="n"/>
      <c r="K761" s="1345" t="n"/>
      <c r="L761" s="1345" t="n"/>
      <c r="M761" s="1345" t="n"/>
      <c r="N761" s="1345" t="n"/>
    </row>
    <row r="762">
      <c r="A762" s="834" t="n"/>
      <c r="B762" s="835" t="n"/>
      <c r="C762" s="836" t="n"/>
      <c r="D762" s="836" t="n"/>
      <c r="E762" s="836" t="n"/>
      <c r="F762" s="836" t="n"/>
      <c r="G762" s="837" t="n"/>
      <c r="H762" s="836" t="n"/>
      <c r="I762" s="837" t="n"/>
      <c r="J762" s="1345" t="n"/>
      <c r="K762" s="1345" t="n"/>
      <c r="L762" s="1345" t="n"/>
      <c r="M762" s="1345" t="n"/>
      <c r="N762" s="1345" t="n"/>
    </row>
    <row r="763">
      <c r="A763" s="834" t="n"/>
      <c r="B763" s="835" t="n"/>
      <c r="C763" s="836" t="n"/>
      <c r="D763" s="836" t="n"/>
      <c r="E763" s="836" t="n"/>
      <c r="F763" s="836" t="n"/>
      <c r="G763" s="837" t="n"/>
      <c r="H763" s="836" t="n"/>
      <c r="I763" s="837" t="n"/>
      <c r="J763" s="1345" t="n"/>
      <c r="K763" s="1345" t="n"/>
      <c r="L763" s="1345" t="n"/>
      <c r="M763" s="1345" t="n"/>
      <c r="N763" s="1345" t="n"/>
    </row>
    <row r="764">
      <c r="A764" s="834" t="n"/>
      <c r="B764" s="835" t="n"/>
      <c r="C764" s="836" t="n"/>
      <c r="D764" s="836" t="n"/>
      <c r="E764" s="836" t="n"/>
      <c r="F764" s="836" t="n"/>
      <c r="G764" s="837" t="n"/>
      <c r="H764" s="836" t="n"/>
      <c r="I764" s="837" t="n"/>
      <c r="J764" s="1345" t="n"/>
      <c r="K764" s="1345" t="n"/>
      <c r="L764" s="1345" t="n"/>
      <c r="M764" s="1345" t="n"/>
      <c r="N764" s="1345" t="n"/>
    </row>
    <row r="765">
      <c r="A765" s="834" t="n"/>
      <c r="B765" s="835" t="n"/>
      <c r="C765" s="836" t="n"/>
      <c r="D765" s="836" t="n"/>
      <c r="E765" s="836" t="n"/>
      <c r="F765" s="836" t="n"/>
      <c r="G765" s="837" t="n"/>
      <c r="H765" s="836" t="n"/>
      <c r="I765" s="837" t="n"/>
      <c r="J765" s="1345" t="n"/>
      <c r="K765" s="1345" t="n"/>
      <c r="L765" s="1345" t="n"/>
      <c r="M765" s="1345" t="n"/>
      <c r="N765" s="1345" t="n"/>
    </row>
    <row r="766">
      <c r="A766" s="834" t="n"/>
      <c r="B766" s="835" t="n"/>
      <c r="C766" s="836" t="n"/>
      <c r="D766" s="836" t="n"/>
      <c r="E766" s="836" t="n"/>
      <c r="F766" s="836" t="n"/>
      <c r="G766" s="837" t="n"/>
      <c r="H766" s="836" t="n"/>
      <c r="I766" s="837" t="n"/>
      <c r="J766" s="1345" t="n"/>
      <c r="K766" s="1345" t="n"/>
      <c r="L766" s="1345" t="n"/>
      <c r="M766" s="1345" t="n"/>
      <c r="N766" s="1345" t="n"/>
    </row>
    <row r="767">
      <c r="A767" s="834" t="n"/>
      <c r="B767" s="835" t="n"/>
      <c r="C767" s="836" t="n"/>
      <c r="D767" s="836" t="n"/>
      <c r="E767" s="836" t="n"/>
      <c r="F767" s="836" t="n"/>
      <c r="G767" s="837" t="n"/>
      <c r="H767" s="836" t="n"/>
      <c r="I767" s="837" t="n"/>
      <c r="J767" s="1345" t="n"/>
      <c r="K767" s="1345" t="n"/>
      <c r="L767" s="1345" t="n"/>
      <c r="M767" s="1345" t="n"/>
      <c r="N767" s="1345" t="n"/>
    </row>
    <row r="768">
      <c r="A768" s="834" t="n"/>
      <c r="B768" s="835" t="n"/>
      <c r="C768" s="836" t="n"/>
      <c r="D768" s="836" t="n"/>
      <c r="E768" s="836" t="n"/>
      <c r="F768" s="836" t="n"/>
      <c r="G768" s="837" t="n"/>
      <c r="H768" s="836" t="n"/>
      <c r="I768" s="837" t="n"/>
      <c r="J768" s="1345" t="n"/>
      <c r="K768" s="1345" t="n"/>
      <c r="L768" s="1345" t="n"/>
      <c r="M768" s="1345" t="n"/>
      <c r="N768" s="1345" t="n"/>
    </row>
    <row r="769">
      <c r="A769" s="834" t="n"/>
      <c r="B769" s="835" t="n"/>
      <c r="C769" s="836" t="n"/>
      <c r="D769" s="836" t="n"/>
      <c r="E769" s="836" t="n"/>
      <c r="F769" s="836" t="n"/>
      <c r="G769" s="837" t="n"/>
      <c r="H769" s="836" t="n"/>
      <c r="I769" s="837" t="n"/>
      <c r="J769" s="1345" t="n"/>
      <c r="K769" s="1345" t="n"/>
      <c r="L769" s="1345" t="n"/>
      <c r="M769" s="1345" t="n"/>
      <c r="N769" s="1345" t="n"/>
    </row>
    <row r="770">
      <c r="A770" s="834" t="n"/>
      <c r="B770" s="835" t="n"/>
      <c r="C770" s="836" t="n"/>
      <c r="D770" s="836" t="n"/>
      <c r="E770" s="836" t="n"/>
      <c r="F770" s="836" t="n"/>
      <c r="G770" s="837" t="n"/>
      <c r="H770" s="836" t="n"/>
      <c r="I770" s="837" t="n"/>
      <c r="J770" s="1345" t="n"/>
      <c r="K770" s="1345" t="n"/>
      <c r="L770" s="1345" t="n"/>
      <c r="M770" s="1345" t="n"/>
      <c r="N770" s="1345" t="n"/>
    </row>
    <row r="771">
      <c r="A771" s="834" t="n"/>
      <c r="B771" s="835" t="n"/>
      <c r="C771" s="836" t="n"/>
      <c r="D771" s="836" t="n"/>
      <c r="E771" s="836" t="n"/>
      <c r="F771" s="836" t="n"/>
      <c r="G771" s="837" t="n"/>
      <c r="H771" s="836" t="n"/>
      <c r="I771" s="837" t="n"/>
      <c r="J771" s="1345" t="n"/>
      <c r="K771" s="1345" t="n"/>
      <c r="L771" s="1345" t="n"/>
      <c r="M771" s="1345" t="n"/>
      <c r="N771" s="1345" t="n"/>
    </row>
    <row r="772">
      <c r="A772" s="834" t="n"/>
      <c r="B772" s="835" t="n"/>
      <c r="C772" s="836" t="n"/>
      <c r="D772" s="836" t="n"/>
      <c r="E772" s="836" t="n"/>
      <c r="F772" s="836" t="n"/>
      <c r="G772" s="837" t="n"/>
      <c r="H772" s="836" t="n"/>
      <c r="I772" s="837" t="n"/>
      <c r="J772" s="1345" t="n"/>
      <c r="K772" s="1345" t="n"/>
      <c r="L772" s="1345" t="n"/>
      <c r="M772" s="1345" t="n"/>
      <c r="N772" s="1345" t="n"/>
    </row>
    <row r="773">
      <c r="A773" s="834" t="n"/>
      <c r="B773" s="835" t="n"/>
      <c r="C773" s="836" t="n"/>
      <c r="D773" s="836" t="n"/>
      <c r="E773" s="836" t="n"/>
      <c r="F773" s="836" t="n"/>
      <c r="G773" s="837" t="n"/>
      <c r="H773" s="836" t="n"/>
      <c r="I773" s="837" t="n"/>
      <c r="J773" s="1345" t="n"/>
      <c r="K773" s="1345" t="n"/>
      <c r="L773" s="1345" t="n"/>
      <c r="M773" s="1345" t="n"/>
      <c r="N773" s="1345" t="n"/>
    </row>
    <row r="774">
      <c r="A774" s="834" t="n"/>
      <c r="B774" s="835" t="n"/>
      <c r="C774" s="836" t="n"/>
      <c r="D774" s="836" t="n"/>
      <c r="E774" s="836" t="n"/>
      <c r="F774" s="836" t="n"/>
      <c r="G774" s="837" t="n"/>
      <c r="H774" s="836" t="n"/>
      <c r="I774" s="837" t="n"/>
      <c r="J774" s="1345" t="n"/>
      <c r="K774" s="1345" t="n"/>
      <c r="L774" s="1345" t="n"/>
      <c r="M774" s="1345" t="n"/>
      <c r="N774" s="1345" t="n"/>
    </row>
    <row r="775">
      <c r="A775" s="834" t="n"/>
      <c r="B775" s="835" t="n"/>
      <c r="C775" s="836" t="n"/>
      <c r="D775" s="836" t="n"/>
      <c r="E775" s="836" t="n"/>
      <c r="F775" s="836" t="n"/>
      <c r="G775" s="837" t="n"/>
      <c r="H775" s="836" t="n"/>
      <c r="I775" s="837" t="n"/>
      <c r="J775" s="1345" t="n"/>
      <c r="K775" s="1345" t="n"/>
      <c r="L775" s="1345" t="n"/>
      <c r="M775" s="1345" t="n"/>
      <c r="N775" s="1345" t="n"/>
    </row>
    <row r="776">
      <c r="A776" s="834" t="n"/>
      <c r="B776" s="835" t="n"/>
      <c r="C776" s="836" t="n"/>
      <c r="D776" s="836" t="n"/>
      <c r="E776" s="836" t="n"/>
      <c r="F776" s="836" t="n"/>
      <c r="G776" s="837" t="n"/>
      <c r="H776" s="836" t="n"/>
      <c r="I776" s="837" t="n"/>
      <c r="J776" s="1345" t="n"/>
      <c r="K776" s="1345" t="n"/>
      <c r="L776" s="1345" t="n"/>
      <c r="M776" s="1345" t="n"/>
      <c r="N776" s="1345" t="n"/>
    </row>
    <row r="777">
      <c r="A777" s="834" t="n"/>
      <c r="B777" s="835" t="n"/>
      <c r="C777" s="836" t="n"/>
      <c r="D777" s="836" t="n"/>
      <c r="E777" s="836" t="n"/>
      <c r="F777" s="836" t="n"/>
      <c r="G777" s="837" t="n"/>
      <c r="H777" s="836" t="n"/>
      <c r="I777" s="837" t="n"/>
      <c r="J777" s="1345" t="n"/>
      <c r="K777" s="1345" t="n"/>
      <c r="L777" s="1345" t="n"/>
      <c r="M777" s="1345" t="n"/>
      <c r="N777" s="1345" t="n"/>
    </row>
    <row r="778">
      <c r="A778" s="834" t="n"/>
      <c r="B778" s="835" t="n"/>
      <c r="C778" s="836" t="n"/>
      <c r="D778" s="836" t="n"/>
      <c r="E778" s="836" t="n"/>
      <c r="F778" s="836" t="n"/>
      <c r="G778" s="837" t="n"/>
      <c r="H778" s="836" t="n"/>
      <c r="I778" s="837" t="n"/>
      <c r="J778" s="1345" t="n"/>
      <c r="K778" s="1345" t="n"/>
      <c r="L778" s="1345" t="n"/>
      <c r="M778" s="1345" t="n"/>
      <c r="N778" s="1345" t="n"/>
    </row>
    <row r="779">
      <c r="A779" s="834" t="n"/>
      <c r="B779" s="835" t="n"/>
      <c r="C779" s="836" t="n"/>
      <c r="D779" s="836" t="n"/>
      <c r="E779" s="836" t="n"/>
      <c r="F779" s="836" t="n"/>
      <c r="G779" s="837" t="n"/>
      <c r="H779" s="836" t="n"/>
      <c r="I779" s="837" t="n"/>
      <c r="J779" s="1345" t="n"/>
      <c r="K779" s="1345" t="n"/>
      <c r="L779" s="1345" t="n"/>
      <c r="M779" s="1345" t="n"/>
      <c r="N779" s="1345" t="n"/>
    </row>
    <row r="780">
      <c r="A780" s="834" t="n"/>
      <c r="B780" s="835" t="n"/>
      <c r="C780" s="836" t="n"/>
      <c r="D780" s="836" t="n"/>
      <c r="E780" s="836" t="n"/>
      <c r="F780" s="836" t="n"/>
      <c r="G780" s="837" t="n"/>
      <c r="H780" s="836" t="n"/>
      <c r="I780" s="837" t="n"/>
      <c r="J780" s="1345" t="n"/>
      <c r="K780" s="1345" t="n"/>
      <c r="L780" s="1345" t="n"/>
      <c r="M780" s="1345" t="n"/>
      <c r="N780" s="1345" t="n"/>
    </row>
    <row r="781">
      <c r="A781" s="834" t="n"/>
      <c r="B781" s="835" t="n"/>
      <c r="C781" s="836" t="n"/>
      <c r="D781" s="836" t="n"/>
      <c r="E781" s="836" t="n"/>
      <c r="F781" s="836" t="n"/>
      <c r="G781" s="837" t="n"/>
      <c r="H781" s="836" t="n"/>
      <c r="I781" s="837" t="n"/>
      <c r="J781" s="1345" t="n"/>
      <c r="K781" s="1345" t="n"/>
      <c r="L781" s="1345" t="n"/>
      <c r="M781" s="1345" t="n"/>
      <c r="N781" s="1345" t="n"/>
    </row>
    <row r="782">
      <c r="A782" s="834" t="n"/>
      <c r="B782" s="835" t="n"/>
      <c r="C782" s="836" t="n"/>
      <c r="D782" s="836" t="n"/>
      <c r="E782" s="836" t="n"/>
      <c r="F782" s="836" t="n"/>
      <c r="G782" s="837" t="n"/>
      <c r="H782" s="836" t="n"/>
      <c r="I782" s="837" t="n"/>
      <c r="J782" s="1345" t="n"/>
      <c r="K782" s="1345" t="n"/>
      <c r="L782" s="1345" t="n"/>
      <c r="M782" s="1345" t="n"/>
      <c r="N782" s="1345" t="n"/>
    </row>
    <row r="783">
      <c r="A783" s="834" t="n"/>
      <c r="B783" s="835" t="n"/>
      <c r="C783" s="836" t="n"/>
      <c r="D783" s="836" t="n"/>
      <c r="E783" s="836" t="n"/>
      <c r="F783" s="836" t="n"/>
      <c r="G783" s="837" t="n"/>
      <c r="H783" s="836" t="n"/>
      <c r="I783" s="837" t="n"/>
      <c r="J783" s="1345" t="n"/>
      <c r="K783" s="1345" t="n"/>
      <c r="L783" s="1345" t="n"/>
      <c r="M783" s="1345" t="n"/>
      <c r="N783" s="1345" t="n"/>
    </row>
    <row r="784">
      <c r="A784" s="834" t="n"/>
      <c r="B784" s="835" t="n"/>
      <c r="C784" s="836" t="n"/>
      <c r="D784" s="836" t="n"/>
      <c r="E784" s="836" t="n"/>
      <c r="F784" s="836" t="n"/>
      <c r="G784" s="837" t="n"/>
      <c r="H784" s="836" t="n"/>
      <c r="I784" s="837" t="n"/>
      <c r="J784" s="1345" t="n"/>
      <c r="K784" s="1345" t="n"/>
      <c r="L784" s="1345" t="n"/>
      <c r="M784" s="1345" t="n"/>
      <c r="N784" s="1345" t="n"/>
    </row>
    <row r="785">
      <c r="A785" s="834" t="n"/>
      <c r="B785" s="835" t="n"/>
      <c r="C785" s="836" t="n"/>
      <c r="D785" s="836" t="n"/>
      <c r="E785" s="836" t="n"/>
      <c r="F785" s="836" t="n"/>
      <c r="G785" s="837" t="n"/>
      <c r="H785" s="836" t="n"/>
      <c r="I785" s="837" t="n"/>
      <c r="J785" s="1345" t="n"/>
      <c r="K785" s="1345" t="n"/>
      <c r="L785" s="1345" t="n"/>
      <c r="M785" s="1345" t="n"/>
      <c r="N785" s="1345" t="n"/>
    </row>
    <row r="786">
      <c r="A786" s="834" t="n"/>
      <c r="B786" s="835" t="n"/>
      <c r="C786" s="836" t="n"/>
      <c r="D786" s="836" t="n"/>
      <c r="E786" s="836" t="n"/>
      <c r="F786" s="836" t="n"/>
      <c r="G786" s="837" t="n"/>
      <c r="H786" s="836" t="n"/>
      <c r="I786" s="837" t="n"/>
      <c r="J786" s="1345" t="n"/>
      <c r="K786" s="1345" t="n"/>
      <c r="L786" s="1345" t="n"/>
      <c r="M786" s="1345" t="n"/>
      <c r="N786" s="1345" t="n"/>
    </row>
    <row r="787">
      <c r="A787" s="834" t="n"/>
      <c r="B787" s="835" t="n"/>
      <c r="C787" s="836" t="n"/>
      <c r="D787" s="836" t="n"/>
      <c r="E787" s="836" t="n"/>
      <c r="F787" s="836" t="n"/>
      <c r="G787" s="837" t="n"/>
      <c r="H787" s="836" t="n"/>
      <c r="I787" s="837" t="n"/>
      <c r="J787" s="1345" t="n"/>
      <c r="K787" s="1345" t="n"/>
      <c r="L787" s="1345" t="n"/>
      <c r="M787" s="1345" t="n"/>
      <c r="N787" s="1345" t="n"/>
    </row>
    <row r="788">
      <c r="A788" s="834" t="n"/>
      <c r="B788" s="835" t="n"/>
      <c r="C788" s="836" t="n"/>
      <c r="D788" s="836" t="n"/>
      <c r="E788" s="836" t="n"/>
      <c r="F788" s="836" t="n"/>
      <c r="G788" s="837" t="n"/>
      <c r="H788" s="836" t="n"/>
      <c r="I788" s="837" t="n"/>
      <c r="J788" s="1345" t="n"/>
      <c r="K788" s="1345" t="n"/>
      <c r="L788" s="1345" t="n"/>
      <c r="M788" s="1345" t="n"/>
      <c r="N788" s="1345" t="n"/>
    </row>
    <row r="789">
      <c r="A789" s="834" t="n"/>
      <c r="B789" s="835" t="n"/>
      <c r="C789" s="836" t="n"/>
      <c r="D789" s="836" t="n"/>
      <c r="E789" s="836" t="n"/>
      <c r="F789" s="836" t="n"/>
      <c r="G789" s="837" t="n"/>
      <c r="H789" s="836" t="n"/>
      <c r="I789" s="837" t="n"/>
      <c r="J789" s="1345" t="n"/>
      <c r="K789" s="1345" t="n"/>
      <c r="L789" s="1345" t="n"/>
      <c r="M789" s="1345" t="n"/>
      <c r="N789" s="1345" t="n"/>
    </row>
    <row r="790">
      <c r="A790" s="834" t="n"/>
      <c r="B790" s="835" t="n"/>
      <c r="C790" s="836" t="n"/>
      <c r="D790" s="836" t="n"/>
      <c r="E790" s="836" t="n"/>
      <c r="F790" s="836" t="n"/>
      <c r="G790" s="837" t="n"/>
      <c r="H790" s="836" t="n"/>
      <c r="I790" s="837" t="n"/>
      <c r="J790" s="1345" t="n"/>
      <c r="K790" s="1345" t="n"/>
      <c r="L790" s="1345" t="n"/>
      <c r="M790" s="1345" t="n"/>
      <c r="N790" s="1345" t="n"/>
    </row>
    <row r="791">
      <c r="A791" s="834" t="n"/>
      <c r="B791" s="835" t="n"/>
      <c r="C791" s="836" t="n"/>
      <c r="D791" s="836" t="n"/>
      <c r="E791" s="836" t="n"/>
      <c r="F791" s="836" t="n"/>
      <c r="G791" s="837" t="n"/>
      <c r="H791" s="836" t="n"/>
      <c r="I791" s="837" t="n"/>
      <c r="J791" s="1345" t="n"/>
      <c r="K791" s="1345" t="n"/>
      <c r="L791" s="1345" t="n"/>
      <c r="M791" s="1345" t="n"/>
      <c r="N791" s="1345" t="n"/>
    </row>
    <row r="792">
      <c r="A792" s="834" t="n"/>
      <c r="B792" s="835" t="n"/>
      <c r="C792" s="836" t="n"/>
      <c r="D792" s="836" t="n"/>
      <c r="E792" s="836" t="n"/>
      <c r="F792" s="836" t="n"/>
      <c r="G792" s="837" t="n"/>
      <c r="H792" s="836" t="n"/>
      <c r="I792" s="837" t="n"/>
      <c r="J792" s="1345" t="n"/>
      <c r="K792" s="1345" t="n"/>
      <c r="L792" s="1345" t="n"/>
      <c r="M792" s="1345" t="n"/>
      <c r="N792" s="1345" t="n"/>
    </row>
    <row r="793">
      <c r="A793" s="834" t="n"/>
      <c r="B793" s="835" t="n"/>
      <c r="C793" s="836" t="n"/>
      <c r="D793" s="836" t="n"/>
      <c r="E793" s="836" t="n"/>
      <c r="F793" s="836" t="n"/>
      <c r="G793" s="837" t="n"/>
      <c r="H793" s="836" t="n"/>
      <c r="I793" s="837" t="n"/>
      <c r="J793" s="1345" t="n"/>
      <c r="K793" s="1345" t="n"/>
      <c r="L793" s="1345" t="n"/>
      <c r="M793" s="1345" t="n"/>
      <c r="N793" s="1345" t="n"/>
    </row>
    <row r="794">
      <c r="A794" s="834" t="n"/>
      <c r="B794" s="835" t="n"/>
      <c r="C794" s="836" t="n"/>
      <c r="D794" s="836" t="n"/>
      <c r="E794" s="836" t="n"/>
      <c r="F794" s="836" t="n"/>
      <c r="G794" s="837" t="n"/>
      <c r="H794" s="836" t="n"/>
      <c r="I794" s="837" t="n"/>
      <c r="J794" s="1345" t="n"/>
      <c r="K794" s="1345" t="n"/>
      <c r="L794" s="1345" t="n"/>
      <c r="M794" s="1345" t="n"/>
      <c r="N794" s="1345" t="n"/>
    </row>
    <row r="795">
      <c r="A795" s="834" t="n"/>
      <c r="B795" s="835" t="n"/>
      <c r="C795" s="836" t="n"/>
      <c r="D795" s="836" t="n"/>
      <c r="E795" s="836" t="n"/>
      <c r="F795" s="836" t="n"/>
      <c r="G795" s="837" t="n"/>
      <c r="H795" s="836" t="n"/>
      <c r="I795" s="837" t="n"/>
      <c r="J795" s="1345" t="n"/>
      <c r="K795" s="1345" t="n"/>
      <c r="L795" s="1345" t="n"/>
      <c r="M795" s="1345" t="n"/>
      <c r="N795" s="1345" t="n"/>
    </row>
    <row r="796">
      <c r="A796" s="834" t="n"/>
      <c r="B796" s="835" t="n"/>
      <c r="C796" s="836" t="n"/>
      <c r="D796" s="836" t="n"/>
      <c r="E796" s="836" t="n"/>
      <c r="F796" s="836" t="n"/>
      <c r="G796" s="837" t="n"/>
      <c r="H796" s="836" t="n"/>
      <c r="I796" s="837" t="n"/>
      <c r="J796" s="1345" t="n"/>
      <c r="K796" s="1345" t="n"/>
      <c r="L796" s="1345" t="n"/>
      <c r="M796" s="1345" t="n"/>
      <c r="N796" s="1345" t="n"/>
    </row>
    <row r="797">
      <c r="A797" s="834" t="n"/>
      <c r="B797" s="835" t="n"/>
      <c r="C797" s="836" t="n"/>
      <c r="D797" s="836" t="n"/>
      <c r="E797" s="836" t="n"/>
      <c r="F797" s="836" t="n"/>
      <c r="G797" s="837" t="n"/>
      <c r="H797" s="836" t="n"/>
      <c r="I797" s="837" t="n"/>
      <c r="J797" s="1345" t="n"/>
      <c r="K797" s="1345" t="n"/>
      <c r="L797" s="1345" t="n"/>
      <c r="M797" s="1345" t="n"/>
      <c r="N797" s="1345" t="n"/>
    </row>
    <row r="798">
      <c r="A798" s="834" t="n"/>
      <c r="B798" s="835" t="n"/>
      <c r="C798" s="836" t="n"/>
      <c r="D798" s="836" t="n"/>
      <c r="E798" s="836" t="n"/>
      <c r="F798" s="836" t="n"/>
      <c r="G798" s="837" t="n"/>
      <c r="H798" s="836" t="n"/>
      <c r="I798" s="837" t="n"/>
      <c r="J798" s="1345" t="n"/>
      <c r="K798" s="1345" t="n"/>
      <c r="L798" s="1345" t="n"/>
      <c r="M798" s="1345" t="n"/>
      <c r="N798" s="1345" t="n"/>
    </row>
    <row r="799">
      <c r="A799" s="834" t="n"/>
      <c r="B799" s="835" t="n"/>
      <c r="C799" s="836" t="n"/>
      <c r="D799" s="836" t="n"/>
      <c r="E799" s="836" t="n"/>
      <c r="F799" s="836" t="n"/>
      <c r="G799" s="837" t="n"/>
      <c r="H799" s="836" t="n"/>
      <c r="I799" s="837" t="n"/>
      <c r="J799" s="1345" t="n"/>
      <c r="K799" s="1345" t="n"/>
      <c r="L799" s="1345" t="n"/>
      <c r="M799" s="1345" t="n"/>
      <c r="N799" s="1345" t="n"/>
    </row>
    <row r="800">
      <c r="A800" s="834" t="n"/>
      <c r="B800" s="835" t="n"/>
      <c r="C800" s="836" t="n"/>
      <c r="D800" s="836" t="n"/>
      <c r="E800" s="836" t="n"/>
      <c r="F800" s="836" t="n"/>
      <c r="G800" s="837" t="n"/>
      <c r="H800" s="836" t="n"/>
      <c r="I800" s="837" t="n"/>
      <c r="J800" s="1345" t="n"/>
      <c r="K800" s="1345" t="n"/>
      <c r="L800" s="1345" t="n"/>
      <c r="M800" s="1345" t="n"/>
      <c r="N800" s="1345" t="n"/>
    </row>
    <row r="801">
      <c r="A801" s="834" t="n"/>
      <c r="B801" s="835" t="n"/>
      <c r="C801" s="836" t="n"/>
      <c r="D801" s="836" t="n"/>
      <c r="E801" s="836" t="n"/>
      <c r="F801" s="836" t="n"/>
      <c r="G801" s="837" t="n"/>
      <c r="H801" s="836" t="n"/>
      <c r="I801" s="837" t="n"/>
      <c r="J801" s="1345" t="n"/>
      <c r="K801" s="1345" t="n"/>
      <c r="L801" s="1345" t="n"/>
      <c r="M801" s="1345" t="n"/>
      <c r="N801" s="1345" t="n"/>
    </row>
    <row r="802">
      <c r="A802" s="834" t="n"/>
      <c r="B802" s="835" t="n"/>
      <c r="C802" s="836" t="n"/>
      <c r="D802" s="836" t="n"/>
      <c r="E802" s="836" t="n"/>
      <c r="F802" s="836" t="n"/>
      <c r="G802" s="837" t="n"/>
      <c r="H802" s="836" t="n"/>
      <c r="I802" s="837" t="n"/>
      <c r="J802" s="1345" t="n"/>
      <c r="K802" s="1345" t="n"/>
      <c r="L802" s="1345" t="n"/>
      <c r="M802" s="1345" t="n"/>
      <c r="N802" s="1345" t="n"/>
    </row>
    <row r="803">
      <c r="A803" s="834" t="n"/>
      <c r="B803" s="835" t="n"/>
      <c r="C803" s="836" t="n"/>
      <c r="D803" s="836" t="n"/>
      <c r="E803" s="836" t="n"/>
      <c r="F803" s="836" t="n"/>
      <c r="G803" s="837" t="n"/>
      <c r="H803" s="836" t="n"/>
      <c r="I803" s="837" t="n"/>
      <c r="J803" s="1345" t="n"/>
      <c r="K803" s="1345" t="n"/>
      <c r="L803" s="1345" t="n"/>
      <c r="M803" s="1345" t="n"/>
      <c r="N803" s="1345" t="n"/>
    </row>
    <row r="804">
      <c r="A804" s="834" t="n"/>
      <c r="B804" s="835" t="n"/>
      <c r="C804" s="836" t="n"/>
      <c r="D804" s="836" t="n"/>
      <c r="E804" s="836" t="n"/>
      <c r="F804" s="836" t="n"/>
      <c r="G804" s="837" t="n"/>
      <c r="H804" s="836" t="n"/>
      <c r="I804" s="837" t="n"/>
      <c r="J804" s="1345" t="n"/>
      <c r="K804" s="1345" t="n"/>
      <c r="L804" s="1345" t="n"/>
      <c r="M804" s="1345" t="n"/>
      <c r="N804" s="1345" t="n"/>
    </row>
    <row r="805">
      <c r="A805" s="834" t="n"/>
      <c r="B805" s="835" t="n"/>
      <c r="C805" s="836" t="n"/>
      <c r="D805" s="836" t="n"/>
      <c r="E805" s="836" t="n"/>
      <c r="F805" s="836" t="n"/>
      <c r="G805" s="837" t="n"/>
      <c r="H805" s="836" t="n"/>
      <c r="I805" s="837" t="n"/>
      <c r="J805" s="1345" t="n"/>
      <c r="K805" s="1345" t="n"/>
      <c r="L805" s="1345" t="n"/>
      <c r="M805" s="1345" t="n"/>
      <c r="N805" s="1345" t="n"/>
    </row>
    <row r="806">
      <c r="A806" s="834" t="n"/>
      <c r="B806" s="835" t="n"/>
      <c r="C806" s="836" t="n"/>
      <c r="D806" s="836" t="n"/>
      <c r="E806" s="836" t="n"/>
      <c r="F806" s="836" t="n"/>
      <c r="G806" s="837" t="n"/>
      <c r="H806" s="836" t="n"/>
      <c r="I806" s="837" t="n"/>
      <c r="J806" s="1345" t="n"/>
      <c r="K806" s="1345" t="n"/>
      <c r="L806" s="1345" t="n"/>
      <c r="M806" s="1345" t="n"/>
      <c r="N806" s="1345" t="n"/>
    </row>
    <row r="807">
      <c r="A807" s="834" t="n"/>
      <c r="B807" s="835" t="n"/>
      <c r="C807" s="836" t="n"/>
      <c r="D807" s="836" t="n"/>
      <c r="E807" s="836" t="n"/>
      <c r="F807" s="836" t="n"/>
      <c r="G807" s="837" t="n"/>
      <c r="H807" s="836" t="n"/>
      <c r="I807" s="837" t="n"/>
      <c r="J807" s="1345" t="n"/>
      <c r="K807" s="1345" t="n"/>
      <c r="L807" s="1345" t="n"/>
      <c r="M807" s="1345" t="n"/>
      <c r="N807" s="1345" t="n"/>
    </row>
    <row r="808">
      <c r="A808" s="834" t="n"/>
      <c r="B808" s="835" t="n"/>
      <c r="C808" s="836" t="n"/>
      <c r="D808" s="836" t="n"/>
      <c r="E808" s="836" t="n"/>
      <c r="F808" s="836" t="n"/>
      <c r="G808" s="837" t="n"/>
      <c r="H808" s="836" t="n"/>
      <c r="I808" s="837" t="n"/>
      <c r="J808" s="1345" t="n"/>
      <c r="K808" s="1345" t="n"/>
      <c r="L808" s="1345" t="n"/>
      <c r="M808" s="1345" t="n"/>
      <c r="N808" s="1345" t="n"/>
    </row>
    <row r="809">
      <c r="A809" s="834" t="n"/>
      <c r="B809" s="835" t="n"/>
      <c r="C809" s="836" t="n"/>
      <c r="D809" s="836" t="n"/>
      <c r="E809" s="836" t="n"/>
      <c r="F809" s="836" t="n"/>
      <c r="G809" s="837" t="n"/>
      <c r="H809" s="836" t="n"/>
      <c r="I809" s="837" t="n"/>
      <c r="J809" s="1345" t="n"/>
      <c r="K809" s="1345" t="n"/>
      <c r="L809" s="1345" t="n"/>
      <c r="M809" s="1345" t="n"/>
      <c r="N809" s="1345" t="n"/>
    </row>
    <row r="810">
      <c r="A810" s="834" t="n"/>
      <c r="B810" s="835" t="n"/>
      <c r="C810" s="836" t="n"/>
      <c r="D810" s="836" t="n"/>
      <c r="E810" s="836" t="n"/>
      <c r="F810" s="836" t="n"/>
      <c r="G810" s="837" t="n"/>
      <c r="H810" s="836" t="n"/>
      <c r="I810" s="837" t="n"/>
      <c r="J810" s="1345" t="n"/>
      <c r="K810" s="1345" t="n"/>
      <c r="L810" s="1345" t="n"/>
      <c r="M810" s="1345" t="n"/>
      <c r="N810" s="1345" t="n"/>
    </row>
    <row r="811">
      <c r="A811" s="834" t="n"/>
      <c r="B811" s="835" t="n"/>
      <c r="C811" s="836" t="n"/>
      <c r="D811" s="836" t="n"/>
      <c r="E811" s="836" t="n"/>
      <c r="F811" s="836" t="n"/>
      <c r="G811" s="837" t="n"/>
      <c r="H811" s="836" t="n"/>
      <c r="I811" s="837" t="n"/>
      <c r="J811" s="1345" t="n"/>
      <c r="K811" s="1345" t="n"/>
      <c r="L811" s="1345" t="n"/>
      <c r="M811" s="1345" t="n"/>
      <c r="N811" s="1345" t="n"/>
    </row>
    <row r="812">
      <c r="A812" s="834" t="n"/>
      <c r="B812" s="835" t="n"/>
      <c r="C812" s="836" t="n"/>
      <c r="D812" s="836" t="n"/>
      <c r="E812" s="836" t="n"/>
      <c r="F812" s="836" t="n"/>
      <c r="G812" s="837" t="n"/>
      <c r="H812" s="836" t="n"/>
      <c r="I812" s="837" t="n"/>
      <c r="J812" s="1345" t="n"/>
      <c r="K812" s="1345" t="n"/>
      <c r="L812" s="1345" t="n"/>
      <c r="M812" s="1345" t="n"/>
      <c r="N812" s="1345" t="n"/>
    </row>
    <row r="813">
      <c r="A813" s="834" t="n"/>
      <c r="B813" s="835" t="n"/>
      <c r="C813" s="836" t="n"/>
      <c r="D813" s="836" t="n"/>
      <c r="E813" s="836" t="n"/>
      <c r="F813" s="836" t="n"/>
      <c r="G813" s="837" t="n"/>
      <c r="H813" s="836" t="n"/>
      <c r="I813" s="837" t="n"/>
      <c r="J813" s="1345" t="n"/>
      <c r="K813" s="1345" t="n"/>
      <c r="L813" s="1345" t="n"/>
      <c r="M813" s="1345" t="n"/>
      <c r="N813" s="1345" t="n"/>
    </row>
    <row r="814">
      <c r="A814" s="834" t="n"/>
      <c r="B814" s="835" t="n"/>
      <c r="C814" s="836" t="n"/>
      <c r="D814" s="836" t="n"/>
      <c r="E814" s="836" t="n"/>
      <c r="F814" s="836" t="n"/>
      <c r="G814" s="837" t="n"/>
      <c r="H814" s="836" t="n"/>
      <c r="I814" s="837" t="n"/>
      <c r="J814" s="1345" t="n"/>
      <c r="K814" s="1345" t="n"/>
      <c r="L814" s="1345" t="n"/>
      <c r="M814" s="1345" t="n"/>
      <c r="N814" s="1345" t="n"/>
    </row>
    <row r="815">
      <c r="A815" s="834" t="n"/>
      <c r="B815" s="835" t="n"/>
      <c r="C815" s="836" t="n"/>
      <c r="D815" s="836" t="n"/>
      <c r="E815" s="836" t="n"/>
      <c r="F815" s="836" t="n"/>
      <c r="G815" s="837" t="n"/>
      <c r="H815" s="836" t="n"/>
      <c r="I815" s="837" t="n"/>
      <c r="J815" s="1345" t="n"/>
      <c r="K815" s="1345" t="n"/>
      <c r="L815" s="1345" t="n"/>
      <c r="M815" s="1345" t="n"/>
      <c r="N815" s="1345" t="n"/>
    </row>
    <row r="816">
      <c r="A816" s="834" t="n"/>
      <c r="B816" s="835" t="n"/>
      <c r="C816" s="836" t="n"/>
      <c r="D816" s="836" t="n"/>
      <c r="E816" s="836" t="n"/>
      <c r="F816" s="836" t="n"/>
      <c r="G816" s="837" t="n"/>
      <c r="H816" s="836" t="n"/>
      <c r="I816" s="837" t="n"/>
      <c r="J816" s="1345" t="n"/>
      <c r="K816" s="1345" t="n"/>
      <c r="L816" s="1345" t="n"/>
      <c r="M816" s="1345" t="n"/>
      <c r="N816" s="1345" t="n"/>
    </row>
    <row r="817">
      <c r="A817" s="834" t="n"/>
      <c r="B817" s="835" t="n"/>
      <c r="C817" s="836" t="n"/>
      <c r="D817" s="836" t="n"/>
      <c r="E817" s="836" t="n"/>
      <c r="F817" s="836" t="n"/>
      <c r="G817" s="837" t="n"/>
      <c r="H817" s="836" t="n"/>
      <c r="I817" s="837" t="n"/>
      <c r="J817" s="1345" t="n"/>
      <c r="K817" s="1345" t="n"/>
      <c r="L817" s="1345" t="n"/>
      <c r="M817" s="1345" t="n"/>
      <c r="N817" s="1345" t="n"/>
    </row>
    <row r="818">
      <c r="A818" s="834" t="n"/>
      <c r="B818" s="835" t="n"/>
      <c r="C818" s="836" t="n"/>
      <c r="D818" s="836" t="n"/>
      <c r="E818" s="836" t="n"/>
      <c r="F818" s="836" t="n"/>
      <c r="G818" s="837" t="n"/>
      <c r="H818" s="836" t="n"/>
      <c r="I818" s="837" t="n"/>
      <c r="J818" s="1345" t="n"/>
      <c r="K818" s="1345" t="n"/>
      <c r="L818" s="1345" t="n"/>
      <c r="M818" s="1345" t="n"/>
      <c r="N818" s="1345" t="n"/>
    </row>
    <row r="819">
      <c r="A819" s="834" t="n"/>
      <c r="B819" s="835" t="n"/>
      <c r="C819" s="836" t="n"/>
      <c r="D819" s="836" t="n"/>
      <c r="E819" s="836" t="n"/>
      <c r="F819" s="836" t="n"/>
      <c r="G819" s="837" t="n"/>
      <c r="H819" s="836" t="n"/>
      <c r="I819" s="837" t="n"/>
      <c r="J819" s="1345" t="n"/>
      <c r="K819" s="1345" t="n"/>
      <c r="L819" s="1345" t="n"/>
      <c r="M819" s="1345" t="n"/>
      <c r="N819" s="1345" t="n"/>
    </row>
    <row r="820">
      <c r="A820" s="834" t="n"/>
      <c r="B820" s="835" t="n"/>
      <c r="C820" s="836" t="n"/>
      <c r="D820" s="836" t="n"/>
      <c r="E820" s="836" t="n"/>
      <c r="F820" s="836" t="n"/>
      <c r="G820" s="837" t="n"/>
      <c r="H820" s="836" t="n"/>
      <c r="I820" s="837" t="n"/>
      <c r="J820" s="1345" t="n"/>
      <c r="K820" s="1345" t="n"/>
      <c r="L820" s="1345" t="n"/>
      <c r="M820" s="1345" t="n"/>
      <c r="N820" s="1345" t="n"/>
    </row>
    <row r="821">
      <c r="A821" s="834" t="n"/>
      <c r="B821" s="835" t="n"/>
      <c r="C821" s="836" t="n"/>
      <c r="D821" s="836" t="n"/>
      <c r="E821" s="836" t="n"/>
      <c r="F821" s="836" t="n"/>
      <c r="G821" s="837" t="n"/>
      <c r="H821" s="836" t="n"/>
      <c r="I821" s="837" t="n"/>
      <c r="J821" s="1345" t="n"/>
      <c r="K821" s="1345" t="n"/>
      <c r="L821" s="1345" t="n"/>
      <c r="M821" s="1345" t="n"/>
      <c r="N821" s="1345" t="n"/>
    </row>
    <row r="822">
      <c r="A822" s="834" t="n"/>
      <c r="B822" s="835" t="n"/>
      <c r="C822" s="836" t="n"/>
      <c r="D822" s="836" t="n"/>
      <c r="E822" s="836" t="n"/>
      <c r="F822" s="836" t="n"/>
      <c r="G822" s="837" t="n"/>
      <c r="H822" s="836" t="n"/>
      <c r="I822" s="837" t="n"/>
      <c r="J822" s="1345" t="n"/>
      <c r="K822" s="1345" t="n"/>
      <c r="L822" s="1345" t="n"/>
      <c r="M822" s="1345" t="n"/>
      <c r="N822" s="1345" t="n"/>
    </row>
    <row r="823">
      <c r="A823" s="834" t="n"/>
      <c r="B823" s="835" t="n"/>
      <c r="C823" s="836" t="n"/>
      <c r="D823" s="836" t="n"/>
      <c r="E823" s="836" t="n"/>
      <c r="F823" s="836" t="n"/>
      <c r="G823" s="837" t="n"/>
      <c r="H823" s="836" t="n"/>
      <c r="I823" s="837" t="n"/>
      <c r="J823" s="1345" t="n"/>
      <c r="K823" s="1345" t="n"/>
      <c r="L823" s="1345" t="n"/>
      <c r="M823" s="1345" t="n"/>
      <c r="N823" s="1345" t="n"/>
    </row>
    <row r="824">
      <c r="A824" s="834" t="n"/>
      <c r="B824" s="835" t="n"/>
      <c r="C824" s="836" t="n"/>
      <c r="D824" s="836" t="n"/>
      <c r="E824" s="836" t="n"/>
      <c r="F824" s="836" t="n"/>
      <c r="G824" s="837" t="n"/>
      <c r="H824" s="836" t="n"/>
      <c r="I824" s="837" t="n"/>
      <c r="J824" s="1345" t="n"/>
      <c r="K824" s="1345" t="n"/>
      <c r="L824" s="1345" t="n"/>
      <c r="M824" s="1345" t="n"/>
      <c r="N824" s="1345" t="n"/>
    </row>
    <row r="825">
      <c r="A825" s="834" t="n"/>
      <c r="B825" s="835" t="n"/>
      <c r="C825" s="836" t="n"/>
      <c r="D825" s="836" t="n"/>
      <c r="E825" s="836" t="n"/>
      <c r="F825" s="836" t="n"/>
      <c r="G825" s="837" t="n"/>
      <c r="H825" s="836" t="n"/>
      <c r="I825" s="837" t="n"/>
      <c r="J825" s="1345" t="n"/>
      <c r="K825" s="1345" t="n"/>
      <c r="L825" s="1345" t="n"/>
      <c r="M825" s="1345" t="n"/>
      <c r="N825" s="1345" t="n"/>
    </row>
    <row r="826">
      <c r="A826" s="834" t="n"/>
      <c r="B826" s="835" t="n"/>
      <c r="C826" s="836" t="n"/>
      <c r="D826" s="836" t="n"/>
      <c r="E826" s="836" t="n"/>
      <c r="F826" s="836" t="n"/>
      <c r="G826" s="837" t="n"/>
      <c r="H826" s="836" t="n"/>
      <c r="I826" s="837" t="n"/>
      <c r="J826" s="1345" t="n"/>
      <c r="K826" s="1345" t="n"/>
      <c r="L826" s="1345" t="n"/>
      <c r="M826" s="1345" t="n"/>
      <c r="N826" s="1345" t="n"/>
    </row>
    <row r="827">
      <c r="A827" s="834" t="n"/>
      <c r="B827" s="835" t="n"/>
      <c r="C827" s="836" t="n"/>
      <c r="D827" s="836" t="n"/>
      <c r="E827" s="836" t="n"/>
      <c r="F827" s="836" t="n"/>
      <c r="G827" s="837" t="n"/>
      <c r="H827" s="836" t="n"/>
      <c r="I827" s="837" t="n"/>
      <c r="J827" s="1345" t="n"/>
      <c r="K827" s="1345" t="n"/>
      <c r="L827" s="1345" t="n"/>
      <c r="M827" s="1345" t="n"/>
      <c r="N827" s="1345" t="n"/>
    </row>
    <row r="828">
      <c r="A828" s="834" t="n"/>
      <c r="B828" s="835" t="n"/>
      <c r="C828" s="836" t="n"/>
      <c r="D828" s="836" t="n"/>
      <c r="E828" s="836" t="n"/>
      <c r="F828" s="836" t="n"/>
      <c r="G828" s="837" t="n"/>
      <c r="H828" s="836" t="n"/>
      <c r="I828" s="837" t="n"/>
      <c r="J828" s="1345" t="n"/>
      <c r="K828" s="1345" t="n"/>
      <c r="L828" s="1345" t="n"/>
      <c r="M828" s="1345" t="n"/>
      <c r="N828" s="1345" t="n"/>
    </row>
    <row r="829">
      <c r="A829" s="834" t="n"/>
      <c r="B829" s="835" t="n"/>
      <c r="C829" s="836" t="n"/>
      <c r="D829" s="836" t="n"/>
      <c r="E829" s="836" t="n"/>
      <c r="F829" s="836" t="n"/>
      <c r="G829" s="837" t="n"/>
      <c r="H829" s="836" t="n"/>
      <c r="I829" s="837" t="n"/>
      <c r="J829" s="1345" t="n"/>
      <c r="K829" s="1345" t="n"/>
      <c r="L829" s="1345" t="n"/>
      <c r="M829" s="1345" t="n"/>
      <c r="N829" s="1345" t="n"/>
    </row>
    <row r="830">
      <c r="A830" s="834" t="n"/>
      <c r="B830" s="835" t="n"/>
      <c r="C830" s="836" t="n"/>
      <c r="D830" s="836" t="n"/>
      <c r="E830" s="836" t="n"/>
      <c r="F830" s="836" t="n"/>
      <c r="G830" s="837" t="n"/>
      <c r="H830" s="836" t="n"/>
      <c r="I830" s="837" t="n"/>
      <c r="J830" s="1345" t="n"/>
      <c r="K830" s="1345" t="n"/>
      <c r="L830" s="1345" t="n"/>
      <c r="M830" s="1345" t="n"/>
      <c r="N830" s="1345" t="n"/>
    </row>
    <row r="831">
      <c r="A831" s="834" t="n"/>
      <c r="B831" s="835" t="n"/>
      <c r="C831" s="836" t="n"/>
      <c r="D831" s="836" t="n"/>
      <c r="E831" s="836" t="n"/>
      <c r="F831" s="836" t="n"/>
      <c r="G831" s="837" t="n"/>
      <c r="H831" s="836" t="n"/>
      <c r="I831" s="837" t="n"/>
      <c r="J831" s="1345" t="n"/>
      <c r="K831" s="1345" t="n"/>
      <c r="L831" s="1345" t="n"/>
      <c r="M831" s="1345" t="n"/>
      <c r="N831" s="1345" t="n"/>
    </row>
    <row r="832">
      <c r="A832" s="834" t="n"/>
      <c r="B832" s="835" t="n"/>
      <c r="C832" s="836" t="n"/>
      <c r="D832" s="836" t="n"/>
      <c r="E832" s="836" t="n"/>
      <c r="F832" s="836" t="n"/>
      <c r="G832" s="837" t="n"/>
      <c r="H832" s="836" t="n"/>
      <c r="I832" s="837" t="n"/>
      <c r="J832" s="1345" t="n"/>
      <c r="K832" s="1345" t="n"/>
      <c r="L832" s="1345" t="n"/>
      <c r="M832" s="1345" t="n"/>
      <c r="N832" s="1345" t="n"/>
    </row>
    <row r="833">
      <c r="A833" s="834" t="n"/>
      <c r="B833" s="835" t="n"/>
      <c r="C833" s="836" t="n"/>
      <c r="D833" s="836" t="n"/>
      <c r="E833" s="836" t="n"/>
      <c r="F833" s="836" t="n"/>
      <c r="G833" s="837" t="n"/>
      <c r="H833" s="836" t="n"/>
      <c r="I833" s="837" t="n"/>
      <c r="J833" s="1345" t="n"/>
      <c r="K833" s="1345" t="n"/>
      <c r="L833" s="1345" t="n"/>
      <c r="M833" s="1345" t="n"/>
      <c r="N833" s="1345" t="n"/>
    </row>
    <row r="834">
      <c r="A834" s="834" t="n"/>
      <c r="B834" s="835" t="n"/>
      <c r="C834" s="836" t="n"/>
      <c r="D834" s="836" t="n"/>
      <c r="E834" s="836" t="n"/>
      <c r="F834" s="836" t="n"/>
      <c r="G834" s="837" t="n"/>
      <c r="H834" s="836" t="n"/>
      <c r="I834" s="837" t="n"/>
      <c r="J834" s="1345" t="n"/>
      <c r="K834" s="1345" t="n"/>
      <c r="L834" s="1345" t="n"/>
      <c r="M834" s="1345" t="n"/>
      <c r="N834" s="1345" t="n"/>
    </row>
    <row r="835">
      <c r="A835" s="834" t="n"/>
      <c r="B835" s="835" t="n"/>
      <c r="C835" s="836" t="n"/>
      <c r="D835" s="836" t="n"/>
      <c r="E835" s="836" t="n"/>
      <c r="F835" s="836" t="n"/>
      <c r="G835" s="837" t="n"/>
      <c r="H835" s="836" t="n"/>
      <c r="I835" s="837" t="n"/>
      <c r="J835" s="1345" t="n"/>
      <c r="K835" s="1345" t="n"/>
      <c r="L835" s="1345" t="n"/>
      <c r="M835" s="1345" t="n"/>
      <c r="N835" s="1345" t="n"/>
    </row>
    <row r="836">
      <c r="A836" s="834" t="n"/>
      <c r="B836" s="835" t="n"/>
      <c r="C836" s="836" t="n"/>
      <c r="D836" s="836" t="n"/>
      <c r="E836" s="836" t="n"/>
      <c r="F836" s="836" t="n"/>
      <c r="G836" s="837" t="n"/>
      <c r="H836" s="836" t="n"/>
      <c r="I836" s="837" t="n"/>
      <c r="J836" s="1345" t="n"/>
      <c r="K836" s="1345" t="n"/>
      <c r="L836" s="1345" t="n"/>
      <c r="M836" s="1345" t="n"/>
      <c r="N836" s="1345" t="n"/>
    </row>
    <row r="837">
      <c r="A837" s="834" t="n"/>
      <c r="B837" s="835" t="n"/>
      <c r="C837" s="836" t="n"/>
      <c r="D837" s="836" t="n"/>
      <c r="E837" s="836" t="n"/>
      <c r="F837" s="836" t="n"/>
      <c r="G837" s="837" t="n"/>
      <c r="H837" s="836" t="n"/>
      <c r="I837" s="837" t="n"/>
      <c r="J837" s="1345" t="n"/>
      <c r="K837" s="1345" t="n"/>
      <c r="L837" s="1345" t="n"/>
      <c r="M837" s="1345" t="n"/>
      <c r="N837" s="1345" t="n"/>
    </row>
    <row r="838">
      <c r="A838" s="834" t="n"/>
      <c r="B838" s="835" t="n"/>
      <c r="C838" s="836" t="n"/>
      <c r="D838" s="836" t="n"/>
      <c r="E838" s="836" t="n"/>
      <c r="F838" s="836" t="n"/>
      <c r="G838" s="837" t="n"/>
      <c r="H838" s="836" t="n"/>
      <c r="I838" s="837" t="n"/>
      <c r="J838" s="1345" t="n"/>
      <c r="K838" s="1345" t="n"/>
      <c r="L838" s="1345" t="n"/>
      <c r="M838" s="1345" t="n"/>
      <c r="N838" s="1345" t="n"/>
    </row>
    <row r="839">
      <c r="A839" s="834" t="n"/>
      <c r="B839" s="835" t="n"/>
      <c r="C839" s="836" t="n"/>
      <c r="D839" s="836" t="n"/>
      <c r="E839" s="836" t="n"/>
      <c r="F839" s="836" t="n"/>
      <c r="G839" s="837" t="n"/>
      <c r="H839" s="836" t="n"/>
      <c r="I839" s="837" t="n"/>
      <c r="J839" s="1345" t="n"/>
      <c r="K839" s="1345" t="n"/>
      <c r="L839" s="1345" t="n"/>
      <c r="M839" s="1345" t="n"/>
      <c r="N839" s="1345" t="n"/>
    </row>
    <row r="840">
      <c r="A840" s="834" t="n"/>
      <c r="B840" s="835" t="n"/>
      <c r="C840" s="836" t="n"/>
      <c r="D840" s="836" t="n"/>
      <c r="E840" s="836" t="n"/>
      <c r="F840" s="836" t="n"/>
      <c r="G840" s="837" t="n"/>
      <c r="H840" s="836" t="n"/>
      <c r="I840" s="837" t="n"/>
      <c r="J840" s="1345" t="n"/>
      <c r="K840" s="1345" t="n"/>
      <c r="L840" s="1345" t="n"/>
      <c r="M840" s="1345" t="n"/>
      <c r="N840" s="1345" t="n"/>
    </row>
    <row r="841">
      <c r="A841" s="834" t="n"/>
      <c r="B841" s="835" t="n"/>
      <c r="C841" s="836" t="n"/>
      <c r="D841" s="836" t="n"/>
      <c r="E841" s="836" t="n"/>
      <c r="F841" s="836" t="n"/>
      <c r="G841" s="837" t="n"/>
      <c r="H841" s="836" t="n"/>
      <c r="I841" s="837" t="n"/>
      <c r="J841" s="1345" t="n"/>
      <c r="K841" s="1345" t="n"/>
      <c r="L841" s="1345" t="n"/>
      <c r="M841" s="1345" t="n"/>
      <c r="N841" s="1345" t="n"/>
    </row>
    <row r="842">
      <c r="A842" s="834" t="n"/>
      <c r="B842" s="835" t="n"/>
      <c r="C842" s="836" t="n"/>
      <c r="D842" s="836" t="n"/>
      <c r="E842" s="836" t="n"/>
      <c r="F842" s="836" t="n"/>
      <c r="G842" s="837" t="n"/>
      <c r="H842" s="836" t="n"/>
      <c r="I842" s="837" t="n"/>
      <c r="J842" s="1345" t="n"/>
      <c r="K842" s="1345" t="n"/>
      <c r="L842" s="1345" t="n"/>
      <c r="M842" s="1345" t="n"/>
      <c r="N842" s="1345" t="n"/>
    </row>
    <row r="843">
      <c r="A843" s="834" t="n"/>
      <c r="B843" s="835" t="n"/>
      <c r="C843" s="836" t="n"/>
      <c r="D843" s="836" t="n"/>
      <c r="E843" s="836" t="n"/>
      <c r="F843" s="836" t="n"/>
      <c r="G843" s="837" t="n"/>
      <c r="H843" s="836" t="n"/>
      <c r="I843" s="837" t="n"/>
      <c r="J843" s="1345" t="n"/>
      <c r="K843" s="1345" t="n"/>
      <c r="L843" s="1345" t="n"/>
      <c r="M843" s="1345" t="n"/>
      <c r="N843" s="1345" t="n"/>
    </row>
    <row r="844">
      <c r="A844" s="834" t="n"/>
      <c r="B844" s="835" t="n"/>
      <c r="C844" s="836" t="n"/>
      <c r="D844" s="836" t="n"/>
      <c r="E844" s="836" t="n"/>
      <c r="F844" s="836" t="n"/>
      <c r="G844" s="837" t="n"/>
      <c r="H844" s="836" t="n"/>
      <c r="I844" s="837" t="n"/>
      <c r="J844" s="1345" t="n"/>
      <c r="K844" s="1345" t="n"/>
      <c r="L844" s="1345" t="n"/>
      <c r="M844" s="1345" t="n"/>
      <c r="N844" s="1345" t="n"/>
    </row>
    <row r="845">
      <c r="A845" s="834" t="n"/>
      <c r="B845" s="835" t="n"/>
      <c r="C845" s="836" t="n"/>
      <c r="D845" s="836" t="n"/>
      <c r="E845" s="836" t="n"/>
      <c r="F845" s="836" t="n"/>
      <c r="G845" s="837" t="n"/>
      <c r="H845" s="836" t="n"/>
      <c r="I845" s="837" t="n"/>
      <c r="J845" s="1345" t="n"/>
      <c r="K845" s="1345" t="n"/>
      <c r="L845" s="1345" t="n"/>
      <c r="M845" s="1345" t="n"/>
      <c r="N845" s="1345" t="n"/>
    </row>
    <row r="846">
      <c r="A846" s="834" t="n"/>
      <c r="B846" s="835" t="n"/>
      <c r="C846" s="836" t="n"/>
      <c r="D846" s="836" t="n"/>
      <c r="E846" s="836" t="n"/>
      <c r="F846" s="836" t="n"/>
      <c r="G846" s="837" t="n"/>
      <c r="H846" s="836" t="n"/>
      <c r="I846" s="837" t="n"/>
      <c r="J846" s="1345" t="n"/>
      <c r="K846" s="1345" t="n"/>
      <c r="L846" s="1345" t="n"/>
      <c r="M846" s="1345" t="n"/>
      <c r="N846" s="1345" t="n"/>
    </row>
    <row r="847">
      <c r="A847" s="834" t="n"/>
      <c r="B847" s="835" t="n"/>
      <c r="C847" s="836" t="n"/>
      <c r="D847" s="836" t="n"/>
      <c r="E847" s="836" t="n"/>
      <c r="F847" s="836" t="n"/>
      <c r="G847" s="837" t="n"/>
      <c r="H847" s="836" t="n"/>
      <c r="I847" s="837" t="n"/>
      <c r="J847" s="1345" t="n"/>
      <c r="K847" s="1345" t="n"/>
      <c r="L847" s="1345" t="n"/>
      <c r="M847" s="1345" t="n"/>
      <c r="N847" s="1345" t="n"/>
    </row>
    <row r="848">
      <c r="A848" s="834" t="n"/>
      <c r="B848" s="835" t="n"/>
      <c r="C848" s="836" t="n"/>
      <c r="D848" s="836" t="n"/>
      <c r="E848" s="836" t="n"/>
      <c r="F848" s="836" t="n"/>
      <c r="G848" s="837" t="n"/>
      <c r="H848" s="836" t="n"/>
      <c r="I848" s="837" t="n"/>
      <c r="J848" s="1345" t="n"/>
      <c r="K848" s="1345" t="n"/>
      <c r="L848" s="1345" t="n"/>
      <c r="M848" s="1345" t="n"/>
      <c r="N848" s="1345" t="n"/>
    </row>
    <row r="849">
      <c r="A849" s="834" t="n"/>
      <c r="B849" s="835" t="n"/>
      <c r="C849" s="836" t="n"/>
      <c r="D849" s="836" t="n"/>
      <c r="E849" s="836" t="n"/>
      <c r="F849" s="836" t="n"/>
      <c r="G849" s="837" t="n"/>
      <c r="H849" s="836" t="n"/>
      <c r="I849" s="837" t="n"/>
      <c r="J849" s="1345" t="n"/>
      <c r="K849" s="1345" t="n"/>
      <c r="L849" s="1345" t="n"/>
      <c r="M849" s="1345" t="n"/>
      <c r="N849" s="1345" t="n"/>
    </row>
    <row r="850">
      <c r="A850" s="834" t="n"/>
      <c r="B850" s="835" t="n"/>
      <c r="C850" s="836" t="n"/>
      <c r="D850" s="836" t="n"/>
      <c r="E850" s="836" t="n"/>
      <c r="F850" s="836" t="n"/>
      <c r="G850" s="837" t="n"/>
      <c r="H850" s="836" t="n"/>
      <c r="I850" s="837" t="n"/>
      <c r="J850" s="1345" t="n"/>
      <c r="K850" s="1345" t="n"/>
      <c r="L850" s="1345" t="n"/>
      <c r="M850" s="1345" t="n"/>
      <c r="N850" s="1345" t="n"/>
    </row>
    <row r="851">
      <c r="A851" s="834" t="n"/>
      <c r="B851" s="835" t="n"/>
      <c r="C851" s="836" t="n"/>
      <c r="D851" s="836" t="n"/>
      <c r="E851" s="836" t="n"/>
      <c r="F851" s="836" t="n"/>
      <c r="G851" s="837" t="n"/>
      <c r="H851" s="836" t="n"/>
      <c r="I851" s="837" t="n"/>
      <c r="J851" s="1345" t="n"/>
      <c r="K851" s="1345" t="n"/>
      <c r="L851" s="1345" t="n"/>
      <c r="M851" s="1345" t="n"/>
      <c r="N851" s="1345" t="n"/>
    </row>
    <row r="852">
      <c r="A852" s="834" t="n"/>
      <c r="B852" s="835" t="n"/>
      <c r="C852" s="836" t="n"/>
      <c r="D852" s="836" t="n"/>
      <c r="E852" s="836" t="n"/>
      <c r="F852" s="836" t="n"/>
      <c r="G852" s="837" t="n"/>
      <c r="H852" s="836" t="n"/>
      <c r="I852" s="837" t="n"/>
      <c r="J852" s="1345" t="n"/>
      <c r="K852" s="1345" t="n"/>
      <c r="L852" s="1345" t="n"/>
      <c r="M852" s="1345" t="n"/>
      <c r="N852" s="1345" t="n"/>
    </row>
    <row r="853">
      <c r="A853" s="834" t="n"/>
      <c r="B853" s="835" t="n"/>
      <c r="C853" s="836" t="n"/>
      <c r="D853" s="836" t="n"/>
      <c r="E853" s="836" t="n"/>
      <c r="F853" s="836" t="n"/>
      <c r="G853" s="837" t="n"/>
      <c r="H853" s="836" t="n"/>
      <c r="I853" s="837" t="n"/>
      <c r="J853" s="1345" t="n"/>
      <c r="K853" s="1345" t="n"/>
      <c r="L853" s="1345" t="n"/>
      <c r="M853" s="1345" t="n"/>
      <c r="N853" s="1345" t="n"/>
    </row>
    <row r="854">
      <c r="A854" s="834" t="n"/>
      <c r="B854" s="835" t="n"/>
      <c r="C854" s="836" t="n"/>
      <c r="D854" s="836" t="n"/>
      <c r="E854" s="836" t="n"/>
      <c r="F854" s="836" t="n"/>
      <c r="G854" s="837" t="n"/>
      <c r="H854" s="836" t="n"/>
      <c r="I854" s="837" t="n"/>
      <c r="J854" s="1345" t="n"/>
      <c r="K854" s="1345" t="n"/>
      <c r="L854" s="1345" t="n"/>
      <c r="M854" s="1345" t="n"/>
      <c r="N854" s="1345" t="n"/>
    </row>
    <row r="855">
      <c r="A855" s="834" t="n"/>
      <c r="B855" s="835" t="n"/>
      <c r="C855" s="836" t="n"/>
      <c r="D855" s="836" t="n"/>
      <c r="E855" s="836" t="n"/>
      <c r="F855" s="836" t="n"/>
      <c r="G855" s="837" t="n"/>
      <c r="H855" s="836" t="n"/>
      <c r="I855" s="837" t="n"/>
      <c r="J855" s="1345" t="n"/>
      <c r="K855" s="1345" t="n"/>
      <c r="L855" s="1345" t="n"/>
      <c r="M855" s="1345" t="n"/>
      <c r="N855" s="1345" t="n"/>
    </row>
    <row r="856">
      <c r="A856" s="834" t="n"/>
      <c r="B856" s="835" t="n"/>
      <c r="C856" s="836" t="n"/>
      <c r="D856" s="836" t="n"/>
      <c r="E856" s="836" t="n"/>
      <c r="F856" s="836" t="n"/>
      <c r="G856" s="837" t="n"/>
      <c r="H856" s="836" t="n"/>
      <c r="I856" s="837" t="n"/>
      <c r="J856" s="1345" t="n"/>
      <c r="K856" s="1345" t="n"/>
      <c r="L856" s="1345" t="n"/>
      <c r="M856" s="1345" t="n"/>
      <c r="N856" s="1345" t="n"/>
    </row>
    <row r="857">
      <c r="A857" s="834" t="n"/>
      <c r="B857" s="835" t="n"/>
      <c r="C857" s="836" t="n"/>
      <c r="D857" s="836" t="n"/>
      <c r="E857" s="836" t="n"/>
      <c r="F857" s="836" t="n"/>
      <c r="G857" s="837" t="n"/>
      <c r="H857" s="836" t="n"/>
      <c r="I857" s="837" t="n"/>
      <c r="J857" s="1345" t="n"/>
      <c r="K857" s="1345" t="n"/>
      <c r="L857" s="1345" t="n"/>
      <c r="M857" s="1345" t="n"/>
      <c r="N857" s="1345" t="n"/>
    </row>
    <row r="858">
      <c r="A858" s="834" t="n"/>
      <c r="B858" s="835" t="n"/>
      <c r="C858" s="836" t="n"/>
      <c r="D858" s="836" t="n"/>
      <c r="E858" s="836" t="n"/>
      <c r="F858" s="836" t="n"/>
      <c r="G858" s="837" t="n"/>
      <c r="H858" s="836" t="n"/>
      <c r="I858" s="837" t="n"/>
      <c r="J858" s="1345" t="n"/>
      <c r="K858" s="1345" t="n"/>
      <c r="L858" s="1345" t="n"/>
      <c r="M858" s="1345" t="n"/>
      <c r="N858" s="1345" t="n"/>
    </row>
    <row r="859">
      <c r="A859" s="834" t="n"/>
      <c r="B859" s="835" t="n"/>
      <c r="C859" s="836" t="n"/>
      <c r="D859" s="836" t="n"/>
      <c r="E859" s="836" t="n"/>
      <c r="F859" s="836" t="n"/>
      <c r="G859" s="837" t="n"/>
      <c r="H859" s="836" t="n"/>
      <c r="I859" s="837" t="n"/>
      <c r="J859" s="1345" t="n"/>
      <c r="K859" s="1345" t="n"/>
      <c r="L859" s="1345" t="n"/>
      <c r="M859" s="1345" t="n"/>
      <c r="N859" s="1345" t="n"/>
    </row>
    <row r="860">
      <c r="A860" s="834" t="n"/>
      <c r="B860" s="835" t="n"/>
      <c r="C860" s="836" t="n"/>
      <c r="D860" s="836" t="n"/>
      <c r="E860" s="836" t="n"/>
      <c r="F860" s="836" t="n"/>
      <c r="G860" s="837" t="n"/>
      <c r="H860" s="836" t="n"/>
      <c r="I860" s="837" t="n"/>
      <c r="J860" s="1345" t="n"/>
      <c r="K860" s="1345" t="n"/>
      <c r="L860" s="1345" t="n"/>
      <c r="M860" s="1345" t="n"/>
      <c r="N860" s="1345" t="n"/>
    </row>
    <row r="861">
      <c r="A861" s="834" t="n"/>
      <c r="B861" s="835" t="n"/>
      <c r="C861" s="836" t="n"/>
      <c r="D861" s="836" t="n"/>
      <c r="E861" s="836" t="n"/>
      <c r="F861" s="836" t="n"/>
      <c r="G861" s="837" t="n"/>
      <c r="H861" s="836" t="n"/>
      <c r="I861" s="837" t="n"/>
      <c r="J861" s="1345" t="n"/>
      <c r="K861" s="1345" t="n"/>
      <c r="L861" s="1345" t="n"/>
      <c r="M861" s="1345" t="n"/>
      <c r="N861" s="1345" t="n"/>
    </row>
    <row r="862">
      <c r="A862" s="834" t="n"/>
      <c r="B862" s="835" t="n"/>
      <c r="C862" s="836" t="n"/>
      <c r="D862" s="836" t="n"/>
      <c r="E862" s="836" t="n"/>
      <c r="F862" s="836" t="n"/>
      <c r="G862" s="837" t="n"/>
      <c r="H862" s="836" t="n"/>
      <c r="I862" s="837" t="n"/>
      <c r="J862" s="1345" t="n"/>
      <c r="K862" s="1345" t="n"/>
      <c r="L862" s="1345" t="n"/>
      <c r="M862" s="1345" t="n"/>
      <c r="N862" s="1345" t="n"/>
    </row>
    <row r="863">
      <c r="A863" s="834" t="n"/>
      <c r="B863" s="835" t="n"/>
      <c r="C863" s="836" t="n"/>
      <c r="D863" s="836" t="n"/>
      <c r="E863" s="836" t="n"/>
      <c r="F863" s="836" t="n"/>
      <c r="G863" s="837" t="n"/>
      <c r="H863" s="836" t="n"/>
      <c r="I863" s="837" t="n"/>
      <c r="J863" s="1345" t="n"/>
      <c r="K863" s="1345" t="n"/>
      <c r="L863" s="1345" t="n"/>
      <c r="M863" s="1345" t="n"/>
      <c r="N863" s="1345" t="n"/>
    </row>
    <row r="864">
      <c r="A864" s="834" t="n"/>
      <c r="B864" s="835" t="n"/>
      <c r="C864" s="836" t="n"/>
      <c r="D864" s="836" t="n"/>
      <c r="E864" s="836" t="n"/>
      <c r="F864" s="836" t="n"/>
      <c r="G864" s="837" t="n"/>
      <c r="H864" s="836" t="n"/>
      <c r="I864" s="837" t="n"/>
      <c r="J864" s="1345" t="n"/>
      <c r="K864" s="1345" t="n"/>
      <c r="L864" s="1345" t="n"/>
      <c r="M864" s="1345" t="n"/>
      <c r="N864" s="1345" t="n"/>
    </row>
    <row r="865">
      <c r="A865" s="834" t="n"/>
      <c r="B865" s="835" t="n"/>
      <c r="C865" s="836" t="n"/>
      <c r="D865" s="836" t="n"/>
      <c r="E865" s="836" t="n"/>
      <c r="F865" s="836" t="n"/>
      <c r="G865" s="837" t="n"/>
      <c r="H865" s="836" t="n"/>
      <c r="I865" s="837" t="n"/>
      <c r="J865" s="1345" t="n"/>
      <c r="K865" s="1345" t="n"/>
      <c r="L865" s="1345" t="n"/>
      <c r="M865" s="1345" t="n"/>
      <c r="N865" s="1345" t="n"/>
    </row>
    <row r="866">
      <c r="A866" s="834" t="n"/>
      <c r="B866" s="835" t="n"/>
      <c r="C866" s="836" t="n"/>
      <c r="D866" s="836" t="n"/>
      <c r="E866" s="836" t="n"/>
      <c r="F866" s="836" t="n"/>
      <c r="G866" s="837" t="n"/>
      <c r="H866" s="836" t="n"/>
      <c r="I866" s="837" t="n"/>
      <c r="J866" s="1345" t="n"/>
      <c r="K866" s="1345" t="n"/>
      <c r="L866" s="1345" t="n"/>
      <c r="M866" s="1345" t="n"/>
      <c r="N866" s="1345" t="n"/>
    </row>
    <row r="867">
      <c r="A867" s="834" t="n"/>
      <c r="B867" s="835" t="n"/>
      <c r="C867" s="836" t="n"/>
      <c r="D867" s="836" t="n"/>
      <c r="E867" s="836" t="n"/>
      <c r="F867" s="836" t="n"/>
      <c r="G867" s="837" t="n"/>
      <c r="H867" s="836" t="n"/>
      <c r="I867" s="837" t="n"/>
      <c r="J867" s="1345" t="n"/>
      <c r="K867" s="1345" t="n"/>
      <c r="L867" s="1345" t="n"/>
      <c r="M867" s="1345" t="n"/>
      <c r="N867" s="1345" t="n"/>
    </row>
    <row r="868">
      <c r="A868" s="834" t="n"/>
      <c r="B868" s="835" t="n"/>
      <c r="C868" s="836" t="n"/>
      <c r="D868" s="836" t="n"/>
      <c r="E868" s="836" t="n"/>
      <c r="F868" s="836" t="n"/>
      <c r="G868" s="837" t="n"/>
      <c r="H868" s="836" t="n"/>
      <c r="I868" s="837" t="n"/>
      <c r="J868" s="1345" t="n"/>
      <c r="K868" s="1345" t="n"/>
      <c r="L868" s="1345" t="n"/>
      <c r="M868" s="1345" t="n"/>
      <c r="N868" s="1345" t="n"/>
    </row>
    <row r="869">
      <c r="A869" s="834" t="n"/>
      <c r="B869" s="835" t="n"/>
      <c r="C869" s="836" t="n"/>
      <c r="D869" s="836" t="n"/>
      <c r="E869" s="836" t="n"/>
      <c r="F869" s="836" t="n"/>
      <c r="G869" s="837" t="n"/>
      <c r="H869" s="836" t="n"/>
      <c r="I869" s="837" t="n"/>
      <c r="J869" s="1345" t="n"/>
      <c r="K869" s="1345" t="n"/>
      <c r="L869" s="1345" t="n"/>
      <c r="M869" s="1345" t="n"/>
      <c r="N869" s="1345" t="n"/>
    </row>
    <row r="870">
      <c r="A870" s="834" t="n"/>
      <c r="B870" s="835" t="n"/>
      <c r="C870" s="836" t="n"/>
      <c r="D870" s="836" t="n"/>
      <c r="E870" s="836" t="n"/>
      <c r="F870" s="836" t="n"/>
      <c r="G870" s="837" t="n"/>
      <c r="H870" s="836" t="n"/>
      <c r="I870" s="837" t="n"/>
      <c r="J870" s="1345" t="n"/>
      <c r="K870" s="1345" t="n"/>
      <c r="L870" s="1345" t="n"/>
      <c r="M870" s="1345" t="n"/>
      <c r="N870" s="1345" t="n"/>
    </row>
    <row r="871">
      <c r="A871" s="834" t="n"/>
      <c r="B871" s="835" t="n"/>
      <c r="C871" s="836" t="n"/>
      <c r="D871" s="836" t="n"/>
      <c r="E871" s="836" t="n"/>
      <c r="F871" s="836" t="n"/>
      <c r="G871" s="837" t="n"/>
      <c r="H871" s="836" t="n"/>
      <c r="I871" s="837" t="n"/>
      <c r="J871" s="1345" t="n"/>
      <c r="K871" s="1345" t="n"/>
      <c r="L871" s="1345" t="n"/>
      <c r="M871" s="1345" t="n"/>
      <c r="N871" s="1345" t="n"/>
    </row>
    <row r="872">
      <c r="A872" s="834" t="n"/>
      <c r="B872" s="835" t="n"/>
      <c r="C872" s="836" t="n"/>
      <c r="D872" s="836" t="n"/>
      <c r="E872" s="836" t="n"/>
      <c r="F872" s="836" t="n"/>
      <c r="G872" s="837" t="n"/>
      <c r="H872" s="836" t="n"/>
      <c r="I872" s="837" t="n"/>
      <c r="J872" s="1345" t="n"/>
      <c r="K872" s="1345" t="n"/>
      <c r="L872" s="1345" t="n"/>
      <c r="M872" s="1345" t="n"/>
      <c r="N872" s="1345" t="n"/>
    </row>
    <row r="873">
      <c r="A873" s="834" t="n"/>
      <c r="B873" s="835" t="n"/>
      <c r="C873" s="836" t="n"/>
      <c r="D873" s="836" t="n"/>
      <c r="E873" s="836" t="n"/>
      <c r="F873" s="836" t="n"/>
      <c r="G873" s="837" t="n"/>
      <c r="H873" s="836" t="n"/>
      <c r="I873" s="837" t="n"/>
      <c r="J873" s="1345" t="n"/>
      <c r="K873" s="1345" t="n"/>
      <c r="L873" s="1345" t="n"/>
      <c r="M873" s="1345" t="n"/>
      <c r="N873" s="1345" t="n"/>
    </row>
    <row r="874">
      <c r="A874" s="834" t="n"/>
      <c r="B874" s="835" t="n"/>
      <c r="C874" s="836" t="n"/>
      <c r="D874" s="836" t="n"/>
      <c r="E874" s="836" t="n"/>
      <c r="F874" s="836" t="n"/>
      <c r="G874" s="837" t="n"/>
      <c r="H874" s="836" t="n"/>
      <c r="I874" s="837" t="n"/>
      <c r="J874" s="1345" t="n"/>
      <c r="K874" s="1345" t="n"/>
      <c r="L874" s="1345" t="n"/>
      <c r="M874" s="1345" t="n"/>
      <c r="N874" s="1345" t="n"/>
    </row>
    <row r="875">
      <c r="A875" s="834" t="n"/>
      <c r="B875" s="835" t="n"/>
      <c r="C875" s="836" t="n"/>
      <c r="D875" s="836" t="n"/>
      <c r="E875" s="836" t="n"/>
      <c r="F875" s="836" t="n"/>
      <c r="G875" s="837" t="n"/>
      <c r="H875" s="836" t="n"/>
      <c r="I875" s="837" t="n"/>
      <c r="J875" s="1345" t="n"/>
      <c r="K875" s="1345" t="n"/>
      <c r="L875" s="1345" t="n"/>
      <c r="M875" s="1345" t="n"/>
      <c r="N875" s="1345" t="n"/>
    </row>
    <row r="876">
      <c r="A876" s="834" t="n"/>
      <c r="B876" s="835" t="n"/>
      <c r="C876" s="836" t="n"/>
      <c r="D876" s="836" t="n"/>
      <c r="E876" s="836" t="n"/>
      <c r="F876" s="836" t="n"/>
      <c r="G876" s="837" t="n"/>
      <c r="H876" s="836" t="n"/>
      <c r="I876" s="837" t="n"/>
      <c r="J876" s="1345" t="n"/>
      <c r="K876" s="1345" t="n"/>
      <c r="L876" s="1345" t="n"/>
      <c r="M876" s="1345" t="n"/>
      <c r="N876" s="1345" t="n"/>
    </row>
    <row r="877">
      <c r="A877" s="834" t="n"/>
      <c r="B877" s="835" t="n"/>
      <c r="C877" s="836" t="n"/>
      <c r="D877" s="836" t="n"/>
      <c r="E877" s="836" t="n"/>
      <c r="F877" s="836" t="n"/>
      <c r="G877" s="837" t="n"/>
      <c r="H877" s="836" t="n"/>
      <c r="I877" s="837" t="n"/>
      <c r="J877" s="1345" t="n"/>
      <c r="K877" s="1345" t="n"/>
      <c r="L877" s="1345" t="n"/>
      <c r="M877" s="1345" t="n"/>
      <c r="N877" s="1345" t="n"/>
    </row>
    <row r="878">
      <c r="A878" s="834" t="n"/>
      <c r="B878" s="835" t="n"/>
      <c r="C878" s="836" t="n"/>
      <c r="D878" s="836" t="n"/>
      <c r="E878" s="836" t="n"/>
      <c r="F878" s="836" t="n"/>
      <c r="G878" s="837" t="n"/>
      <c r="H878" s="836" t="n"/>
      <c r="I878" s="837" t="n"/>
      <c r="J878" s="1345" t="n"/>
      <c r="K878" s="1345" t="n"/>
      <c r="L878" s="1345" t="n"/>
      <c r="M878" s="1345" t="n"/>
      <c r="N878" s="1345" t="n"/>
    </row>
    <row r="879">
      <c r="A879" s="834" t="n"/>
      <c r="B879" s="835" t="n"/>
      <c r="C879" s="836" t="n"/>
      <c r="D879" s="836" t="n"/>
      <c r="E879" s="836" t="n"/>
      <c r="F879" s="836" t="n"/>
      <c r="G879" s="837" t="n"/>
      <c r="H879" s="836" t="n"/>
      <c r="I879" s="837" t="n"/>
      <c r="J879" s="1345" t="n"/>
      <c r="K879" s="1345" t="n"/>
      <c r="L879" s="1345" t="n"/>
      <c r="M879" s="1345" t="n"/>
      <c r="N879" s="1345" t="n"/>
    </row>
    <row r="880">
      <c r="A880" s="834" t="n"/>
      <c r="B880" s="835" t="n"/>
      <c r="C880" s="836" t="n"/>
      <c r="D880" s="836" t="n"/>
      <c r="E880" s="836" t="n"/>
      <c r="F880" s="836" t="n"/>
      <c r="G880" s="837" t="n"/>
      <c r="H880" s="836" t="n"/>
      <c r="I880" s="837" t="n"/>
      <c r="J880" s="1345" t="n"/>
      <c r="K880" s="1345" t="n"/>
      <c r="L880" s="1345" t="n"/>
      <c r="M880" s="1345" t="n"/>
      <c r="N880" s="1345" t="n"/>
    </row>
    <row r="881">
      <c r="A881" s="834" t="n"/>
      <c r="B881" s="835" t="n"/>
      <c r="C881" s="836" t="n"/>
      <c r="D881" s="836" t="n"/>
      <c r="E881" s="836" t="n"/>
      <c r="F881" s="836" t="n"/>
      <c r="G881" s="837" t="n"/>
      <c r="H881" s="836" t="n"/>
      <c r="I881" s="837" t="n"/>
      <c r="J881" s="1345" t="n"/>
      <c r="K881" s="1345" t="n"/>
      <c r="L881" s="1345" t="n"/>
      <c r="M881" s="1345" t="n"/>
      <c r="N881" s="1345" t="n"/>
    </row>
    <row r="882">
      <c r="A882" s="834" t="n"/>
      <c r="B882" s="835" t="n"/>
      <c r="C882" s="836" t="n"/>
      <c r="D882" s="836" t="n"/>
      <c r="E882" s="836" t="n"/>
      <c r="F882" s="836" t="n"/>
      <c r="G882" s="837" t="n"/>
      <c r="H882" s="836" t="n"/>
      <c r="I882" s="837" t="n"/>
      <c r="J882" s="1345" t="n"/>
      <c r="K882" s="1345" t="n"/>
      <c r="L882" s="1345" t="n"/>
      <c r="M882" s="1345" t="n"/>
      <c r="N882" s="1345" t="n"/>
    </row>
    <row r="883">
      <c r="A883" s="834" t="n"/>
      <c r="B883" s="835" t="n"/>
      <c r="C883" s="836" t="n"/>
      <c r="D883" s="836" t="n"/>
      <c r="E883" s="836" t="n"/>
      <c r="F883" s="836" t="n"/>
      <c r="G883" s="837" t="n"/>
      <c r="H883" s="836" t="n"/>
      <c r="I883" s="837" t="n"/>
      <c r="J883" s="1345" t="n"/>
      <c r="K883" s="1345" t="n"/>
      <c r="L883" s="1345" t="n"/>
      <c r="M883" s="1345" t="n"/>
      <c r="N883" s="1345" t="n"/>
    </row>
    <row r="884">
      <c r="A884" s="834" t="n"/>
      <c r="B884" s="835" t="n"/>
      <c r="C884" s="836" t="n"/>
      <c r="D884" s="836" t="n"/>
      <c r="E884" s="836" t="n"/>
      <c r="F884" s="836" t="n"/>
      <c r="G884" s="837" t="n"/>
      <c r="H884" s="836" t="n"/>
      <c r="I884" s="837" t="n"/>
      <c r="J884" s="1345" t="n"/>
      <c r="K884" s="1345" t="n"/>
      <c r="L884" s="1345" t="n"/>
      <c r="M884" s="1345" t="n"/>
      <c r="N884" s="1345" t="n"/>
    </row>
    <row r="885">
      <c r="A885" s="834" t="n"/>
      <c r="B885" s="835" t="n"/>
      <c r="C885" s="836" t="n"/>
      <c r="D885" s="836" t="n"/>
      <c r="E885" s="836" t="n"/>
      <c r="F885" s="836" t="n"/>
      <c r="G885" s="837" t="n"/>
      <c r="H885" s="836" t="n"/>
      <c r="I885" s="837" t="n"/>
      <c r="J885" s="1345" t="n"/>
      <c r="K885" s="1345" t="n"/>
      <c r="L885" s="1345" t="n"/>
      <c r="M885" s="1345" t="n"/>
      <c r="N885" s="1345" t="n"/>
    </row>
    <row r="886">
      <c r="A886" s="834" t="n"/>
      <c r="B886" s="835" t="n"/>
      <c r="C886" s="836" t="n"/>
      <c r="D886" s="836" t="n"/>
      <c r="E886" s="836" t="n"/>
      <c r="F886" s="836" t="n"/>
      <c r="G886" s="837" t="n"/>
      <c r="H886" s="836" t="n"/>
      <c r="I886" s="837" t="n"/>
      <c r="J886" s="1345" t="n"/>
      <c r="K886" s="1345" t="n"/>
      <c r="L886" s="1345" t="n"/>
      <c r="M886" s="1345" t="n"/>
      <c r="N886" s="1345" t="n"/>
    </row>
    <row r="887">
      <c r="A887" s="834" t="n"/>
      <c r="B887" s="835" t="n"/>
      <c r="C887" s="836" t="n"/>
      <c r="D887" s="836" t="n"/>
      <c r="E887" s="836" t="n"/>
      <c r="F887" s="836" t="n"/>
      <c r="G887" s="837" t="n"/>
      <c r="H887" s="836" t="n"/>
      <c r="I887" s="837" t="n"/>
      <c r="J887" s="1345" t="n"/>
      <c r="K887" s="1345" t="n"/>
      <c r="L887" s="1345" t="n"/>
      <c r="M887" s="1345" t="n"/>
      <c r="N887" s="1345" t="n"/>
    </row>
    <row r="888">
      <c r="A888" s="834" t="n"/>
      <c r="B888" s="835" t="n"/>
      <c r="C888" s="836" t="n"/>
      <c r="D888" s="836" t="n"/>
      <c r="E888" s="836" t="n"/>
      <c r="F888" s="836" t="n"/>
      <c r="G888" s="837" t="n"/>
      <c r="H888" s="836" t="n"/>
      <c r="I888" s="837" t="n"/>
      <c r="J888" s="1345" t="n"/>
      <c r="K888" s="1345" t="n"/>
      <c r="L888" s="1345" t="n"/>
      <c r="M888" s="1345" t="n"/>
      <c r="N888" s="1345" t="n"/>
    </row>
    <row r="889">
      <c r="A889" s="834" t="n"/>
      <c r="B889" s="835" t="n"/>
      <c r="C889" s="836" t="n"/>
      <c r="D889" s="836" t="n"/>
      <c r="E889" s="836" t="n"/>
      <c r="F889" s="836" t="n"/>
      <c r="G889" s="837" t="n"/>
      <c r="H889" s="836" t="n"/>
      <c r="I889" s="837" t="n"/>
      <c r="J889" s="1345" t="n"/>
      <c r="K889" s="1345" t="n"/>
      <c r="L889" s="1345" t="n"/>
      <c r="M889" s="1345" t="n"/>
      <c r="N889" s="1345" t="n"/>
    </row>
    <row r="890">
      <c r="A890" s="834" t="n"/>
      <c r="B890" s="835" t="n"/>
      <c r="C890" s="836" t="n"/>
      <c r="D890" s="836" t="n"/>
      <c r="E890" s="836" t="n"/>
      <c r="F890" s="836" t="n"/>
      <c r="G890" s="837" t="n"/>
      <c r="H890" s="836" t="n"/>
      <c r="I890" s="837" t="n"/>
      <c r="J890" s="1345" t="n"/>
      <c r="K890" s="1345" t="n"/>
      <c r="L890" s="1345" t="n"/>
      <c r="M890" s="1345" t="n"/>
      <c r="N890" s="1345" t="n"/>
    </row>
    <row r="891">
      <c r="A891" s="834" t="n"/>
      <c r="B891" s="835" t="n"/>
      <c r="C891" s="836" t="n"/>
      <c r="D891" s="836" t="n"/>
      <c r="E891" s="836" t="n"/>
      <c r="F891" s="836" t="n"/>
      <c r="G891" s="837" t="n"/>
      <c r="H891" s="836" t="n"/>
      <c r="I891" s="837" t="n"/>
      <c r="J891" s="1345" t="n"/>
      <c r="K891" s="1345" t="n"/>
      <c r="L891" s="1345" t="n"/>
      <c r="M891" s="1345" t="n"/>
      <c r="N891" s="1345" t="n"/>
    </row>
    <row r="892">
      <c r="A892" s="834" t="n"/>
      <c r="B892" s="835" t="n"/>
      <c r="C892" s="836" t="n"/>
      <c r="D892" s="836" t="n"/>
      <c r="E892" s="836" t="n"/>
      <c r="F892" s="836" t="n"/>
      <c r="G892" s="837" t="n"/>
      <c r="H892" s="836" t="n"/>
      <c r="I892" s="837" t="n"/>
      <c r="J892" s="1345" t="n"/>
      <c r="K892" s="1345" t="n"/>
      <c r="L892" s="1345" t="n"/>
      <c r="M892" s="1345" t="n"/>
      <c r="N892" s="1345" t="n"/>
    </row>
    <row r="893">
      <c r="A893" s="834" t="n"/>
      <c r="B893" s="835" t="n"/>
      <c r="C893" s="836" t="n"/>
      <c r="D893" s="836" t="n"/>
      <c r="E893" s="836" t="n"/>
      <c r="F893" s="836" t="n"/>
      <c r="G893" s="837" t="n"/>
      <c r="H893" s="836" t="n"/>
      <c r="I893" s="837" t="n"/>
      <c r="J893" s="1345" t="n"/>
      <c r="K893" s="1345" t="n"/>
      <c r="L893" s="1345" t="n"/>
      <c r="M893" s="1345" t="n"/>
      <c r="N893" s="1345" t="n"/>
    </row>
    <row r="894">
      <c r="A894" s="834" t="n"/>
      <c r="B894" s="835" t="n"/>
      <c r="C894" s="836" t="n"/>
      <c r="D894" s="836" t="n"/>
      <c r="E894" s="836" t="n"/>
      <c r="F894" s="836" t="n"/>
      <c r="G894" s="837" t="n"/>
      <c r="H894" s="836" t="n"/>
      <c r="I894" s="837" t="n"/>
      <c r="J894" s="1345" t="n"/>
      <c r="K894" s="1345" t="n"/>
      <c r="L894" s="1345" t="n"/>
      <c r="M894" s="1345" t="n"/>
      <c r="N894" s="1345" t="n"/>
    </row>
    <row r="895">
      <c r="A895" s="834" t="n"/>
      <c r="B895" s="835" t="n"/>
      <c r="C895" s="836" t="n"/>
      <c r="D895" s="836" t="n"/>
      <c r="E895" s="836" t="n"/>
      <c r="F895" s="836" t="n"/>
      <c r="G895" s="837" t="n"/>
      <c r="H895" s="836" t="n"/>
      <c r="I895" s="837" t="n"/>
      <c r="J895" s="1345" t="n"/>
      <c r="K895" s="1345" t="n"/>
      <c r="L895" s="1345" t="n"/>
      <c r="M895" s="1345" t="n"/>
      <c r="N895" s="1345" t="n"/>
    </row>
    <row r="896">
      <c r="A896" s="834" t="n"/>
      <c r="B896" s="835" t="n"/>
      <c r="C896" s="836" t="n"/>
      <c r="D896" s="836" t="n"/>
      <c r="E896" s="836" t="n"/>
      <c r="F896" s="836" t="n"/>
      <c r="G896" s="837" t="n"/>
      <c r="H896" s="836" t="n"/>
      <c r="I896" s="837" t="n"/>
      <c r="J896" s="1345" t="n"/>
      <c r="K896" s="1345" t="n"/>
      <c r="L896" s="1345" t="n"/>
      <c r="M896" s="1345" t="n"/>
      <c r="N896" s="1345" t="n"/>
    </row>
    <row r="897">
      <c r="A897" s="834" t="n"/>
      <c r="B897" s="835" t="n"/>
      <c r="C897" s="836" t="n"/>
      <c r="D897" s="836" t="n"/>
      <c r="E897" s="836" t="n"/>
      <c r="F897" s="836" t="n"/>
      <c r="G897" s="837" t="n"/>
      <c r="H897" s="836" t="n"/>
      <c r="I897" s="837" t="n"/>
      <c r="J897" s="1345" t="n"/>
      <c r="K897" s="1345" t="n"/>
      <c r="L897" s="1345" t="n"/>
      <c r="M897" s="1345" t="n"/>
      <c r="N897" s="1345" t="n"/>
    </row>
    <row r="898">
      <c r="A898" s="834" t="n"/>
      <c r="B898" s="835" t="n"/>
      <c r="C898" s="836" t="n"/>
      <c r="D898" s="836" t="n"/>
      <c r="E898" s="836" t="n"/>
      <c r="F898" s="836" t="n"/>
      <c r="G898" s="837" t="n"/>
      <c r="H898" s="836" t="n"/>
      <c r="I898" s="837" t="n"/>
      <c r="J898" s="1345" t="n"/>
      <c r="K898" s="1345" t="n"/>
      <c r="L898" s="1345" t="n"/>
      <c r="M898" s="1345" t="n"/>
      <c r="N898" s="1345" t="n"/>
    </row>
    <row r="899">
      <c r="A899" s="834" t="n"/>
      <c r="B899" s="835" t="n"/>
      <c r="C899" s="836" t="n"/>
      <c r="D899" s="836" t="n"/>
      <c r="E899" s="836" t="n"/>
      <c r="F899" s="836" t="n"/>
      <c r="G899" s="837" t="n"/>
      <c r="H899" s="836" t="n"/>
      <c r="I899" s="837" t="n"/>
      <c r="J899" s="1345" t="n"/>
      <c r="K899" s="1345" t="n"/>
      <c r="L899" s="1345" t="n"/>
      <c r="M899" s="1345" t="n"/>
      <c r="N899" s="1345" t="n"/>
    </row>
    <row r="900">
      <c r="A900" s="834" t="n"/>
      <c r="B900" s="835" t="n"/>
      <c r="C900" s="836" t="n"/>
      <c r="D900" s="836" t="n"/>
      <c r="E900" s="836" t="n"/>
      <c r="F900" s="836" t="n"/>
      <c r="G900" s="837" t="n"/>
      <c r="H900" s="836" t="n"/>
      <c r="I900" s="837" t="n"/>
      <c r="J900" s="1345" t="n"/>
      <c r="K900" s="1345" t="n"/>
      <c r="L900" s="1345" t="n"/>
      <c r="M900" s="1345" t="n"/>
      <c r="N900" s="1345" t="n"/>
    </row>
    <row r="901">
      <c r="A901" s="834" t="n"/>
      <c r="B901" s="835" t="n"/>
      <c r="C901" s="836" t="n"/>
      <c r="D901" s="836" t="n"/>
      <c r="E901" s="836" t="n"/>
      <c r="F901" s="836" t="n"/>
      <c r="G901" s="837" t="n"/>
      <c r="H901" s="836" t="n"/>
      <c r="I901" s="837" t="n"/>
      <c r="J901" s="1345" t="n"/>
      <c r="K901" s="1345" t="n"/>
      <c r="L901" s="1345" t="n"/>
      <c r="M901" s="1345" t="n"/>
      <c r="N901" s="1345" t="n"/>
    </row>
    <row r="902">
      <c r="A902" s="834" t="n"/>
      <c r="B902" s="835" t="n"/>
      <c r="C902" s="836" t="n"/>
      <c r="D902" s="836" t="n"/>
      <c r="E902" s="836" t="n"/>
      <c r="F902" s="836" t="n"/>
      <c r="G902" s="837" t="n"/>
      <c r="H902" s="836" t="n"/>
      <c r="I902" s="837" t="n"/>
      <c r="J902" s="1345" t="n"/>
      <c r="K902" s="1345" t="n"/>
      <c r="L902" s="1345" t="n"/>
      <c r="M902" s="1345" t="n"/>
      <c r="N902" s="1345" t="n"/>
    </row>
    <row r="903">
      <c r="A903" s="834" t="n"/>
      <c r="B903" s="835" t="n"/>
      <c r="C903" s="836" t="n"/>
      <c r="D903" s="836" t="n"/>
      <c r="E903" s="836" t="n"/>
      <c r="F903" s="836" t="n"/>
      <c r="G903" s="837" t="n"/>
      <c r="H903" s="836" t="n"/>
      <c r="I903" s="837" t="n"/>
      <c r="J903" s="1345" t="n"/>
      <c r="K903" s="1345" t="n"/>
      <c r="L903" s="1345" t="n"/>
      <c r="M903" s="1345" t="n"/>
      <c r="N903" s="1345" t="n"/>
    </row>
    <row r="904">
      <c r="A904" s="834" t="n"/>
      <c r="B904" s="835" t="n"/>
      <c r="C904" s="836" t="n"/>
      <c r="D904" s="836" t="n"/>
      <c r="E904" s="836" t="n"/>
      <c r="F904" s="836" t="n"/>
      <c r="G904" s="837" t="n"/>
      <c r="H904" s="836" t="n"/>
      <c r="I904" s="837" t="n"/>
      <c r="J904" s="1345" t="n"/>
      <c r="K904" s="1345" t="n"/>
      <c r="L904" s="1345" t="n"/>
      <c r="M904" s="1345" t="n"/>
      <c r="N904" s="1345" t="n"/>
    </row>
    <row r="905">
      <c r="A905" s="834" t="n"/>
      <c r="B905" s="835" t="n"/>
      <c r="C905" s="836" t="n"/>
      <c r="D905" s="836" t="n"/>
      <c r="E905" s="836" t="n"/>
      <c r="F905" s="836" t="n"/>
      <c r="G905" s="837" t="n"/>
      <c r="H905" s="836" t="n"/>
      <c r="I905" s="837" t="n"/>
      <c r="J905" s="1345" t="n"/>
      <c r="K905" s="1345" t="n"/>
      <c r="L905" s="1345" t="n"/>
      <c r="M905" s="1345" t="n"/>
      <c r="N905" s="1345" t="n"/>
    </row>
    <row r="906">
      <c r="A906" s="834" t="n"/>
      <c r="B906" s="835" t="n"/>
      <c r="C906" s="836" t="n"/>
      <c r="D906" s="836" t="n"/>
      <c r="E906" s="836" t="n"/>
      <c r="F906" s="836" t="n"/>
      <c r="G906" s="837" t="n"/>
      <c r="H906" s="836" t="n"/>
      <c r="I906" s="837" t="n"/>
      <c r="J906" s="1345" t="n"/>
      <c r="K906" s="1345" t="n"/>
      <c r="L906" s="1345" t="n"/>
      <c r="M906" s="1345" t="n"/>
      <c r="N906" s="1345" t="n"/>
    </row>
    <row r="907">
      <c r="A907" s="834" t="n"/>
      <c r="B907" s="835" t="n"/>
      <c r="C907" s="836" t="n"/>
      <c r="D907" s="836" t="n"/>
      <c r="E907" s="836" t="n"/>
      <c r="F907" s="836" t="n"/>
      <c r="G907" s="837" t="n"/>
      <c r="H907" s="836" t="n"/>
      <c r="I907" s="837" t="n"/>
      <c r="J907" s="1345" t="n"/>
      <c r="K907" s="1345" t="n"/>
      <c r="L907" s="1345" t="n"/>
      <c r="M907" s="1345" t="n"/>
      <c r="N907" s="1345" t="n"/>
    </row>
    <row r="908">
      <c r="A908" s="834" t="n"/>
      <c r="B908" s="835" t="n"/>
      <c r="C908" s="836" t="n"/>
      <c r="D908" s="836" t="n"/>
      <c r="E908" s="836" t="n"/>
      <c r="F908" s="836" t="n"/>
      <c r="G908" s="837" t="n"/>
      <c r="H908" s="836" t="n"/>
      <c r="I908" s="837" t="n"/>
      <c r="J908" s="1345" t="n"/>
      <c r="K908" s="1345" t="n"/>
      <c r="L908" s="1345" t="n"/>
      <c r="M908" s="1345" t="n"/>
      <c r="N908" s="1345" t="n"/>
    </row>
    <row r="909">
      <c r="A909" s="834" t="n"/>
      <c r="B909" s="835" t="n"/>
      <c r="C909" s="836" t="n"/>
      <c r="D909" s="836" t="n"/>
      <c r="E909" s="836" t="n"/>
      <c r="F909" s="836" t="n"/>
      <c r="G909" s="837" t="n"/>
      <c r="H909" s="836" t="n"/>
      <c r="I909" s="837" t="n"/>
      <c r="J909" s="1345" t="n"/>
      <c r="K909" s="1345" t="n"/>
      <c r="L909" s="1345" t="n"/>
      <c r="M909" s="1345" t="n"/>
      <c r="N909" s="1345" t="n"/>
    </row>
    <row r="910">
      <c r="A910" s="834" t="n"/>
      <c r="B910" s="835" t="n"/>
      <c r="C910" s="836" t="n"/>
      <c r="D910" s="836" t="n"/>
      <c r="E910" s="836" t="n"/>
      <c r="F910" s="836" t="n"/>
      <c r="G910" s="837" t="n"/>
      <c r="H910" s="836" t="n"/>
      <c r="I910" s="837" t="n"/>
      <c r="J910" s="1345" t="n"/>
      <c r="K910" s="1345" t="n"/>
      <c r="L910" s="1345" t="n"/>
      <c r="M910" s="1345" t="n"/>
      <c r="N910" s="1345" t="n"/>
    </row>
    <row r="911">
      <c r="A911" s="834" t="n"/>
      <c r="B911" s="835" t="n"/>
      <c r="C911" s="836" t="n"/>
      <c r="D911" s="836" t="n"/>
      <c r="E911" s="836" t="n"/>
      <c r="F911" s="836" t="n"/>
      <c r="G911" s="837" t="n"/>
      <c r="H911" s="836" t="n"/>
      <c r="I911" s="837" t="n"/>
      <c r="J911" s="1345" t="n"/>
      <c r="K911" s="1345" t="n"/>
      <c r="L911" s="1345" t="n"/>
      <c r="M911" s="1345" t="n"/>
      <c r="N911" s="1345" t="n"/>
    </row>
    <row r="912">
      <c r="A912" s="834" t="n"/>
      <c r="B912" s="835" t="n"/>
      <c r="C912" s="836" t="n"/>
      <c r="D912" s="836" t="n"/>
      <c r="E912" s="836" t="n"/>
      <c r="F912" s="836" t="n"/>
      <c r="G912" s="837" t="n"/>
      <c r="H912" s="836" t="n"/>
      <c r="I912" s="837" t="n"/>
      <c r="J912" s="1345" t="n"/>
      <c r="K912" s="1345" t="n"/>
      <c r="L912" s="1345" t="n"/>
      <c r="M912" s="1345" t="n"/>
      <c r="N912" s="1345" t="n"/>
    </row>
    <row r="913">
      <c r="A913" s="834" t="n"/>
      <c r="B913" s="835" t="n"/>
      <c r="C913" s="836" t="n"/>
      <c r="D913" s="836" t="n"/>
      <c r="E913" s="836" t="n"/>
      <c r="F913" s="836" t="n"/>
      <c r="G913" s="837" t="n"/>
      <c r="H913" s="836" t="n"/>
      <c r="I913" s="837" t="n"/>
      <c r="J913" s="1345" t="n"/>
      <c r="K913" s="1345" t="n"/>
      <c r="L913" s="1345" t="n"/>
      <c r="M913" s="1345" t="n"/>
      <c r="N913" s="1345" t="n"/>
    </row>
    <row r="914">
      <c r="A914" s="834" t="n"/>
      <c r="B914" s="835" t="n"/>
      <c r="C914" s="836" t="n"/>
      <c r="D914" s="836" t="n"/>
      <c r="E914" s="836" t="n"/>
      <c r="F914" s="836" t="n"/>
      <c r="G914" s="837" t="n"/>
      <c r="H914" s="836" t="n"/>
      <c r="I914" s="837" t="n"/>
      <c r="J914" s="1345" t="n"/>
      <c r="K914" s="1345" t="n"/>
      <c r="L914" s="1345" t="n"/>
      <c r="M914" s="1345" t="n"/>
      <c r="N914" s="1345" t="n"/>
    </row>
    <row r="915">
      <c r="A915" s="834" t="n"/>
      <c r="B915" s="835" t="n"/>
      <c r="C915" s="836" t="n"/>
      <c r="D915" s="836" t="n"/>
      <c r="E915" s="836" t="n"/>
      <c r="F915" s="836" t="n"/>
      <c r="G915" s="837" t="n"/>
      <c r="H915" s="836" t="n"/>
      <c r="I915" s="837" t="n"/>
      <c r="J915" s="1345" t="n"/>
      <c r="K915" s="1345" t="n"/>
      <c r="L915" s="1345" t="n"/>
      <c r="M915" s="1345" t="n"/>
      <c r="N915" s="1345" t="n"/>
    </row>
    <row r="916">
      <c r="A916" s="834" t="n"/>
      <c r="B916" s="835" t="n"/>
      <c r="C916" s="836" t="n"/>
      <c r="D916" s="836" t="n"/>
      <c r="E916" s="836" t="n"/>
      <c r="F916" s="836" t="n"/>
      <c r="G916" s="837" t="n"/>
      <c r="H916" s="836" t="n"/>
      <c r="I916" s="837" t="n"/>
      <c r="J916" s="1345" t="n"/>
      <c r="K916" s="1345" t="n"/>
      <c r="L916" s="1345" t="n"/>
      <c r="M916" s="1345" t="n"/>
      <c r="N916" s="1345" t="n"/>
    </row>
    <row r="917">
      <c r="A917" s="834" t="n"/>
      <c r="B917" s="835" t="n"/>
      <c r="C917" s="836" t="n"/>
      <c r="D917" s="836" t="n"/>
      <c r="E917" s="836" t="n"/>
      <c r="F917" s="836" t="n"/>
      <c r="G917" s="837" t="n"/>
      <c r="H917" s="836" t="n"/>
      <c r="I917" s="837" t="n"/>
      <c r="J917" s="1345" t="n"/>
      <c r="K917" s="1345" t="n"/>
      <c r="L917" s="1345" t="n"/>
      <c r="M917" s="1345" t="n"/>
      <c r="N917" s="1345" t="n"/>
    </row>
    <row r="918">
      <c r="A918" s="834" t="n"/>
      <c r="B918" s="835" t="n"/>
      <c r="C918" s="836" t="n"/>
      <c r="D918" s="836" t="n"/>
      <c r="E918" s="836" t="n"/>
      <c r="F918" s="836" t="n"/>
      <c r="G918" s="837" t="n"/>
      <c r="H918" s="836" t="n"/>
      <c r="I918" s="837" t="n"/>
      <c r="J918" s="1345" t="n"/>
      <c r="K918" s="1345" t="n"/>
      <c r="L918" s="1345" t="n"/>
      <c r="M918" s="1345" t="n"/>
      <c r="N918" s="1345" t="n"/>
    </row>
    <row r="919">
      <c r="A919" s="834" t="n"/>
      <c r="B919" s="835" t="n"/>
      <c r="C919" s="836" t="n"/>
      <c r="D919" s="836" t="n"/>
      <c r="E919" s="836" t="n"/>
      <c r="F919" s="836" t="n"/>
      <c r="G919" s="837" t="n"/>
      <c r="H919" s="836" t="n"/>
      <c r="I919" s="837" t="n"/>
      <c r="J919" s="1345" t="n"/>
      <c r="K919" s="1345" t="n"/>
      <c r="L919" s="1345" t="n"/>
      <c r="M919" s="1345" t="n"/>
      <c r="N919" s="1345" t="n"/>
    </row>
    <row r="920">
      <c r="A920" s="834" t="n"/>
      <c r="B920" s="835" t="n"/>
      <c r="C920" s="836" t="n"/>
      <c r="D920" s="836" t="n"/>
      <c r="E920" s="836" t="n"/>
      <c r="F920" s="836" t="n"/>
      <c r="G920" s="837" t="n"/>
      <c r="H920" s="836" t="n"/>
      <c r="I920" s="837" t="n"/>
      <c r="J920" s="1345" t="n"/>
      <c r="K920" s="1345" t="n"/>
      <c r="L920" s="1345" t="n"/>
      <c r="M920" s="1345" t="n"/>
      <c r="N920" s="1345" t="n"/>
    </row>
    <row r="921">
      <c r="A921" s="834" t="n"/>
      <c r="B921" s="835" t="n"/>
      <c r="C921" s="836" t="n"/>
      <c r="D921" s="836" t="n"/>
      <c r="E921" s="836" t="n"/>
      <c r="F921" s="836" t="n"/>
      <c r="G921" s="837" t="n"/>
      <c r="H921" s="836" t="n"/>
      <c r="I921" s="837" t="n"/>
      <c r="J921" s="1345" t="n"/>
      <c r="K921" s="1345" t="n"/>
      <c r="L921" s="1345" t="n"/>
      <c r="M921" s="1345" t="n"/>
      <c r="N921" s="1345" t="n"/>
    </row>
    <row r="922">
      <c r="A922" s="834" t="n"/>
      <c r="B922" s="835" t="n"/>
      <c r="C922" s="836" t="n"/>
      <c r="D922" s="836" t="n"/>
      <c r="E922" s="836" t="n"/>
      <c r="F922" s="836" t="n"/>
      <c r="G922" s="837" t="n"/>
      <c r="H922" s="836" t="n"/>
      <c r="I922" s="837" t="n"/>
      <c r="J922" s="1345" t="n"/>
      <c r="K922" s="1345" t="n"/>
      <c r="L922" s="1345" t="n"/>
      <c r="M922" s="1345" t="n"/>
      <c r="N922" s="1345" t="n"/>
    </row>
    <row r="923">
      <c r="A923" s="834" t="n"/>
      <c r="B923" s="835" t="n"/>
      <c r="C923" s="836" t="n"/>
      <c r="D923" s="836" t="n"/>
      <c r="E923" s="836" t="n"/>
      <c r="F923" s="836" t="n"/>
      <c r="G923" s="837" t="n"/>
      <c r="H923" s="836" t="n"/>
      <c r="I923" s="837" t="n"/>
      <c r="J923" s="1345" t="n"/>
      <c r="K923" s="1345" t="n"/>
      <c r="L923" s="1345" t="n"/>
      <c r="M923" s="1345" t="n"/>
      <c r="N923" s="1345" t="n"/>
    </row>
    <row r="924">
      <c r="A924" s="834" t="n"/>
      <c r="B924" s="835" t="n"/>
      <c r="C924" s="836" t="n"/>
      <c r="D924" s="836" t="n"/>
      <c r="E924" s="836" t="n"/>
      <c r="F924" s="836" t="n"/>
      <c r="G924" s="837" t="n"/>
      <c r="H924" s="836" t="n"/>
      <c r="I924" s="837" t="n"/>
      <c r="J924" s="1345" t="n"/>
      <c r="K924" s="1345" t="n"/>
      <c r="L924" s="1345" t="n"/>
      <c r="M924" s="1345" t="n"/>
      <c r="N924" s="1345" t="n"/>
    </row>
    <row r="925">
      <c r="A925" s="834" t="n"/>
      <c r="B925" s="835" t="n"/>
      <c r="C925" s="836" t="n"/>
      <c r="D925" s="836" t="n"/>
      <c r="E925" s="836" t="n"/>
      <c r="F925" s="836" t="n"/>
      <c r="G925" s="837" t="n"/>
      <c r="H925" s="836" t="n"/>
      <c r="I925" s="837" t="n"/>
      <c r="J925" s="1345" t="n"/>
      <c r="K925" s="1345" t="n"/>
      <c r="L925" s="1345" t="n"/>
      <c r="M925" s="1345" t="n"/>
      <c r="N925" s="1345" t="n"/>
    </row>
    <row r="926">
      <c r="A926" s="834" t="n"/>
      <c r="B926" s="835" t="n"/>
      <c r="C926" s="836" t="n"/>
      <c r="D926" s="836" t="n"/>
      <c r="E926" s="836" t="n"/>
      <c r="F926" s="836" t="n"/>
      <c r="G926" s="837" t="n"/>
      <c r="H926" s="836" t="n"/>
      <c r="I926" s="837" t="n"/>
      <c r="J926" s="1345" t="n"/>
      <c r="K926" s="1345" t="n"/>
      <c r="L926" s="1345" t="n"/>
      <c r="M926" s="1345" t="n"/>
      <c r="N926" s="1345" t="n"/>
    </row>
    <row r="927">
      <c r="A927" s="834" t="n"/>
      <c r="B927" s="835" t="n"/>
      <c r="C927" s="836" t="n"/>
      <c r="D927" s="836" t="n"/>
      <c r="E927" s="836" t="n"/>
      <c r="F927" s="836" t="n"/>
      <c r="G927" s="837" t="n"/>
      <c r="H927" s="836" t="n"/>
      <c r="I927" s="837" t="n"/>
      <c r="J927" s="1345" t="n"/>
      <c r="K927" s="1345" t="n"/>
      <c r="L927" s="1345" t="n"/>
      <c r="M927" s="1345" t="n"/>
      <c r="N927" s="1345" t="n"/>
    </row>
    <row r="928">
      <c r="A928" s="834" t="n"/>
      <c r="B928" s="835" t="n"/>
      <c r="C928" s="836" t="n"/>
      <c r="D928" s="836" t="n"/>
      <c r="E928" s="836" t="n"/>
      <c r="F928" s="836" t="n"/>
      <c r="G928" s="837" t="n"/>
      <c r="H928" s="836" t="n"/>
      <c r="I928" s="837" t="n"/>
      <c r="J928" s="1345" t="n"/>
      <c r="K928" s="1345" t="n"/>
      <c r="L928" s="1345" t="n"/>
      <c r="M928" s="1345" t="n"/>
      <c r="N928" s="1345" t="n"/>
    </row>
    <row r="929">
      <c r="A929" s="834" t="n"/>
      <c r="B929" s="835" t="n"/>
      <c r="C929" s="836" t="n"/>
      <c r="D929" s="836" t="n"/>
      <c r="E929" s="836" t="n"/>
      <c r="F929" s="836" t="n"/>
      <c r="G929" s="837" t="n"/>
      <c r="H929" s="836" t="n"/>
      <c r="I929" s="837" t="n"/>
      <c r="J929" s="1345" t="n"/>
      <c r="K929" s="1345" t="n"/>
      <c r="L929" s="1345" t="n"/>
      <c r="M929" s="1345" t="n"/>
      <c r="N929" s="1345" t="n"/>
    </row>
    <row r="930">
      <c r="A930" s="834" t="n"/>
      <c r="B930" s="835" t="n"/>
      <c r="C930" s="836" t="n"/>
      <c r="D930" s="836" t="n"/>
      <c r="E930" s="836" t="n"/>
      <c r="F930" s="836" t="n"/>
      <c r="G930" s="837" t="n"/>
      <c r="H930" s="836" t="n"/>
      <c r="I930" s="837" t="n"/>
      <c r="J930" s="1345" t="n"/>
      <c r="K930" s="1345" t="n"/>
      <c r="L930" s="1345" t="n"/>
      <c r="M930" s="1345" t="n"/>
      <c r="N930" s="1345" t="n"/>
    </row>
    <row r="931">
      <c r="A931" s="834" t="n"/>
      <c r="B931" s="835" t="n"/>
      <c r="C931" s="836" t="n"/>
      <c r="D931" s="836" t="n"/>
      <c r="E931" s="836" t="n"/>
      <c r="F931" s="836" t="n"/>
      <c r="G931" s="837" t="n"/>
      <c r="H931" s="836" t="n"/>
      <c r="I931" s="837" t="n"/>
      <c r="J931" s="1345" t="n"/>
      <c r="K931" s="1345" t="n"/>
      <c r="L931" s="1345" t="n"/>
      <c r="M931" s="1345" t="n"/>
      <c r="N931" s="1345" t="n"/>
    </row>
    <row r="932">
      <c r="A932" s="834" t="n"/>
      <c r="B932" s="835" t="n"/>
      <c r="C932" s="836" t="n"/>
      <c r="D932" s="836" t="n"/>
      <c r="E932" s="836" t="n"/>
      <c r="F932" s="836" t="n"/>
      <c r="G932" s="837" t="n"/>
      <c r="H932" s="836" t="n"/>
      <c r="I932" s="837" t="n"/>
      <c r="J932" s="1345" t="n"/>
      <c r="K932" s="1345" t="n"/>
      <c r="L932" s="1345" t="n"/>
      <c r="M932" s="1345" t="n"/>
      <c r="N932" s="1345" t="n"/>
    </row>
    <row r="933">
      <c r="A933" s="834" t="n"/>
      <c r="B933" s="835" t="n"/>
      <c r="C933" s="836" t="n"/>
      <c r="D933" s="836" t="n"/>
      <c r="E933" s="836" t="n"/>
      <c r="F933" s="836" t="n"/>
      <c r="G933" s="837" t="n"/>
      <c r="H933" s="836" t="n"/>
      <c r="I933" s="837" t="n"/>
      <c r="J933" s="1345" t="n"/>
      <c r="K933" s="1345" t="n"/>
      <c r="L933" s="1345" t="n"/>
      <c r="M933" s="1345" t="n"/>
      <c r="N933" s="1345" t="n"/>
    </row>
    <row r="934">
      <c r="A934" s="834" t="n"/>
      <c r="B934" s="835" t="n"/>
      <c r="C934" s="836" t="n"/>
      <c r="D934" s="836" t="n"/>
      <c r="E934" s="836" t="n"/>
      <c r="F934" s="836" t="n"/>
      <c r="G934" s="837" t="n"/>
      <c r="H934" s="836" t="n"/>
      <c r="I934" s="837" t="n"/>
      <c r="J934" s="1345" t="n"/>
      <c r="K934" s="1345" t="n"/>
      <c r="L934" s="1345" t="n"/>
      <c r="M934" s="1345" t="n"/>
      <c r="N934" s="1345" t="n"/>
    </row>
    <row r="935">
      <c r="A935" s="834" t="n"/>
      <c r="B935" s="835" t="n"/>
      <c r="C935" s="836" t="n"/>
      <c r="D935" s="836" t="n"/>
      <c r="E935" s="836" t="n"/>
      <c r="F935" s="836" t="n"/>
      <c r="G935" s="837" t="n"/>
      <c r="H935" s="836" t="n"/>
      <c r="I935" s="837" t="n"/>
      <c r="J935" s="1345" t="n"/>
      <c r="K935" s="1345" t="n"/>
      <c r="L935" s="1345" t="n"/>
      <c r="M935" s="1345" t="n"/>
      <c r="N935" s="1345" t="n"/>
    </row>
    <row r="936">
      <c r="A936" s="834" t="n"/>
      <c r="B936" s="835" t="n"/>
      <c r="C936" s="836" t="n"/>
      <c r="D936" s="836" t="n"/>
      <c r="E936" s="836" t="n"/>
      <c r="F936" s="836" t="n"/>
      <c r="G936" s="837" t="n"/>
      <c r="H936" s="836" t="n"/>
      <c r="I936" s="837" t="n"/>
      <c r="J936" s="1345" t="n"/>
      <c r="K936" s="1345" t="n"/>
      <c r="L936" s="1345" t="n"/>
      <c r="M936" s="1345" t="n"/>
      <c r="N936" s="1345" t="n"/>
    </row>
    <row r="937">
      <c r="A937" s="834" t="n"/>
      <c r="B937" s="835" t="n"/>
      <c r="C937" s="836" t="n"/>
      <c r="D937" s="836" t="n"/>
      <c r="E937" s="836" t="n"/>
      <c r="F937" s="836" t="n"/>
      <c r="G937" s="837" t="n"/>
      <c r="H937" s="836" t="n"/>
      <c r="I937" s="837" t="n"/>
      <c r="J937" s="1345" t="n"/>
      <c r="K937" s="1345" t="n"/>
      <c r="L937" s="1345" t="n"/>
      <c r="M937" s="1345" t="n"/>
      <c r="N937" s="1345" t="n"/>
    </row>
    <row r="938">
      <c r="A938" s="834" t="n"/>
      <c r="B938" s="835" t="n"/>
      <c r="C938" s="836" t="n"/>
      <c r="D938" s="836" t="n"/>
      <c r="E938" s="836" t="n"/>
      <c r="F938" s="836" t="n"/>
      <c r="G938" s="837" t="n"/>
      <c r="H938" s="836" t="n"/>
      <c r="I938" s="837" t="n"/>
      <c r="J938" s="1345" t="n"/>
      <c r="K938" s="1345" t="n"/>
      <c r="L938" s="1345" t="n"/>
      <c r="M938" s="1345" t="n"/>
      <c r="N938" s="1345" t="n"/>
    </row>
    <row r="939">
      <c r="A939" s="834" t="n"/>
      <c r="B939" s="835" t="n"/>
      <c r="C939" s="836" t="n"/>
      <c r="D939" s="836" t="n"/>
      <c r="E939" s="836" t="n"/>
      <c r="F939" s="836" t="n"/>
      <c r="G939" s="837" t="n"/>
      <c r="H939" s="836" t="n"/>
      <c r="I939" s="837" t="n"/>
      <c r="J939" s="1345" t="n"/>
      <c r="K939" s="1345" t="n"/>
      <c r="L939" s="1345" t="n"/>
      <c r="M939" s="1345" t="n"/>
      <c r="N939" s="1345" t="n"/>
    </row>
    <row r="940">
      <c r="A940" s="834" t="n"/>
      <c r="B940" s="835" t="n"/>
      <c r="C940" s="836" t="n"/>
      <c r="D940" s="836" t="n"/>
      <c r="E940" s="836" t="n"/>
      <c r="F940" s="836" t="n"/>
      <c r="G940" s="837" t="n"/>
      <c r="H940" s="836" t="n"/>
      <c r="I940" s="837" t="n"/>
      <c r="J940" s="1345" t="n"/>
      <c r="K940" s="1345" t="n"/>
      <c r="L940" s="1345" t="n"/>
      <c r="M940" s="1345" t="n"/>
      <c r="N940" s="1345" t="n"/>
    </row>
    <row r="941">
      <c r="A941" s="834" t="n"/>
      <c r="B941" s="835" t="n"/>
      <c r="C941" s="836" t="n"/>
      <c r="D941" s="836" t="n"/>
      <c r="E941" s="836" t="n"/>
      <c r="F941" s="836" t="n"/>
      <c r="G941" s="837" t="n"/>
      <c r="H941" s="836" t="n"/>
      <c r="I941" s="837" t="n"/>
      <c r="J941" s="1345" t="n"/>
      <c r="K941" s="1345" t="n"/>
      <c r="L941" s="1345" t="n"/>
      <c r="M941" s="1345" t="n"/>
      <c r="N941" s="1345" t="n"/>
    </row>
    <row r="942">
      <c r="A942" s="834" t="n"/>
      <c r="B942" s="835" t="n"/>
      <c r="C942" s="836" t="n"/>
      <c r="D942" s="836" t="n"/>
      <c r="E942" s="836" t="n"/>
      <c r="F942" s="836" t="n"/>
      <c r="G942" s="837" t="n"/>
      <c r="H942" s="836" t="n"/>
      <c r="I942" s="837" t="n"/>
      <c r="J942" s="1345" t="n"/>
      <c r="K942" s="1345" t="n"/>
      <c r="L942" s="1345" t="n"/>
      <c r="M942" s="1345" t="n"/>
      <c r="N942" s="1345" t="n"/>
    </row>
    <row r="943">
      <c r="A943" s="834" t="n"/>
      <c r="B943" s="835" t="n"/>
      <c r="C943" s="836" t="n"/>
      <c r="D943" s="836" t="n"/>
      <c r="E943" s="836" t="n"/>
      <c r="F943" s="836" t="n"/>
      <c r="G943" s="837" t="n"/>
      <c r="H943" s="836" t="n"/>
      <c r="I943" s="837" t="n"/>
      <c r="J943" s="1345" t="n"/>
      <c r="K943" s="1345" t="n"/>
      <c r="L943" s="1345" t="n"/>
      <c r="M943" s="1345" t="n"/>
      <c r="N943" s="1345" t="n"/>
    </row>
    <row r="944">
      <c r="A944" s="834" t="n"/>
      <c r="B944" s="835" t="n"/>
      <c r="C944" s="836" t="n"/>
      <c r="D944" s="836" t="n"/>
      <c r="E944" s="836" t="n"/>
      <c r="F944" s="836" t="n"/>
      <c r="G944" s="837" t="n"/>
      <c r="H944" s="836" t="n"/>
      <c r="I944" s="837" t="n"/>
      <c r="J944" s="1345" t="n"/>
      <c r="K944" s="1345" t="n"/>
      <c r="L944" s="1345" t="n"/>
      <c r="M944" s="1345" t="n"/>
      <c r="N944" s="1345" t="n"/>
    </row>
    <row r="945">
      <c r="A945" s="834" t="n"/>
      <c r="B945" s="835" t="n"/>
      <c r="C945" s="836" t="n"/>
      <c r="D945" s="836" t="n"/>
      <c r="E945" s="836" t="n"/>
      <c r="F945" s="836" t="n"/>
      <c r="G945" s="837" t="n"/>
      <c r="H945" s="836" t="n"/>
      <c r="I945" s="837" t="n"/>
      <c r="J945" s="1345" t="n"/>
      <c r="K945" s="1345" t="n"/>
      <c r="L945" s="1345" t="n"/>
      <c r="M945" s="1345" t="n"/>
      <c r="N945" s="1345" t="n"/>
    </row>
    <row r="946">
      <c r="A946" s="834" t="n"/>
      <c r="B946" s="835" t="n"/>
      <c r="C946" s="836" t="n"/>
      <c r="D946" s="836" t="n"/>
      <c r="E946" s="836" t="n"/>
      <c r="F946" s="836" t="n"/>
      <c r="G946" s="837" t="n"/>
      <c r="H946" s="836" t="n"/>
      <c r="I946" s="837" t="n"/>
      <c r="J946" s="1345" t="n"/>
      <c r="K946" s="1345" t="n"/>
      <c r="L946" s="1345" t="n"/>
      <c r="M946" s="1345" t="n"/>
      <c r="N946" s="1345" t="n"/>
    </row>
    <row r="947">
      <c r="A947" s="834" t="n"/>
      <c r="B947" s="835" t="n"/>
      <c r="C947" s="836" t="n"/>
      <c r="D947" s="836" t="n"/>
      <c r="E947" s="836" t="n"/>
      <c r="F947" s="836" t="n"/>
      <c r="G947" s="837" t="n"/>
      <c r="H947" s="836" t="n"/>
      <c r="I947" s="837" t="n"/>
      <c r="J947" s="1345" t="n"/>
      <c r="K947" s="1345" t="n"/>
      <c r="L947" s="1345" t="n"/>
      <c r="M947" s="1345" t="n"/>
      <c r="N947" s="1345" t="n"/>
    </row>
    <row r="948">
      <c r="A948" s="834" t="n"/>
      <c r="B948" s="835" t="n"/>
      <c r="C948" s="836" t="n"/>
      <c r="D948" s="836" t="n"/>
      <c r="E948" s="836" t="n"/>
      <c r="F948" s="836" t="n"/>
      <c r="G948" s="837" t="n"/>
      <c r="H948" s="836" t="n"/>
      <c r="I948" s="837" t="n"/>
      <c r="J948" s="1345" t="n"/>
      <c r="K948" s="1345" t="n"/>
      <c r="L948" s="1345" t="n"/>
      <c r="M948" s="1345" t="n"/>
      <c r="N948" s="1345" t="n"/>
    </row>
    <row r="949">
      <c r="A949" s="834" t="n"/>
      <c r="B949" s="835" t="n"/>
      <c r="C949" s="836" t="n"/>
      <c r="D949" s="836" t="n"/>
      <c r="E949" s="836" t="n"/>
      <c r="F949" s="836" t="n"/>
      <c r="G949" s="837" t="n"/>
      <c r="H949" s="836" t="n"/>
      <c r="I949" s="837" t="n"/>
      <c r="J949" s="1345" t="n"/>
      <c r="K949" s="1345" t="n"/>
      <c r="L949" s="1345" t="n"/>
      <c r="M949" s="1345" t="n"/>
      <c r="N949" s="1345" t="n"/>
    </row>
    <row r="950">
      <c r="A950" s="834" t="n"/>
      <c r="B950" s="835" t="n"/>
      <c r="C950" s="836" t="n"/>
      <c r="D950" s="836" t="n"/>
      <c r="E950" s="836" t="n"/>
      <c r="F950" s="836" t="n"/>
      <c r="G950" s="837" t="n"/>
      <c r="H950" s="836" t="n"/>
      <c r="I950" s="837" t="n"/>
      <c r="J950" s="1345" t="n"/>
      <c r="K950" s="1345" t="n"/>
      <c r="L950" s="1345" t="n"/>
      <c r="M950" s="1345" t="n"/>
      <c r="N950" s="1345" t="n"/>
    </row>
    <row r="951">
      <c r="A951" s="834" t="n"/>
      <c r="B951" s="835" t="n"/>
      <c r="C951" s="836" t="n"/>
      <c r="D951" s="836" t="n"/>
      <c r="E951" s="836" t="n"/>
      <c r="F951" s="836" t="n"/>
      <c r="G951" s="837" t="n"/>
      <c r="H951" s="836" t="n"/>
      <c r="I951" s="837" t="n"/>
      <c r="J951" s="1345" t="n"/>
      <c r="K951" s="1345" t="n"/>
      <c r="L951" s="1345" t="n"/>
      <c r="M951" s="1345" t="n"/>
      <c r="N951" s="1345" t="n"/>
    </row>
    <row r="952">
      <c r="A952" s="834" t="n"/>
      <c r="B952" s="835" t="n"/>
      <c r="C952" s="836" t="n"/>
      <c r="D952" s="836" t="n"/>
      <c r="E952" s="836" t="n"/>
      <c r="F952" s="836" t="n"/>
      <c r="G952" s="837" t="n"/>
      <c r="H952" s="836" t="n"/>
      <c r="I952" s="837" t="n"/>
      <c r="J952" s="1345" t="n"/>
      <c r="K952" s="1345" t="n"/>
      <c r="L952" s="1345" t="n"/>
      <c r="M952" s="1345" t="n"/>
      <c r="N952" s="1345" t="n"/>
    </row>
    <row r="953">
      <c r="A953" s="834" t="n"/>
      <c r="B953" s="835" t="n"/>
      <c r="C953" s="836" t="n"/>
      <c r="D953" s="836" t="n"/>
      <c r="E953" s="836" t="n"/>
      <c r="F953" s="836" t="n"/>
      <c r="G953" s="837" t="n"/>
      <c r="H953" s="836" t="n"/>
      <c r="I953" s="837" t="n"/>
      <c r="J953" s="1345" t="n"/>
      <c r="K953" s="1345" t="n"/>
      <c r="L953" s="1345" t="n"/>
      <c r="M953" s="1345" t="n"/>
      <c r="N953" s="1345" t="n"/>
    </row>
    <row r="954">
      <c r="A954" s="834" t="n"/>
      <c r="B954" s="835" t="n"/>
      <c r="C954" s="836" t="n"/>
      <c r="D954" s="836" t="n"/>
      <c r="E954" s="836" t="n"/>
      <c r="F954" s="836" t="n"/>
      <c r="G954" s="837" t="n"/>
      <c r="H954" s="836" t="n"/>
      <c r="I954" s="837" t="n"/>
      <c r="J954" s="1345" t="n"/>
      <c r="K954" s="1345" t="n"/>
      <c r="L954" s="1345" t="n"/>
      <c r="M954" s="1345" t="n"/>
      <c r="N954" s="1345" t="n"/>
    </row>
    <row r="955">
      <c r="A955" s="834" t="n"/>
      <c r="B955" s="835" t="n"/>
      <c r="C955" s="836" t="n"/>
      <c r="D955" s="836" t="n"/>
      <c r="E955" s="836" t="n"/>
      <c r="F955" s="836" t="n"/>
      <c r="G955" s="837" t="n"/>
      <c r="H955" s="836" t="n"/>
      <c r="I955" s="837" t="n"/>
      <c r="J955" s="1345" t="n"/>
      <c r="K955" s="1345" t="n"/>
      <c r="L955" s="1345" t="n"/>
      <c r="M955" s="1345" t="n"/>
      <c r="N955" s="1345" t="n"/>
    </row>
    <row r="956">
      <c r="A956" s="834" t="n"/>
      <c r="B956" s="835" t="n"/>
      <c r="C956" s="836" t="n"/>
      <c r="D956" s="836" t="n"/>
      <c r="E956" s="836" t="n"/>
      <c r="F956" s="836" t="n"/>
      <c r="G956" s="837" t="n"/>
      <c r="H956" s="836" t="n"/>
      <c r="I956" s="837" t="n"/>
      <c r="J956" s="1345" t="n"/>
      <c r="K956" s="1345" t="n"/>
      <c r="L956" s="1345" t="n"/>
      <c r="M956" s="1345" t="n"/>
      <c r="N956" s="1345" t="n"/>
    </row>
    <row r="957">
      <c r="A957" s="834" t="n"/>
      <c r="B957" s="835" t="n"/>
      <c r="C957" s="836" t="n"/>
      <c r="D957" s="836" t="n"/>
      <c r="E957" s="836" t="n"/>
      <c r="F957" s="836" t="n"/>
      <c r="G957" s="837" t="n"/>
      <c r="H957" s="836" t="n"/>
      <c r="I957" s="837" t="n"/>
      <c r="J957" s="1345" t="n"/>
      <c r="K957" s="1345" t="n"/>
      <c r="L957" s="1345" t="n"/>
      <c r="M957" s="1345" t="n"/>
      <c r="N957" s="1345" t="n"/>
    </row>
    <row r="958">
      <c r="A958" s="834" t="n"/>
      <c r="B958" s="835" t="n"/>
      <c r="C958" s="836" t="n"/>
      <c r="D958" s="836" t="n"/>
      <c r="E958" s="836" t="n"/>
      <c r="F958" s="836" t="n"/>
      <c r="G958" s="837" t="n"/>
      <c r="H958" s="836" t="n"/>
      <c r="I958" s="837" t="n"/>
      <c r="J958" s="1345" t="n"/>
      <c r="K958" s="1345" t="n"/>
      <c r="L958" s="1345" t="n"/>
      <c r="M958" s="1345" t="n"/>
      <c r="N958" s="1345" t="n"/>
    </row>
    <row r="959">
      <c r="A959" s="834" t="n"/>
      <c r="B959" s="835" t="n"/>
      <c r="C959" s="836" t="n"/>
      <c r="D959" s="836" t="n"/>
      <c r="E959" s="836" t="n"/>
      <c r="F959" s="836" t="n"/>
      <c r="G959" s="837" t="n"/>
      <c r="H959" s="836" t="n"/>
      <c r="I959" s="837" t="n"/>
      <c r="J959" s="1345" t="n"/>
      <c r="K959" s="1345" t="n"/>
      <c r="L959" s="1345" t="n"/>
      <c r="M959" s="1345" t="n"/>
      <c r="N959" s="1345" t="n"/>
    </row>
    <row r="960">
      <c r="A960" s="834" t="n"/>
      <c r="B960" s="835" t="n"/>
      <c r="C960" s="836" t="n"/>
      <c r="D960" s="836" t="n"/>
      <c r="E960" s="836" t="n"/>
      <c r="F960" s="836" t="n"/>
      <c r="G960" s="837" t="n"/>
      <c r="H960" s="836" t="n"/>
      <c r="I960" s="837" t="n"/>
      <c r="J960" s="1345" t="n"/>
      <c r="K960" s="1345" t="n"/>
      <c r="L960" s="1345" t="n"/>
      <c r="M960" s="1345" t="n"/>
      <c r="N960" s="1345" t="n"/>
    </row>
    <row r="961">
      <c r="A961" s="834" t="n"/>
      <c r="B961" s="835" t="n"/>
      <c r="C961" s="836" t="n"/>
      <c r="D961" s="836" t="n"/>
      <c r="E961" s="836" t="n"/>
      <c r="F961" s="836" t="n"/>
      <c r="G961" s="837" t="n"/>
      <c r="H961" s="836" t="n"/>
      <c r="I961" s="837" t="n"/>
      <c r="J961" s="1345" t="n"/>
      <c r="K961" s="1345" t="n"/>
      <c r="L961" s="1345" t="n"/>
      <c r="M961" s="1345" t="n"/>
      <c r="N961" s="1345" t="n"/>
    </row>
    <row r="962">
      <c r="A962" s="834" t="n"/>
      <c r="B962" s="835" t="n"/>
      <c r="C962" s="836" t="n"/>
      <c r="D962" s="836" t="n"/>
      <c r="E962" s="836" t="n"/>
      <c r="F962" s="836" t="n"/>
      <c r="G962" s="837" t="n"/>
      <c r="H962" s="836" t="n"/>
      <c r="I962" s="837" t="n"/>
      <c r="J962" s="1345" t="n"/>
      <c r="K962" s="1345" t="n"/>
      <c r="L962" s="1345" t="n"/>
      <c r="M962" s="1345" t="n"/>
      <c r="N962" s="1345" t="n"/>
    </row>
    <row r="963">
      <c r="A963" s="834" t="n"/>
      <c r="B963" s="835" t="n"/>
      <c r="C963" s="836" t="n"/>
      <c r="D963" s="836" t="n"/>
      <c r="E963" s="836" t="n"/>
      <c r="F963" s="836" t="n"/>
      <c r="G963" s="837" t="n"/>
      <c r="H963" s="836" t="n"/>
      <c r="I963" s="837" t="n"/>
      <c r="J963" s="1345" t="n"/>
      <c r="K963" s="1345" t="n"/>
      <c r="L963" s="1345" t="n"/>
      <c r="M963" s="1345" t="n"/>
      <c r="N963" s="1345" t="n"/>
    </row>
    <row r="964">
      <c r="A964" s="834" t="n"/>
      <c r="B964" s="835" t="n"/>
      <c r="C964" s="836" t="n"/>
      <c r="D964" s="836" t="n"/>
      <c r="E964" s="836" t="n"/>
      <c r="F964" s="836" t="n"/>
      <c r="G964" s="837" t="n"/>
      <c r="H964" s="836" t="n"/>
      <c r="I964" s="837" t="n"/>
      <c r="J964" s="1345" t="n"/>
      <c r="K964" s="1345" t="n"/>
      <c r="L964" s="1345" t="n"/>
      <c r="M964" s="1345" t="n"/>
      <c r="N964" s="1345" t="n"/>
    </row>
    <row r="965">
      <c r="A965" s="834" t="n"/>
      <c r="B965" s="835" t="n"/>
      <c r="C965" s="836" t="n"/>
      <c r="D965" s="836" t="n"/>
      <c r="E965" s="836" t="n"/>
      <c r="F965" s="836" t="n"/>
      <c r="G965" s="837" t="n"/>
      <c r="H965" s="836" t="n"/>
      <c r="I965" s="837" t="n"/>
      <c r="J965" s="1345" t="n"/>
      <c r="K965" s="1345" t="n"/>
      <c r="L965" s="1345" t="n"/>
      <c r="M965" s="1345" t="n"/>
      <c r="N965" s="1345" t="n"/>
    </row>
    <row r="966">
      <c r="A966" s="834" t="n"/>
      <c r="B966" s="835" t="n"/>
      <c r="C966" s="836" t="n"/>
      <c r="D966" s="836" t="n"/>
      <c r="E966" s="836" t="n"/>
      <c r="F966" s="836" t="n"/>
      <c r="G966" s="837" t="n"/>
      <c r="H966" s="836" t="n"/>
      <c r="I966" s="837" t="n"/>
      <c r="J966" s="1345" t="n"/>
      <c r="K966" s="1345" t="n"/>
      <c r="L966" s="1345" t="n"/>
      <c r="M966" s="1345" t="n"/>
      <c r="N966" s="1345" t="n"/>
    </row>
    <row r="967">
      <c r="A967" s="834" t="n"/>
      <c r="B967" s="835" t="n"/>
      <c r="C967" s="836" t="n"/>
      <c r="D967" s="836" t="n"/>
      <c r="E967" s="836" t="n"/>
      <c r="F967" s="836" t="n"/>
      <c r="G967" s="837" t="n"/>
      <c r="H967" s="836" t="n"/>
      <c r="I967" s="837" t="n"/>
      <c r="J967" s="1345" t="n"/>
      <c r="K967" s="1345" t="n"/>
      <c r="L967" s="1345" t="n"/>
      <c r="M967" s="1345" t="n"/>
      <c r="N967" s="1345" t="n"/>
    </row>
    <row r="968">
      <c r="A968" s="834" t="n"/>
      <c r="B968" s="835" t="n"/>
      <c r="C968" s="836" t="n"/>
      <c r="D968" s="836" t="n"/>
      <c r="E968" s="836" t="n"/>
      <c r="F968" s="836" t="n"/>
      <c r="G968" s="837" t="n"/>
      <c r="H968" s="836" t="n"/>
      <c r="I968" s="837" t="n"/>
      <c r="J968" s="1345" t="n"/>
      <c r="K968" s="1345" t="n"/>
      <c r="L968" s="1345" t="n"/>
      <c r="M968" s="1345" t="n"/>
      <c r="N968" s="1345" t="n"/>
    </row>
    <row r="969">
      <c r="A969" s="834" t="n"/>
      <c r="B969" s="835" t="n"/>
      <c r="C969" s="836" t="n"/>
      <c r="D969" s="836" t="n"/>
      <c r="E969" s="836" t="n"/>
      <c r="F969" s="836" t="n"/>
      <c r="G969" s="837" t="n"/>
      <c r="H969" s="836" t="n"/>
      <c r="I969" s="837" t="n"/>
      <c r="J969" s="1345" t="n"/>
      <c r="K969" s="1345" t="n"/>
      <c r="L969" s="1345" t="n"/>
      <c r="M969" s="1345" t="n"/>
      <c r="N969" s="1345" t="n"/>
    </row>
    <row r="970">
      <c r="A970" s="834" t="n"/>
      <c r="B970" s="835" t="n"/>
      <c r="C970" s="836" t="n"/>
      <c r="D970" s="836" t="n"/>
      <c r="E970" s="836" t="n"/>
      <c r="F970" s="836" t="n"/>
      <c r="G970" s="837" t="n"/>
      <c r="H970" s="836" t="n"/>
      <c r="I970" s="837" t="n"/>
      <c r="J970" s="1345" t="n"/>
      <c r="K970" s="1345" t="n"/>
      <c r="L970" s="1345" t="n"/>
      <c r="M970" s="1345" t="n"/>
      <c r="N970" s="1345" t="n"/>
    </row>
    <row r="971">
      <c r="A971" s="834" t="n"/>
      <c r="B971" s="835" t="n"/>
      <c r="C971" s="836" t="n"/>
      <c r="D971" s="836" t="n"/>
      <c r="E971" s="836" t="n"/>
      <c r="F971" s="836" t="n"/>
      <c r="G971" s="837" t="n"/>
      <c r="H971" s="836" t="n"/>
      <c r="I971" s="837" t="n"/>
      <c r="J971" s="1345" t="n"/>
      <c r="K971" s="1345" t="n"/>
      <c r="L971" s="1345" t="n"/>
      <c r="M971" s="1345" t="n"/>
      <c r="N971" s="1345" t="n"/>
    </row>
    <row r="972">
      <c r="A972" s="834" t="n"/>
      <c r="B972" s="835" t="n"/>
      <c r="C972" s="836" t="n"/>
      <c r="D972" s="836" t="n"/>
      <c r="E972" s="836" t="n"/>
      <c r="F972" s="836" t="n"/>
      <c r="G972" s="837" t="n"/>
      <c r="H972" s="836" t="n"/>
      <c r="I972" s="837" t="n"/>
      <c r="J972" s="1345" t="n"/>
      <c r="K972" s="1345" t="n"/>
      <c r="L972" s="1345" t="n"/>
      <c r="M972" s="1345" t="n"/>
      <c r="N972" s="1345" t="n"/>
    </row>
    <row r="973">
      <c r="A973" s="834" t="n"/>
      <c r="B973" s="835" t="n"/>
      <c r="C973" s="836" t="n"/>
      <c r="D973" s="836" t="n"/>
      <c r="E973" s="836" t="n"/>
      <c r="F973" s="836" t="n"/>
      <c r="G973" s="837" t="n"/>
      <c r="H973" s="836" t="n"/>
      <c r="I973" s="837" t="n"/>
      <c r="J973" s="1345" t="n"/>
      <c r="K973" s="1345" t="n"/>
      <c r="L973" s="1345" t="n"/>
      <c r="M973" s="1345" t="n"/>
      <c r="N973" s="1345" t="n"/>
    </row>
    <row r="974">
      <c r="A974" s="834" t="n"/>
      <c r="B974" s="835" t="n"/>
      <c r="C974" s="836" t="n"/>
      <c r="D974" s="836" t="n"/>
      <c r="E974" s="836" t="n"/>
      <c r="F974" s="836" t="n"/>
      <c r="G974" s="837" t="n"/>
      <c r="H974" s="836" t="n"/>
      <c r="I974" s="837" t="n"/>
      <c r="J974" s="1345" t="n"/>
      <c r="K974" s="1345" t="n"/>
      <c r="L974" s="1345" t="n"/>
      <c r="M974" s="1345" t="n"/>
      <c r="N974" s="1345" t="n"/>
    </row>
    <row r="975">
      <c r="A975" s="834" t="n"/>
      <c r="B975" s="835" t="n"/>
      <c r="C975" s="836" t="n"/>
      <c r="D975" s="836" t="n"/>
      <c r="E975" s="836" t="n"/>
      <c r="F975" s="836" t="n"/>
      <c r="G975" s="837" t="n"/>
      <c r="H975" s="836" t="n"/>
      <c r="I975" s="837" t="n"/>
      <c r="J975" s="1345" t="n"/>
      <c r="K975" s="1345" t="n"/>
      <c r="L975" s="1345" t="n"/>
      <c r="M975" s="1345" t="n"/>
      <c r="N975" s="1345" t="n"/>
    </row>
    <row r="976">
      <c r="A976" s="834" t="n"/>
      <c r="B976" s="835" t="n"/>
      <c r="C976" s="836" t="n"/>
      <c r="D976" s="836" t="n"/>
      <c r="E976" s="836" t="n"/>
      <c r="F976" s="836" t="n"/>
      <c r="G976" s="837" t="n"/>
      <c r="H976" s="836" t="n"/>
      <c r="I976" s="837" t="n"/>
      <c r="J976" s="1345" t="n"/>
      <c r="K976" s="1345" t="n"/>
      <c r="L976" s="1345" t="n"/>
      <c r="M976" s="1345" t="n"/>
      <c r="N976" s="1345" t="n"/>
    </row>
    <row r="977">
      <c r="A977" s="834" t="n"/>
      <c r="B977" s="835" t="n"/>
      <c r="C977" s="836" t="n"/>
      <c r="D977" s="836" t="n"/>
      <c r="E977" s="836" t="n"/>
      <c r="F977" s="836" t="n"/>
      <c r="G977" s="837" t="n"/>
      <c r="H977" s="836" t="n"/>
      <c r="I977" s="837" t="n"/>
      <c r="J977" s="1345" t="n"/>
      <c r="K977" s="1345" t="n"/>
      <c r="L977" s="1345" t="n"/>
      <c r="M977" s="1345" t="n"/>
      <c r="N977" s="1345" t="n"/>
    </row>
    <row r="978">
      <c r="A978" s="834" t="n"/>
      <c r="B978" s="835" t="n"/>
      <c r="C978" s="836" t="n"/>
      <c r="D978" s="836" t="n"/>
      <c r="E978" s="836" t="n"/>
      <c r="F978" s="836" t="n"/>
      <c r="G978" s="837" t="n"/>
      <c r="H978" s="836" t="n"/>
      <c r="I978" s="837" t="n"/>
      <c r="J978" s="1345" t="n"/>
      <c r="K978" s="1345" t="n"/>
      <c r="L978" s="1345" t="n"/>
      <c r="M978" s="1345" t="n"/>
      <c r="N978" s="1345" t="n"/>
    </row>
    <row r="979">
      <c r="A979" s="834" t="n"/>
      <c r="B979" s="835" t="n"/>
      <c r="C979" s="836" t="n"/>
      <c r="D979" s="836" t="n"/>
      <c r="E979" s="836" t="n"/>
      <c r="F979" s="836" t="n"/>
      <c r="G979" s="837" t="n"/>
      <c r="H979" s="836" t="n"/>
      <c r="I979" s="837" t="n"/>
      <c r="J979" s="1345" t="n"/>
      <c r="K979" s="1345" t="n"/>
      <c r="L979" s="1345" t="n"/>
      <c r="M979" s="1345" t="n"/>
      <c r="N979" s="1345" t="n"/>
    </row>
    <row r="980">
      <c r="A980" s="834" t="n"/>
      <c r="B980" s="835" t="n"/>
      <c r="C980" s="836" t="n"/>
      <c r="D980" s="836" t="n"/>
      <c r="E980" s="836" t="n"/>
      <c r="F980" s="836" t="n"/>
      <c r="G980" s="837" t="n"/>
      <c r="H980" s="836" t="n"/>
      <c r="I980" s="837" t="n"/>
      <c r="J980" s="1345" t="n"/>
      <c r="K980" s="1345" t="n"/>
      <c r="L980" s="1345" t="n"/>
      <c r="M980" s="1345" t="n"/>
      <c r="N980" s="1345" t="n"/>
    </row>
    <row r="981">
      <c r="A981" s="834" t="n"/>
      <c r="B981" s="835" t="n"/>
      <c r="C981" s="836" t="n"/>
      <c r="D981" s="836" t="n"/>
      <c r="E981" s="836" t="n"/>
      <c r="F981" s="836" t="n"/>
      <c r="G981" s="837" t="n"/>
      <c r="H981" s="836" t="n"/>
      <c r="I981" s="837" t="n"/>
      <c r="J981" s="1345" t="n"/>
      <c r="K981" s="1345" t="n"/>
      <c r="L981" s="1345" t="n"/>
      <c r="M981" s="1345" t="n"/>
      <c r="N981" s="1345" t="n"/>
    </row>
    <row r="982">
      <c r="A982" s="834" t="n"/>
      <c r="B982" s="835" t="n"/>
      <c r="C982" s="836" t="n"/>
      <c r="D982" s="836" t="n"/>
      <c r="E982" s="836" t="n"/>
      <c r="F982" s="836" t="n"/>
      <c r="G982" s="837" t="n"/>
      <c r="H982" s="836" t="n"/>
      <c r="I982" s="837" t="n"/>
      <c r="J982" s="1345" t="n"/>
      <c r="K982" s="1345" t="n"/>
      <c r="L982" s="1345" t="n"/>
      <c r="M982" s="1345" t="n"/>
      <c r="N982" s="1345" t="n"/>
    </row>
    <row r="983">
      <c r="A983" s="834" t="n"/>
      <c r="B983" s="835" t="n"/>
      <c r="C983" s="836" t="n"/>
      <c r="D983" s="836" t="n"/>
      <c r="E983" s="836" t="n"/>
      <c r="F983" s="836" t="n"/>
      <c r="G983" s="837" t="n"/>
      <c r="H983" s="836" t="n"/>
      <c r="I983" s="837" t="n"/>
      <c r="J983" s="1345" t="n"/>
      <c r="K983" s="1345" t="n"/>
      <c r="L983" s="1345" t="n"/>
      <c r="M983" s="1345" t="n"/>
      <c r="N983" s="1345" t="n"/>
    </row>
    <row r="984">
      <c r="A984" s="834" t="n"/>
      <c r="B984" s="835" t="n"/>
      <c r="C984" s="836" t="n"/>
      <c r="D984" s="836" t="n"/>
      <c r="E984" s="836" t="n"/>
      <c r="F984" s="836" t="n"/>
      <c r="G984" s="837" t="n"/>
      <c r="H984" s="836" t="n"/>
      <c r="I984" s="837" t="n"/>
      <c r="J984" s="1345" t="n"/>
      <c r="K984" s="1345" t="n"/>
      <c r="L984" s="1345" t="n"/>
      <c r="M984" s="1345" t="n"/>
      <c r="N984" s="1345" t="n"/>
    </row>
    <row r="985">
      <c r="A985" s="834" t="n"/>
      <c r="B985" s="835" t="n"/>
      <c r="C985" s="836" t="n"/>
      <c r="D985" s="836" t="n"/>
      <c r="E985" s="836" t="n"/>
      <c r="F985" s="836" t="n"/>
      <c r="G985" s="837" t="n"/>
      <c r="H985" s="836" t="n"/>
      <c r="I985" s="837" t="n"/>
      <c r="J985" s="1345" t="n"/>
      <c r="K985" s="1345" t="n"/>
      <c r="L985" s="1345" t="n"/>
      <c r="M985" s="1345" t="n"/>
      <c r="N985" s="1345" t="n"/>
    </row>
    <row r="986">
      <c r="A986" s="834" t="n"/>
      <c r="B986" s="835" t="n"/>
      <c r="C986" s="836" t="n"/>
      <c r="D986" s="836" t="n"/>
      <c r="E986" s="836" t="n"/>
      <c r="F986" s="836" t="n"/>
      <c r="G986" s="837" t="n"/>
      <c r="H986" s="836" t="n"/>
      <c r="I986" s="837" t="n"/>
      <c r="J986" s="1345" t="n"/>
      <c r="K986" s="1345" t="n"/>
      <c r="L986" s="1345" t="n"/>
      <c r="M986" s="1345" t="n"/>
      <c r="N986" s="1345" t="n"/>
    </row>
    <row r="987">
      <c r="A987" s="834" t="n"/>
      <c r="B987" s="835" t="n"/>
      <c r="C987" s="836" t="n"/>
      <c r="D987" s="836" t="n"/>
      <c r="E987" s="836" t="n"/>
      <c r="F987" s="836" t="n"/>
      <c r="G987" s="837" t="n"/>
      <c r="H987" s="836" t="n"/>
      <c r="I987" s="837" t="n"/>
      <c r="J987" s="1345" t="n"/>
      <c r="K987" s="1345" t="n"/>
      <c r="L987" s="1345" t="n"/>
      <c r="M987" s="1345" t="n"/>
      <c r="N987" s="1345" t="n"/>
    </row>
    <row r="988">
      <c r="A988" s="834" t="n"/>
      <c r="B988" s="835" t="n"/>
      <c r="C988" s="836" t="n"/>
      <c r="D988" s="836" t="n"/>
      <c r="E988" s="836" t="n"/>
      <c r="F988" s="836" t="n"/>
      <c r="G988" s="837" t="n"/>
      <c r="H988" s="836" t="n"/>
      <c r="I988" s="837" t="n"/>
      <c r="J988" s="1345" t="n"/>
      <c r="K988" s="1345" t="n"/>
      <c r="L988" s="1345" t="n"/>
      <c r="M988" s="1345" t="n"/>
      <c r="N988" s="1345" t="n"/>
    </row>
    <row r="989">
      <c r="A989" s="834" t="n"/>
      <c r="B989" s="835" t="n"/>
      <c r="C989" s="836" t="n"/>
      <c r="D989" s="836" t="n"/>
      <c r="E989" s="836" t="n"/>
      <c r="F989" s="836" t="n"/>
      <c r="G989" s="837" t="n"/>
      <c r="H989" s="836" t="n"/>
      <c r="I989" s="837" t="n"/>
      <c r="J989" s="1345" t="n"/>
      <c r="K989" s="1345" t="n"/>
      <c r="L989" s="1345" t="n"/>
      <c r="M989" s="1345" t="n"/>
      <c r="N989" s="1345" t="n"/>
    </row>
    <row r="990">
      <c r="A990" s="834" t="n"/>
      <c r="B990" s="835" t="n"/>
      <c r="C990" s="836" t="n"/>
      <c r="D990" s="836" t="n"/>
      <c r="E990" s="836" t="n"/>
      <c r="F990" s="836" t="n"/>
      <c r="G990" s="837" t="n"/>
      <c r="H990" s="836" t="n"/>
      <c r="I990" s="837" t="n"/>
      <c r="J990" s="1345" t="n"/>
      <c r="K990" s="1345" t="n"/>
      <c r="L990" s="1345" t="n"/>
      <c r="M990" s="1345" t="n"/>
      <c r="N990" s="1345" t="n"/>
    </row>
    <row r="991">
      <c r="A991" s="834" t="n"/>
      <c r="B991" s="835" t="n"/>
      <c r="C991" s="836" t="n"/>
      <c r="D991" s="836" t="n"/>
      <c r="E991" s="836" t="n"/>
      <c r="F991" s="836" t="n"/>
      <c r="G991" s="837" t="n"/>
      <c r="H991" s="836" t="n"/>
      <c r="I991" s="837" t="n"/>
      <c r="J991" s="1345" t="n"/>
      <c r="K991" s="1345" t="n"/>
      <c r="L991" s="1345" t="n"/>
      <c r="M991" s="1345" t="n"/>
      <c r="N991" s="1345" t="n"/>
    </row>
    <row r="992">
      <c r="A992" s="834" t="n"/>
      <c r="B992" s="835" t="n"/>
      <c r="C992" s="836" t="n"/>
      <c r="D992" s="836" t="n"/>
      <c r="E992" s="836" t="n"/>
      <c r="F992" s="836" t="n"/>
      <c r="G992" s="837" t="n"/>
      <c r="H992" s="836" t="n"/>
      <c r="I992" s="837" t="n"/>
      <c r="J992" s="1345" t="n"/>
      <c r="K992" s="1345" t="n"/>
      <c r="L992" s="1345" t="n"/>
      <c r="M992" s="1345" t="n"/>
      <c r="N992" s="1345" t="n"/>
    </row>
    <row r="993">
      <c r="A993" s="834" t="n"/>
      <c r="B993" s="835" t="n"/>
      <c r="C993" s="836" t="n"/>
      <c r="D993" s="836" t="n"/>
      <c r="E993" s="836" t="n"/>
      <c r="F993" s="836" t="n"/>
      <c r="G993" s="837" t="n"/>
      <c r="H993" s="836" t="n"/>
      <c r="I993" s="837" t="n"/>
      <c r="J993" s="1345" t="n"/>
      <c r="K993" s="1345" t="n"/>
      <c r="L993" s="1345" t="n"/>
      <c r="M993" s="1345" t="n"/>
      <c r="N993" s="1345" t="n"/>
    </row>
    <row r="994">
      <c r="A994" s="834" t="n"/>
      <c r="B994" s="835" t="n"/>
      <c r="C994" s="836" t="n"/>
      <c r="D994" s="836" t="n"/>
      <c r="E994" s="836" t="n"/>
      <c r="F994" s="836" t="n"/>
      <c r="G994" s="837" t="n"/>
      <c r="H994" s="836" t="n"/>
      <c r="I994" s="837" t="n"/>
      <c r="J994" s="1345" t="n"/>
      <c r="K994" s="1345" t="n"/>
      <c r="L994" s="1345" t="n"/>
      <c r="M994" s="1345" t="n"/>
      <c r="N994" s="1345" t="n"/>
    </row>
    <row r="995">
      <c r="A995" s="834" t="n"/>
      <c r="B995" s="835" t="n"/>
      <c r="C995" s="836" t="n"/>
      <c r="D995" s="836" t="n"/>
      <c r="E995" s="836" t="n"/>
      <c r="F995" s="836" t="n"/>
      <c r="G995" s="837" t="n"/>
      <c r="H995" s="836" t="n"/>
      <c r="I995" s="837" t="n"/>
      <c r="J995" s="1345" t="n"/>
      <c r="K995" s="1345" t="n"/>
      <c r="L995" s="1345" t="n"/>
      <c r="M995" s="1345" t="n"/>
      <c r="N995" s="1345" t="n"/>
    </row>
  </sheetData>
  <autoFilter ref="A1:S342"/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EC7DF5"/>
    <outlinePr summaryBelow="1" summaryRight="1"/>
    <pageSetUpPr/>
  </sheetPr>
  <dimension ref="A1:T1498"/>
  <sheetViews>
    <sheetView topLeftCell="H1" zoomScaleNormal="100" workbookViewId="0">
      <pane ySplit="1" topLeftCell="A2" activePane="bottomLeft" state="frozen"/>
      <selection activeCell="H66" sqref="H66"/>
      <selection pane="bottomLeft" activeCell="T2" sqref="T2:T7"/>
    </sheetView>
  </sheetViews>
  <sheetFormatPr baseColWidth="10" defaultColWidth="8.88671875" defaultRowHeight="14.4"/>
  <cols>
    <col width="13.88671875" customWidth="1" style="801" min="1" max="1"/>
    <col width="14.44140625" bestFit="1" customWidth="1" style="801" min="2" max="2"/>
    <col width="22.6640625" customWidth="1" style="801" min="3" max="3"/>
    <col width="9.6640625" customWidth="1" style="801" min="4" max="4"/>
    <col width="14.44140625" customWidth="1" style="801" min="5" max="5"/>
    <col width="19.33203125" customWidth="1" style="801" min="6" max="6"/>
    <col width="15.44140625" customWidth="1" style="801" min="7" max="7"/>
    <col width="10.88671875" customWidth="1" style="893" min="8" max="8"/>
    <col width="13.33203125" customWidth="1" style="801" min="9" max="9"/>
    <col width="12.88671875" customWidth="1" style="801" min="10" max="10"/>
    <col width="8.109375" customWidth="1" style="801" min="11" max="11"/>
    <col width="16.6640625" bestFit="1" customWidth="1" style="1346" min="12" max="12"/>
    <col width="10.88671875" customWidth="1" style="801" min="13" max="13"/>
    <col width="12.6640625" customWidth="1" style="801" min="14" max="14"/>
    <col width="8.88671875" customWidth="1" style="801" min="15" max="15"/>
    <col width="10.33203125" customWidth="1" style="801" min="16" max="16"/>
    <col width="13.6640625" bestFit="1" customWidth="1" style="801" min="17" max="17"/>
    <col width="16.44140625" customWidth="1" style="801" min="18" max="18"/>
    <col width="10.109375" bestFit="1" customWidth="1" style="801" min="19" max="19"/>
    <col width="16.88671875" customWidth="1" style="801" min="20" max="20"/>
    <col width="8.88671875" customWidth="1" style="801" min="21" max="16384"/>
  </cols>
  <sheetData>
    <row r="1" ht="43.2">
      <c r="A1" s="839" t="inlineStr">
        <is>
          <t xml:space="preserve">FECHA TASACION: </t>
        </is>
      </c>
      <c r="B1" s="839" t="inlineStr">
        <is>
          <t>UF tasación</t>
        </is>
      </c>
      <c r="C1" s="839" t="inlineStr">
        <is>
          <t>CLIENTE</t>
        </is>
      </c>
      <c r="D1" s="839" t="inlineStr">
        <is>
          <t>Región</t>
        </is>
      </c>
      <c r="E1" s="839" t="inlineStr">
        <is>
          <t>Comuna</t>
        </is>
      </c>
      <c r="F1" s="839" t="inlineStr">
        <is>
          <t xml:space="preserve">Tipo de Cultivo </t>
        </is>
      </c>
      <c r="G1" s="839" t="inlineStr">
        <is>
          <t>Variedad</t>
        </is>
      </c>
      <c r="H1" s="839" t="inlineStr">
        <is>
          <t>Año Plantación</t>
        </is>
      </c>
      <c r="I1" s="840" t="inlineStr">
        <is>
          <t>Densidad plantación (plantas/ha)</t>
        </is>
      </c>
      <c r="J1" s="839" t="inlineStr">
        <is>
          <t xml:space="preserve">Ubicación / Rol </t>
        </is>
      </c>
      <c r="K1" s="839" t="inlineStr">
        <is>
          <t>ha</t>
        </is>
      </c>
      <c r="L1" s="1347" t="inlineStr">
        <is>
          <t xml:space="preserve">$ Inversion xhas </t>
        </is>
      </c>
      <c r="M1" s="842" t="inlineStr">
        <is>
          <t xml:space="preserve">Años inversion </t>
        </is>
      </c>
      <c r="N1" s="842" t="inlineStr">
        <is>
          <t xml:space="preserve">Vida util (años) </t>
        </is>
      </c>
      <c r="O1" s="843" t="inlineStr">
        <is>
          <t xml:space="preserve">Vida Util Residual </t>
        </is>
      </c>
      <c r="P1" s="843" t="inlineStr">
        <is>
          <t xml:space="preserve">Castigo Comercial % </t>
        </is>
      </c>
      <c r="Q1" s="844" t="inlineStr">
        <is>
          <t xml:space="preserve">$xhas </t>
        </is>
      </c>
      <c r="R1" s="844" t="inlineStr">
        <is>
          <t xml:space="preserve">Total </t>
        </is>
      </c>
      <c r="S1" s="844" t="inlineStr">
        <is>
          <t xml:space="preserve">Total UF </t>
        </is>
      </c>
      <c r="T1" s="844" t="inlineStr">
        <is>
          <t xml:space="preserve">Estado / Observaciones </t>
        </is>
      </c>
    </row>
    <row r="2" ht="52.5" customHeight="1">
      <c r="A2" s="1332">
        <f>PORTADA!H7</f>
        <v/>
      </c>
      <c r="B2" s="479">
        <f>suelos!B2</f>
        <v/>
      </c>
      <c r="C2" s="845">
        <f>PORTADA!C14</f>
        <v/>
      </c>
      <c r="D2" s="845">
        <f>PORTADA!H12</f>
        <v/>
      </c>
      <c r="E2" s="845">
        <f>PORTADA!H11</f>
        <v/>
      </c>
      <c r="F2" s="846">
        <f>PLANT!C37</f>
        <v/>
      </c>
      <c r="G2" s="846">
        <f>PLANT!D37</f>
        <v/>
      </c>
      <c r="H2" s="939">
        <f>PLANT!F37</f>
        <v/>
      </c>
      <c r="I2" s="847">
        <f>PLANT!I37</f>
        <v/>
      </c>
      <c r="J2" s="845">
        <f>PLANT!B37</f>
        <v/>
      </c>
      <c r="K2" s="942">
        <f>PLANT!J37</f>
        <v/>
      </c>
      <c r="L2" s="1348">
        <f>ROUND(PLANT!W37*USD,-5)</f>
        <v/>
      </c>
      <c r="M2" s="913">
        <f>IF(L2&gt;K2,K2,L2)</f>
        <v/>
      </c>
      <c r="N2" s="848" t="n">
        <v>40</v>
      </c>
      <c r="O2" s="848">
        <f>IF(H2=0,"",N2-(YEAR(PORTADA!$H$7)-H2))</f>
        <v/>
      </c>
      <c r="P2" s="849" t="n"/>
      <c r="Q2" s="1349">
        <f>PLANT!AA37</f>
        <v/>
      </c>
      <c r="R2" s="1349">
        <f>Q2*K2</f>
        <v/>
      </c>
      <c r="S2" s="1350">
        <f>R2/B2</f>
        <v/>
      </c>
      <c r="T2" s="848">
        <f>PLANTACION!K5</f>
        <v/>
      </c>
    </row>
    <row r="3" ht="48" customHeight="1">
      <c r="A3" s="940">
        <f>PORTADA!H7</f>
        <v/>
      </c>
      <c r="B3" s="941">
        <f>PORTADA!$H$8</f>
        <v/>
      </c>
      <c r="C3" s="845">
        <f>PORTADA!C14</f>
        <v/>
      </c>
      <c r="D3" s="845">
        <f>PORTADA!H12</f>
        <v/>
      </c>
      <c r="E3" s="845">
        <f>PORTADA!H11</f>
        <v/>
      </c>
      <c r="F3" s="846">
        <f>PLANT!C38</f>
        <v/>
      </c>
      <c r="G3" s="846">
        <f>PLANT!D38</f>
        <v/>
      </c>
      <c r="H3" s="939">
        <f>PLANT!F38</f>
        <v/>
      </c>
      <c r="I3" s="847">
        <f>PLANT!I38</f>
        <v/>
      </c>
      <c r="J3" s="845">
        <f>PLANT!B38</f>
        <v/>
      </c>
      <c r="K3" s="942">
        <f>PLANT!J38</f>
        <v/>
      </c>
      <c r="L3" s="1348">
        <f>ROUND(PLANT!W38*USD,-5)</f>
        <v/>
      </c>
      <c r="M3" s="913" t="n"/>
      <c r="N3" s="848" t="n">
        <v>40</v>
      </c>
      <c r="O3" s="848">
        <f>IF(H3=0,"",N3-(YEAR(PORTADA!$H$7)-H3))</f>
        <v/>
      </c>
      <c r="P3" s="849" t="n"/>
      <c r="Q3" s="1349">
        <f>PLANT!AA38</f>
        <v/>
      </c>
      <c r="R3" s="1349">
        <f>Q3*K3</f>
        <v/>
      </c>
      <c r="S3" s="1350">
        <f>R3/B3</f>
        <v/>
      </c>
      <c r="T3" s="848">
        <f>PLANTACION!K6</f>
        <v/>
      </c>
    </row>
    <row r="4" ht="43.2" customHeight="1">
      <c r="A4" s="940">
        <f>PORTADA!H7</f>
        <v/>
      </c>
      <c r="B4" s="941">
        <f>PORTADA!$H$8</f>
        <v/>
      </c>
      <c r="C4" s="845">
        <f>PORTADA!C14</f>
        <v/>
      </c>
      <c r="D4" s="845">
        <f>PORTADA!H12</f>
        <v/>
      </c>
      <c r="E4" s="845">
        <f>PORTADA!H11</f>
        <v/>
      </c>
      <c r="F4" s="846">
        <f>PLANT!C39</f>
        <v/>
      </c>
      <c r="G4" s="846">
        <f>PLANT!D39</f>
        <v/>
      </c>
      <c r="H4" s="939">
        <f>PLANT!F39</f>
        <v/>
      </c>
      <c r="I4" s="847">
        <f>PLANT!I39</f>
        <v/>
      </c>
      <c r="J4" s="845">
        <f>PLANT!B39</f>
        <v/>
      </c>
      <c r="K4" s="942">
        <f>PLANT!J39</f>
        <v/>
      </c>
      <c r="L4" s="1348">
        <f>ROUND(PLANT!W39*USD,-5)</f>
        <v/>
      </c>
      <c r="M4" s="913">
        <f>IF(L4&gt;K4,K4,L4)</f>
        <v/>
      </c>
      <c r="N4" s="848" t="n">
        <v>40</v>
      </c>
      <c r="O4" s="848">
        <f>IF(H4=0,"",N4-(YEAR(PORTADA!$H$7)-H4))</f>
        <v/>
      </c>
      <c r="P4" s="849" t="n"/>
      <c r="Q4" s="1349">
        <f>PLANT!AA39</f>
        <v/>
      </c>
      <c r="R4" s="1349">
        <f>Q4*K4</f>
        <v/>
      </c>
      <c r="S4" s="1350">
        <f>R4/B4</f>
        <v/>
      </c>
      <c r="T4" s="848">
        <f>PLANTACION!K7</f>
        <v/>
      </c>
    </row>
    <row r="5" ht="43.2" customHeight="1">
      <c r="A5" s="940">
        <f>PORTADA!H7</f>
        <v/>
      </c>
      <c r="B5" s="941">
        <f>PORTADA!$H$8</f>
        <v/>
      </c>
      <c r="C5" s="845">
        <f>PORTADA!C14</f>
        <v/>
      </c>
      <c r="D5" s="845">
        <f>PORTADA!H12</f>
        <v/>
      </c>
      <c r="E5" s="845">
        <f>PORTADA!H11</f>
        <v/>
      </c>
      <c r="F5" s="846">
        <f>PLANT!C40</f>
        <v/>
      </c>
      <c r="G5" s="846">
        <f>PLANT!D40</f>
        <v/>
      </c>
      <c r="H5" s="939">
        <f>PLANT!F40</f>
        <v/>
      </c>
      <c r="I5" s="847">
        <f>PLANT!I40</f>
        <v/>
      </c>
      <c r="J5" s="845">
        <f>PLANT!B40</f>
        <v/>
      </c>
      <c r="K5" s="942">
        <f>PLANT!J40</f>
        <v/>
      </c>
      <c r="L5" s="1348">
        <f>ROUND(PLANT!W40*USD,-5)</f>
        <v/>
      </c>
      <c r="M5" s="913" t="n"/>
      <c r="N5" s="848" t="n">
        <v>40</v>
      </c>
      <c r="O5" s="848">
        <f>IF(H5=0,"",N5-(YEAR(PORTADA!$H$7)-H5))</f>
        <v/>
      </c>
      <c r="P5" s="849" t="n"/>
      <c r="Q5" s="1349">
        <f>PLANT!AA40</f>
        <v/>
      </c>
      <c r="R5" s="1349">
        <f>Q5*K5</f>
        <v/>
      </c>
      <c r="S5" s="1350">
        <f>R5/B5</f>
        <v/>
      </c>
      <c r="T5" s="848">
        <f>PLANTACION!K8</f>
        <v/>
      </c>
    </row>
    <row r="6" ht="43.2" customHeight="1">
      <c r="A6" s="940">
        <f>PORTADA!H7</f>
        <v/>
      </c>
      <c r="B6" s="941">
        <f>PORTADA!$H$8</f>
        <v/>
      </c>
      <c r="C6" s="845">
        <f>PORTADA!C14</f>
        <v/>
      </c>
      <c r="D6" s="845">
        <f>PORTADA!H12</f>
        <v/>
      </c>
      <c r="E6" s="845">
        <f>PORTADA!H11</f>
        <v/>
      </c>
      <c r="F6" s="846">
        <f>PLANT!C41</f>
        <v/>
      </c>
      <c r="G6" s="846">
        <f>PLANT!D41</f>
        <v/>
      </c>
      <c r="H6" s="939">
        <f>PLANT!F41</f>
        <v/>
      </c>
      <c r="I6" s="847">
        <f>PLANT!I41</f>
        <v/>
      </c>
      <c r="J6" s="845">
        <f>PLANT!B41</f>
        <v/>
      </c>
      <c r="K6" s="942">
        <f>PLANT!J41</f>
        <v/>
      </c>
      <c r="L6" s="1348">
        <f>ROUND(PLANT!W41*USD,-5)</f>
        <v/>
      </c>
      <c r="M6" s="913" t="n"/>
      <c r="N6" s="848" t="n">
        <v>40</v>
      </c>
      <c r="O6" s="848">
        <f>IF(H6=0,"",N6-(YEAR(PORTADA!$H$7)-H6))</f>
        <v/>
      </c>
      <c r="P6" s="849" t="n"/>
      <c r="Q6" s="1349">
        <f>PLANT!AA41</f>
        <v/>
      </c>
      <c r="R6" s="1349">
        <f>Q6*K6</f>
        <v/>
      </c>
      <c r="S6" s="1350">
        <f>R6/B6</f>
        <v/>
      </c>
      <c r="T6" s="848">
        <f>PLANTACION!K9</f>
        <v/>
      </c>
    </row>
    <row r="7" ht="43.2" customHeight="1">
      <c r="A7" s="940">
        <f>PORTADA!H7</f>
        <v/>
      </c>
      <c r="B7" s="941">
        <f>PORTADA!$H$8</f>
        <v/>
      </c>
      <c r="C7" s="845">
        <f>PORTADA!C14</f>
        <v/>
      </c>
      <c r="D7" s="845">
        <f>PORTADA!H12</f>
        <v/>
      </c>
      <c r="E7" s="845">
        <f>PORTADA!H11</f>
        <v/>
      </c>
      <c r="F7" s="846">
        <f>PLANT!C42</f>
        <v/>
      </c>
      <c r="G7" s="846">
        <f>PLANT!D42</f>
        <v/>
      </c>
      <c r="H7" s="939">
        <f>PLANT!F42</f>
        <v/>
      </c>
      <c r="I7" s="847">
        <f>PLANT!I42</f>
        <v/>
      </c>
      <c r="J7" s="845">
        <f>PLANT!B42</f>
        <v/>
      </c>
      <c r="K7" s="942">
        <f>PLANT!J42</f>
        <v/>
      </c>
      <c r="L7" s="1348">
        <f>ROUND(PLANT!W42*USD,-5)</f>
        <v/>
      </c>
      <c r="M7" s="913" t="n"/>
      <c r="N7" s="848" t="n">
        <v>40</v>
      </c>
      <c r="O7" s="848">
        <f>IF(H7=0,"",N7-(YEAR(PORTADA!$H$7)-H7))</f>
        <v/>
      </c>
      <c r="P7" s="849" t="n"/>
      <c r="Q7" s="1349">
        <f>PLANT!AA42</f>
        <v/>
      </c>
      <c r="R7" s="1349">
        <f>Q7*K7</f>
        <v/>
      </c>
      <c r="S7" s="1350">
        <f>R7/B7</f>
        <v/>
      </c>
      <c r="T7" s="848">
        <f>PLANTACION!K10</f>
        <v/>
      </c>
    </row>
    <row r="8">
      <c r="A8" s="852" t="n"/>
      <c r="B8" s="1351" t="n"/>
      <c r="D8" s="854" t="n"/>
      <c r="E8" s="854" t="n"/>
      <c r="F8" s="855" t="n"/>
      <c r="G8" s="856" t="n"/>
      <c r="H8" s="855" t="n"/>
      <c r="I8" s="857" t="n"/>
      <c r="K8" s="858">
        <f>SUM(K2:K7)</f>
        <v/>
      </c>
      <c r="L8" s="1352" t="n"/>
      <c r="R8" s="1353">
        <f>SUM(R2:R7)</f>
        <v/>
      </c>
    </row>
    <row r="9">
      <c r="A9" s="852" t="n"/>
      <c r="B9" s="1351" t="n"/>
      <c r="D9" s="854" t="n"/>
      <c r="E9" s="854" t="n"/>
      <c r="F9" s="855" t="n"/>
      <c r="G9" s="856" t="n"/>
      <c r="H9" s="855" t="n"/>
      <c r="I9" s="857" t="n"/>
      <c r="K9" s="861" t="n"/>
      <c r="L9" s="1352" t="n"/>
    </row>
    <row r="10">
      <c r="A10" s="852" t="n"/>
      <c r="B10" s="1351" t="n"/>
      <c r="D10" s="854" t="n"/>
      <c r="E10" s="854" t="n"/>
      <c r="F10" s="855" t="n"/>
      <c r="G10" s="856" t="n"/>
      <c r="H10" s="855" t="n"/>
      <c r="I10" s="857" t="n"/>
      <c r="K10" s="861" t="n"/>
      <c r="L10" s="1352" t="n"/>
    </row>
    <row r="11">
      <c r="A11" s="852" t="n"/>
      <c r="B11" s="1351" t="n"/>
      <c r="D11" s="854" t="n"/>
      <c r="E11" s="854" t="n"/>
      <c r="F11" s="855" t="n"/>
      <c r="G11" s="856" t="n"/>
      <c r="H11" s="855" t="n"/>
      <c r="I11" s="857" t="n"/>
      <c r="K11" s="861" t="n"/>
      <c r="L11" s="1352" t="n"/>
    </row>
    <row r="12">
      <c r="A12" s="852" t="n"/>
      <c r="B12" s="862" t="n"/>
      <c r="C12" s="863" t="n"/>
      <c r="D12" s="863" t="n"/>
      <c r="E12" s="863" t="n"/>
      <c r="H12" s="801" t="n"/>
      <c r="L12" s="1352" t="n"/>
    </row>
    <row r="13">
      <c r="A13" s="852" t="n"/>
      <c r="B13" s="862" t="n"/>
      <c r="C13" s="863" t="n"/>
      <c r="D13" s="863" t="n"/>
      <c r="E13" s="863" t="n"/>
      <c r="H13" s="801" t="n"/>
      <c r="L13" s="1352" t="n"/>
    </row>
    <row r="14">
      <c r="A14" s="852" t="n"/>
      <c r="B14" s="862" t="n"/>
      <c r="C14" s="863" t="n"/>
      <c r="D14" s="863" t="n"/>
      <c r="E14" s="863" t="n"/>
      <c r="H14" s="801" t="n"/>
      <c r="L14" s="1352" t="n"/>
    </row>
    <row r="15">
      <c r="A15" s="852" t="n"/>
      <c r="B15" s="862" t="n"/>
      <c r="C15" s="863" t="n"/>
      <c r="D15" s="863" t="n"/>
      <c r="E15" s="863" t="n"/>
      <c r="H15" s="801" t="n"/>
      <c r="L15" s="1352" t="n"/>
    </row>
    <row r="16">
      <c r="A16" s="852" t="n"/>
      <c r="B16" s="862" t="n"/>
      <c r="C16" s="863" t="n"/>
      <c r="D16" s="863" t="n"/>
      <c r="E16" s="863" t="n"/>
      <c r="H16" s="801" t="n"/>
      <c r="L16" s="1352" t="n"/>
    </row>
    <row r="17">
      <c r="A17" s="852" t="n"/>
      <c r="B17" s="862" t="n"/>
      <c r="C17" s="863" t="n"/>
      <c r="D17" s="863" t="n"/>
      <c r="E17" s="863" t="n"/>
      <c r="H17" s="801" t="n"/>
      <c r="L17" s="1352" t="n"/>
    </row>
    <row r="18">
      <c r="A18" s="852" t="n"/>
      <c r="B18" s="862" t="n"/>
      <c r="C18" s="863" t="n"/>
      <c r="D18" s="863" t="n"/>
      <c r="E18" s="863" t="n"/>
      <c r="H18" s="801" t="n"/>
      <c r="L18" s="1352" t="n"/>
    </row>
    <row r="19">
      <c r="A19" s="852" t="n"/>
      <c r="B19" s="862" t="n"/>
      <c r="C19" s="863" t="n"/>
      <c r="D19" s="863" t="n"/>
      <c r="E19" s="863" t="n"/>
      <c r="H19" s="801" t="n"/>
      <c r="L19" s="1352" t="n"/>
    </row>
    <row r="20">
      <c r="A20" s="852" t="n"/>
      <c r="B20" s="862" t="n"/>
      <c r="C20" s="863" t="n"/>
      <c r="D20" s="863" t="n"/>
      <c r="E20" s="863" t="n"/>
      <c r="H20" s="801" t="n"/>
      <c r="L20" s="1352" t="n"/>
    </row>
    <row r="21">
      <c r="A21" s="852" t="n"/>
      <c r="B21" s="862" t="n"/>
      <c r="C21" s="863" t="n"/>
      <c r="D21" s="863" t="n"/>
      <c r="E21" s="863" t="n"/>
      <c r="H21" s="801" t="n"/>
      <c r="L21" s="1352" t="n"/>
    </row>
    <row r="22">
      <c r="A22" s="852" t="n"/>
      <c r="B22" s="862" t="n"/>
      <c r="C22" s="863" t="n"/>
      <c r="D22" s="863" t="n"/>
      <c r="E22" s="863" t="n"/>
      <c r="H22" s="801" t="n"/>
      <c r="L22" s="1352" t="n"/>
    </row>
    <row r="23">
      <c r="A23" s="852" t="n"/>
      <c r="B23" s="862" t="n"/>
      <c r="C23" s="863" t="n"/>
      <c r="D23" s="863" t="n"/>
      <c r="E23" s="863" t="n"/>
      <c r="H23" s="801" t="n"/>
      <c r="L23" s="1352" t="n"/>
    </row>
    <row r="24">
      <c r="A24" s="852" t="n"/>
      <c r="B24" s="862" t="n"/>
      <c r="C24" s="863" t="n"/>
      <c r="D24" s="863" t="n"/>
      <c r="E24" s="863" t="n"/>
      <c r="H24" s="801" t="n"/>
      <c r="L24" s="1352" t="n"/>
    </row>
    <row r="25">
      <c r="A25" s="864" t="n"/>
      <c r="B25" s="865" t="n"/>
      <c r="C25" s="863" t="n"/>
      <c r="D25" s="863" t="n"/>
      <c r="E25" s="866" t="n"/>
      <c r="H25" s="855" t="n"/>
      <c r="I25" s="857" t="n"/>
      <c r="J25" s="856" t="n"/>
      <c r="K25" s="867" t="n"/>
      <c r="L25" s="1352" t="n"/>
      <c r="M25" s="855" t="n"/>
    </row>
    <row r="26">
      <c r="A26" s="864" t="n"/>
      <c r="B26" s="865" t="n"/>
      <c r="C26" s="863" t="n"/>
      <c r="D26" s="863" t="n"/>
      <c r="E26" s="866" t="n"/>
      <c r="H26" s="855" t="n"/>
      <c r="I26" s="857" t="n"/>
      <c r="J26" s="856" t="n"/>
      <c r="K26" s="867" t="n"/>
      <c r="L26" s="1352" t="n"/>
      <c r="M26" s="855" t="n"/>
    </row>
    <row r="27">
      <c r="A27" s="864" t="n"/>
      <c r="B27" s="865" t="n"/>
      <c r="C27" s="863" t="n"/>
      <c r="D27" s="863" t="n"/>
      <c r="E27" s="866" t="n"/>
      <c r="H27" s="855" t="n"/>
      <c r="I27" s="857" t="n"/>
      <c r="J27" s="856" t="n"/>
      <c r="K27" s="867" t="n"/>
      <c r="L27" s="1352" t="n"/>
      <c r="M27" s="855" t="n"/>
    </row>
    <row r="28">
      <c r="A28" s="852" t="n"/>
      <c r="B28" s="865" t="n"/>
      <c r="C28" s="854" t="n"/>
      <c r="D28" s="854" t="n"/>
      <c r="E28" s="854" t="n"/>
      <c r="F28" s="868" t="n"/>
      <c r="G28" s="869" t="n"/>
      <c r="H28" s="868" t="n"/>
      <c r="I28" s="868" t="n"/>
      <c r="J28" s="869" t="n"/>
      <c r="K28" s="868" t="n"/>
      <c r="L28" s="1354" t="n"/>
      <c r="M28" s="855" t="n"/>
    </row>
    <row r="29">
      <c r="A29" s="852" t="n"/>
      <c r="B29" s="865" t="n"/>
      <c r="C29" s="854" t="n"/>
      <c r="D29" s="854" t="n"/>
      <c r="E29" s="854" t="n"/>
      <c r="F29" s="868" t="n"/>
      <c r="G29" s="869" t="n"/>
      <c r="H29" s="868" t="n"/>
      <c r="I29" s="868" t="n"/>
      <c r="J29" s="869" t="n"/>
      <c r="K29" s="868" t="n"/>
      <c r="L29" s="1354" t="n"/>
      <c r="M29" s="855" t="n"/>
    </row>
    <row r="30">
      <c r="A30" s="852" t="n"/>
      <c r="B30" s="865" t="n"/>
      <c r="C30" s="854" t="n"/>
      <c r="D30" s="854" t="n"/>
      <c r="E30" s="854" t="n"/>
      <c r="F30" s="868" t="n"/>
      <c r="G30" s="869" t="n"/>
      <c r="H30" s="868" t="n"/>
      <c r="I30" s="868" t="n"/>
      <c r="J30" s="869" t="n"/>
      <c r="K30" s="868" t="n"/>
      <c r="L30" s="1354" t="n"/>
      <c r="M30" s="855" t="n"/>
    </row>
    <row r="31">
      <c r="A31" s="852" t="n"/>
      <c r="B31" s="865" t="n"/>
      <c r="C31" s="854" t="n"/>
      <c r="D31" s="854" t="n"/>
      <c r="E31" s="854" t="n"/>
      <c r="F31" s="868" t="n"/>
      <c r="G31" s="869" t="n"/>
      <c r="H31" s="868" t="n"/>
      <c r="I31" s="868" t="n"/>
      <c r="J31" s="869" t="n"/>
      <c r="K31" s="868" t="n"/>
      <c r="L31" s="1354" t="n"/>
      <c r="M31" s="855" t="n"/>
    </row>
    <row r="32">
      <c r="A32" s="852" t="n"/>
      <c r="B32" s="865" t="n"/>
      <c r="C32" s="854" t="n"/>
      <c r="D32" s="854" t="n"/>
      <c r="E32" s="854" t="n"/>
      <c r="F32" s="855" t="n"/>
      <c r="G32" s="871" t="n"/>
      <c r="H32" s="855" t="n"/>
      <c r="I32" s="857" t="n"/>
      <c r="J32" s="856" t="n"/>
      <c r="K32" s="867" t="n"/>
      <c r="L32" s="1352" t="n"/>
      <c r="M32" s="855" t="n"/>
    </row>
    <row r="33">
      <c r="A33" s="852" t="n"/>
      <c r="B33" s="865" t="n"/>
      <c r="C33" s="854" t="n"/>
      <c r="D33" s="854" t="n"/>
      <c r="E33" s="854" t="n"/>
      <c r="F33" s="855" t="n"/>
      <c r="G33" s="871" t="n"/>
      <c r="H33" s="855" t="n"/>
      <c r="I33" s="857" t="n"/>
      <c r="J33" s="856" t="n"/>
      <c r="K33" s="867" t="n"/>
      <c r="L33" s="1352" t="n"/>
      <c r="M33" s="855" t="n"/>
    </row>
    <row r="34">
      <c r="A34" s="852" t="n"/>
      <c r="B34" s="865" t="n"/>
      <c r="C34" s="854" t="n"/>
      <c r="D34" s="854" t="n"/>
      <c r="E34" s="854" t="n"/>
      <c r="F34" s="855" t="n"/>
      <c r="G34" s="871" t="n"/>
      <c r="H34" s="855" t="n"/>
      <c r="I34" s="857" t="n"/>
      <c r="J34" s="856" t="n"/>
      <c r="K34" s="867" t="n"/>
      <c r="L34" s="1352" t="n"/>
      <c r="M34" s="855" t="n"/>
    </row>
    <row r="35">
      <c r="A35" s="852" t="n"/>
      <c r="B35" s="865" t="n"/>
      <c r="C35" s="854" t="n"/>
      <c r="D35" s="854" t="n"/>
      <c r="E35" s="854" t="n"/>
      <c r="F35" s="855" t="n"/>
      <c r="G35" s="871" t="n"/>
      <c r="H35" s="855" t="n"/>
      <c r="I35" s="857" t="n"/>
      <c r="J35" s="856" t="n"/>
      <c r="K35" s="867" t="n"/>
      <c r="L35" s="1352" t="n"/>
      <c r="M35" s="855" t="n"/>
    </row>
    <row r="36">
      <c r="A36" s="852" t="n"/>
      <c r="B36" s="865" t="n"/>
      <c r="C36" s="854" t="n"/>
      <c r="D36" s="854" t="n"/>
      <c r="E36" s="854" t="n"/>
      <c r="F36" s="855" t="n"/>
      <c r="G36" s="871" t="n"/>
      <c r="H36" s="855" t="n"/>
      <c r="I36" s="857" t="n"/>
      <c r="J36" s="856" t="n"/>
      <c r="K36" s="867" t="n"/>
      <c r="L36" s="1352" t="n"/>
      <c r="M36" s="855" t="n"/>
    </row>
    <row r="37">
      <c r="A37" s="852" t="n"/>
      <c r="B37" s="865" t="n"/>
      <c r="C37" s="854" t="n"/>
      <c r="D37" s="854" t="n"/>
      <c r="E37" s="854" t="n"/>
      <c r="F37" s="855" t="n"/>
      <c r="G37" s="871" t="n"/>
      <c r="H37" s="855" t="n"/>
      <c r="I37" s="857" t="n"/>
      <c r="J37" s="856" t="n"/>
      <c r="K37" s="867" t="n"/>
      <c r="L37" s="1352" t="n"/>
      <c r="M37" s="855" t="n"/>
    </row>
    <row r="38">
      <c r="A38" s="852" t="n"/>
      <c r="B38" s="865" t="n"/>
      <c r="C38" s="854" t="n"/>
      <c r="D38" s="854" t="n"/>
      <c r="E38" s="854" t="n"/>
      <c r="F38" s="855" t="n"/>
      <c r="G38" s="871" t="n"/>
      <c r="H38" s="855" t="n"/>
      <c r="I38" s="857" t="n"/>
      <c r="J38" s="856" t="n"/>
      <c r="K38" s="867" t="n"/>
      <c r="L38" s="1352" t="n"/>
      <c r="M38" s="855" t="n"/>
    </row>
    <row r="39">
      <c r="A39" s="852" t="n"/>
      <c r="B39" s="862" t="n"/>
      <c r="C39" s="863" t="n"/>
      <c r="D39" s="863" t="n"/>
      <c r="E39" s="863" t="n"/>
      <c r="H39" s="801" t="n"/>
      <c r="L39" s="1355" t="n"/>
      <c r="M39" s="855" t="n"/>
    </row>
    <row r="40">
      <c r="A40" s="852" t="n"/>
      <c r="B40" s="862" t="n"/>
      <c r="C40" s="863" t="n"/>
      <c r="D40" s="863" t="n"/>
      <c r="E40" s="863" t="n"/>
      <c r="H40" s="801" t="n"/>
      <c r="L40" s="1355" t="n"/>
      <c r="M40" s="855" t="n"/>
    </row>
    <row r="41">
      <c r="A41" s="852" t="n"/>
      <c r="B41" s="862" t="n"/>
      <c r="C41" s="863" t="n"/>
      <c r="D41" s="863" t="n"/>
      <c r="E41" s="863" t="n"/>
      <c r="H41" s="801" t="n"/>
      <c r="L41" s="1355" t="n"/>
      <c r="M41" s="855" t="n"/>
    </row>
    <row r="42">
      <c r="A42" s="852" t="n"/>
      <c r="B42" s="862" t="n"/>
      <c r="C42" s="863" t="n"/>
      <c r="D42" s="863" t="n"/>
      <c r="E42" s="863" t="n"/>
      <c r="H42" s="801" t="n"/>
      <c r="L42" s="1355" t="n"/>
      <c r="M42" s="855" t="n"/>
    </row>
    <row r="43">
      <c r="A43" s="852" t="n"/>
      <c r="B43" s="862" t="n"/>
      <c r="C43" s="863" t="n"/>
      <c r="D43" s="863" t="n"/>
      <c r="E43" s="863" t="n"/>
      <c r="H43" s="801" t="n"/>
      <c r="L43" s="1355" t="n"/>
      <c r="M43" s="855" t="n"/>
    </row>
    <row r="44">
      <c r="A44" s="852" t="n"/>
      <c r="B44" s="862" t="n"/>
      <c r="C44" s="863" t="n"/>
      <c r="D44" s="863" t="n"/>
      <c r="E44" s="863" t="n"/>
      <c r="H44" s="801" t="n"/>
      <c r="L44" s="1355" t="n"/>
      <c r="M44" s="855" t="n"/>
    </row>
    <row r="45">
      <c r="A45" s="852" t="n"/>
      <c r="B45" s="862" t="n"/>
      <c r="C45" s="863" t="n"/>
      <c r="D45" s="863" t="n"/>
      <c r="E45" s="863" t="n"/>
      <c r="H45" s="801" t="n"/>
      <c r="L45" s="1355" t="n"/>
      <c r="M45" s="855" t="n"/>
    </row>
    <row r="46">
      <c r="A46" s="852" t="n"/>
      <c r="B46" s="862" t="n"/>
      <c r="C46" s="863" t="n"/>
      <c r="D46" s="863" t="n"/>
      <c r="E46" s="863" t="n"/>
      <c r="H46" s="801" t="n"/>
      <c r="L46" s="1355" t="n"/>
      <c r="M46" s="855" t="n"/>
    </row>
    <row r="47">
      <c r="A47" s="852" t="n"/>
      <c r="B47" s="862" t="n"/>
      <c r="C47" s="863" t="n"/>
      <c r="D47" s="863" t="n"/>
      <c r="E47" s="863" t="n"/>
      <c r="H47" s="801" t="n"/>
      <c r="L47" s="1355" t="n"/>
      <c r="M47" s="855" t="n"/>
    </row>
    <row r="48">
      <c r="A48" s="852" t="n"/>
      <c r="B48" s="862" t="n"/>
      <c r="C48" s="863" t="n"/>
      <c r="D48" s="863" t="n"/>
      <c r="E48" s="863" t="n"/>
      <c r="H48" s="801" t="n"/>
      <c r="L48" s="1355" t="n"/>
      <c r="M48" s="855" t="n"/>
    </row>
    <row r="49">
      <c r="A49" s="852" t="n"/>
      <c r="B49" s="862" t="n"/>
      <c r="C49" s="863" t="n"/>
      <c r="D49" s="863" t="n"/>
      <c r="E49" s="863" t="n"/>
      <c r="H49" s="801" t="n"/>
      <c r="L49" s="1355" t="n"/>
      <c r="M49" s="855" t="n"/>
    </row>
    <row r="50">
      <c r="A50" s="852" t="n"/>
      <c r="B50" s="862" t="n"/>
      <c r="C50" s="863" t="n"/>
      <c r="D50" s="863" t="n"/>
      <c r="E50" s="863" t="n"/>
      <c r="H50" s="801" t="n"/>
      <c r="L50" s="1355" t="n"/>
      <c r="M50" s="855" t="n"/>
    </row>
    <row r="51">
      <c r="A51" s="852" t="n"/>
      <c r="B51" s="862" t="n"/>
      <c r="C51" s="863" t="n"/>
      <c r="D51" s="863" t="n"/>
      <c r="E51" s="863" t="n"/>
      <c r="H51" s="801" t="n"/>
      <c r="L51" s="1355" t="n"/>
      <c r="M51" s="855" t="n"/>
    </row>
    <row r="52">
      <c r="A52" s="852" t="n"/>
      <c r="B52" s="862" t="n"/>
      <c r="C52" s="863" t="n"/>
      <c r="D52" s="863" t="n"/>
      <c r="E52" s="863" t="n"/>
      <c r="H52" s="801" t="n"/>
      <c r="L52" s="1355" t="n"/>
      <c r="M52" s="855" t="n"/>
    </row>
    <row r="53">
      <c r="A53" s="852" t="n"/>
      <c r="B53" s="862" t="n"/>
      <c r="C53" s="863" t="n"/>
      <c r="D53" s="863" t="n"/>
      <c r="E53" s="863" t="n"/>
      <c r="H53" s="801" t="n"/>
      <c r="L53" s="1355" t="n"/>
      <c r="M53" s="855" t="n"/>
    </row>
    <row r="54">
      <c r="A54" s="852" t="n"/>
      <c r="B54" s="862" t="n"/>
      <c r="C54" s="863" t="n"/>
      <c r="D54" s="863" t="n"/>
      <c r="E54" s="863" t="n"/>
      <c r="H54" s="801" t="n"/>
      <c r="L54" s="1355" t="n"/>
      <c r="M54" s="855" t="n"/>
    </row>
    <row r="55">
      <c r="A55" s="852" t="n"/>
      <c r="B55" s="862" t="n"/>
      <c r="C55" s="863" t="n"/>
      <c r="D55" s="863" t="n"/>
      <c r="E55" s="863" t="n"/>
      <c r="H55" s="801" t="n"/>
      <c r="L55" s="1355" t="n"/>
      <c r="M55" s="855" t="n"/>
    </row>
    <row r="56">
      <c r="A56" s="852" t="n"/>
      <c r="B56" s="862" t="n"/>
      <c r="C56" s="863" t="n"/>
      <c r="D56" s="863" t="n"/>
      <c r="E56" s="863" t="n"/>
      <c r="H56" s="801" t="n"/>
      <c r="L56" s="1355" t="n"/>
      <c r="M56" s="855" t="n"/>
    </row>
    <row r="57">
      <c r="A57" s="852" t="n"/>
      <c r="B57" s="862" t="n"/>
      <c r="C57" s="863" t="n"/>
      <c r="D57" s="863" t="n"/>
      <c r="E57" s="863" t="n"/>
      <c r="H57" s="801" t="n"/>
      <c r="L57" s="1355" t="n"/>
      <c r="M57" s="855" t="n"/>
    </row>
    <row r="58">
      <c r="A58" s="852" t="n"/>
      <c r="B58" s="862" t="n"/>
      <c r="C58" s="863" t="n"/>
      <c r="D58" s="863" t="n"/>
      <c r="E58" s="863" t="n"/>
      <c r="H58" s="801" t="n"/>
      <c r="L58" s="1355" t="n"/>
      <c r="M58" s="855" t="n"/>
    </row>
    <row r="59">
      <c r="A59" s="852" t="n"/>
      <c r="B59" s="862" t="n"/>
      <c r="C59" s="863" t="n"/>
      <c r="D59" s="863" t="n"/>
      <c r="E59" s="863" t="n"/>
      <c r="H59" s="801" t="n"/>
      <c r="L59" s="1355" t="n"/>
      <c r="M59" s="855" t="n"/>
    </row>
    <row r="60">
      <c r="A60" s="852" t="n"/>
      <c r="B60" s="862" t="n"/>
      <c r="C60" s="863" t="n"/>
      <c r="D60" s="863" t="n"/>
      <c r="E60" s="863" t="n"/>
      <c r="H60" s="801" t="n"/>
      <c r="L60" s="1355" t="n"/>
      <c r="M60" s="855" t="n"/>
    </row>
    <row r="61">
      <c r="A61" s="852" t="n"/>
      <c r="B61" s="862" t="n"/>
      <c r="C61" s="863" t="n"/>
      <c r="D61" s="863" t="n"/>
      <c r="E61" s="863" t="n"/>
      <c r="H61" s="801" t="n"/>
      <c r="L61" s="1355" t="n"/>
      <c r="M61" s="855" t="n"/>
    </row>
    <row r="62">
      <c r="A62" s="852" t="n"/>
      <c r="B62" s="862" t="n"/>
      <c r="C62" s="863" t="n"/>
      <c r="D62" s="863" t="n"/>
      <c r="E62" s="863" t="n"/>
      <c r="H62" s="801" t="n"/>
      <c r="L62" s="1355" t="n"/>
      <c r="M62" s="855" t="n"/>
    </row>
    <row r="63">
      <c r="A63" s="852" t="n"/>
      <c r="B63" s="862" t="n"/>
      <c r="C63" s="863" t="n"/>
      <c r="D63" s="863" t="n"/>
      <c r="E63" s="863" t="n"/>
      <c r="H63" s="801" t="n"/>
      <c r="L63" s="1355" t="n"/>
      <c r="M63" s="855" t="n"/>
    </row>
    <row r="64">
      <c r="A64" s="852" t="n"/>
      <c r="B64" s="862" t="n"/>
      <c r="C64" s="863" t="n"/>
      <c r="D64" s="863" t="n"/>
      <c r="E64" s="863" t="n"/>
      <c r="H64" s="801" t="n"/>
      <c r="L64" s="1355" t="n"/>
      <c r="M64" s="855" t="n"/>
    </row>
    <row r="65">
      <c r="A65" s="852" t="n"/>
      <c r="B65" s="862" t="n"/>
      <c r="C65" s="863" t="n"/>
      <c r="D65" s="863" t="n"/>
      <c r="E65" s="863" t="n"/>
      <c r="H65" s="801" t="n"/>
      <c r="L65" s="1355" t="n"/>
      <c r="M65" s="855" t="n"/>
    </row>
    <row r="66">
      <c r="A66" s="852" t="n"/>
      <c r="B66" s="862" t="n"/>
      <c r="C66" s="863" t="n"/>
      <c r="D66" s="863" t="n"/>
      <c r="E66" s="863" t="n"/>
      <c r="H66" s="801" t="n"/>
      <c r="L66" s="1355" t="n"/>
      <c r="M66" s="855" t="n"/>
    </row>
    <row r="67">
      <c r="A67" s="852" t="n"/>
      <c r="B67" s="862" t="n"/>
      <c r="C67" s="863" t="n"/>
      <c r="D67" s="863" t="n"/>
      <c r="E67" s="863" t="n"/>
      <c r="H67" s="801" t="n"/>
      <c r="L67" s="1355" t="n"/>
      <c r="M67" s="855" t="n"/>
    </row>
    <row r="68">
      <c r="A68" s="852" t="n"/>
      <c r="B68" s="862" t="n"/>
      <c r="C68" s="863" t="n"/>
      <c r="D68" s="863" t="n"/>
      <c r="E68" s="863" t="n"/>
      <c r="H68" s="801" t="n"/>
      <c r="L68" s="1355" t="n"/>
      <c r="M68" s="855" t="n"/>
    </row>
    <row r="69">
      <c r="A69" s="852" t="n"/>
      <c r="B69" s="862" t="n"/>
      <c r="C69" s="863" t="n"/>
      <c r="D69" s="863" t="n"/>
      <c r="E69" s="863" t="n"/>
      <c r="H69" s="801" t="n"/>
      <c r="L69" s="1355" t="n"/>
      <c r="M69" s="855" t="n"/>
    </row>
    <row r="70">
      <c r="A70" s="852" t="n"/>
      <c r="B70" s="862" t="n"/>
      <c r="C70" s="863" t="n"/>
      <c r="D70" s="863" t="n"/>
      <c r="E70" s="863" t="n"/>
      <c r="H70" s="801" t="n"/>
      <c r="L70" s="1355" t="n"/>
      <c r="M70" s="855" t="n"/>
    </row>
    <row r="71">
      <c r="A71" s="852" t="n"/>
      <c r="B71" s="862" t="n"/>
      <c r="C71" s="863" t="n"/>
      <c r="D71" s="863" t="n"/>
      <c r="E71" s="863" t="n"/>
      <c r="H71" s="801" t="n"/>
      <c r="L71" s="1355" t="n"/>
      <c r="M71" s="855" t="n"/>
    </row>
    <row r="72">
      <c r="A72" s="852" t="n"/>
      <c r="B72" s="862" t="n"/>
      <c r="C72" s="863" t="n"/>
      <c r="D72" s="863" t="n"/>
      <c r="E72" s="863" t="n"/>
      <c r="H72" s="801" t="n"/>
      <c r="L72" s="1355" t="n"/>
      <c r="M72" s="855" t="n"/>
    </row>
    <row r="73">
      <c r="A73" s="852" t="n"/>
      <c r="B73" s="862" t="n"/>
      <c r="C73" s="863" t="n"/>
      <c r="D73" s="863" t="n"/>
      <c r="E73" s="863" t="n"/>
      <c r="H73" s="801" t="n"/>
      <c r="L73" s="1355" t="n"/>
      <c r="M73" s="855" t="n"/>
    </row>
    <row r="74">
      <c r="A74" s="852" t="n"/>
      <c r="B74" s="862" t="n"/>
      <c r="C74" s="863" t="n"/>
      <c r="D74" s="863" t="n"/>
      <c r="E74" s="863" t="n"/>
      <c r="H74" s="801" t="n"/>
      <c r="L74" s="1355" t="n"/>
      <c r="M74" s="855" t="n"/>
    </row>
    <row r="75">
      <c r="A75" s="852" t="n"/>
      <c r="B75" s="862" t="n"/>
      <c r="C75" s="863" t="n"/>
      <c r="D75" s="863" t="n"/>
      <c r="E75" s="863" t="n"/>
      <c r="H75" s="801" t="n"/>
      <c r="L75" s="1355" t="n"/>
      <c r="M75" s="855" t="n"/>
    </row>
    <row r="76">
      <c r="A76" s="852" t="n"/>
      <c r="B76" s="862" t="n"/>
      <c r="C76" s="863" t="n"/>
      <c r="D76" s="863" t="n"/>
      <c r="E76" s="863" t="n"/>
      <c r="H76" s="801" t="n"/>
      <c r="L76" s="1355" t="n"/>
      <c r="M76" s="855" t="n"/>
    </row>
    <row r="77">
      <c r="A77" s="852" t="n"/>
      <c r="B77" s="862" t="n"/>
      <c r="C77" s="863" t="n"/>
      <c r="D77" s="863" t="n"/>
      <c r="E77" s="863" t="n"/>
      <c r="H77" s="801" t="n"/>
      <c r="L77" s="1355" t="n"/>
      <c r="M77" s="855" t="n"/>
    </row>
    <row r="78">
      <c r="A78" s="852" t="n"/>
      <c r="B78" s="862" t="n"/>
      <c r="C78" s="863" t="n"/>
      <c r="D78" s="863" t="n"/>
      <c r="E78" s="863" t="n"/>
      <c r="H78" s="801" t="n"/>
      <c r="L78" s="1355" t="n"/>
      <c r="M78" s="855" t="n"/>
    </row>
    <row r="79">
      <c r="A79" s="852" t="n"/>
      <c r="B79" s="862" t="n"/>
      <c r="C79" s="863" t="n"/>
      <c r="D79" s="863" t="n"/>
      <c r="E79" s="863" t="n"/>
      <c r="H79" s="801" t="n"/>
      <c r="L79" s="1355" t="n"/>
      <c r="M79" s="855" t="n"/>
    </row>
    <row r="80">
      <c r="A80" s="852" t="n"/>
      <c r="B80" s="862" t="n"/>
      <c r="C80" s="863" t="n"/>
      <c r="D80" s="863" t="n"/>
      <c r="E80" s="863" t="n"/>
      <c r="H80" s="801" t="n"/>
      <c r="L80" s="1355" t="n"/>
      <c r="M80" s="855" t="n"/>
    </row>
    <row r="81">
      <c r="A81" s="852" t="n"/>
      <c r="B81" s="862" t="n"/>
      <c r="C81" s="863" t="n"/>
      <c r="D81" s="863" t="n"/>
      <c r="E81" s="863" t="n"/>
      <c r="H81" s="801" t="n"/>
      <c r="L81" s="1355" t="n"/>
      <c r="M81" s="855" t="n"/>
    </row>
    <row r="82">
      <c r="A82" s="852" t="n"/>
      <c r="B82" s="862" t="n"/>
      <c r="C82" s="863" t="n"/>
      <c r="D82" s="863" t="n"/>
      <c r="E82" s="863" t="n"/>
      <c r="H82" s="801" t="n"/>
      <c r="K82" s="873" t="n"/>
      <c r="L82" s="1355" t="n"/>
      <c r="M82" s="855" t="n"/>
    </row>
    <row r="83">
      <c r="A83" s="852" t="n"/>
      <c r="B83" s="862" t="n"/>
      <c r="C83" s="863" t="n"/>
      <c r="D83" s="863" t="n"/>
      <c r="E83" s="863" t="n"/>
      <c r="H83" s="801" t="n"/>
      <c r="L83" s="1355" t="n"/>
      <c r="M83" s="855" t="n"/>
    </row>
    <row r="84">
      <c r="A84" s="852" t="n"/>
      <c r="B84" s="862" t="n"/>
      <c r="C84" s="863" t="n"/>
      <c r="D84" s="863" t="n"/>
      <c r="E84" s="863" t="n"/>
      <c r="H84" s="801" t="n"/>
      <c r="L84" s="1355" t="n"/>
      <c r="M84" s="855" t="n"/>
    </row>
    <row r="85">
      <c r="A85" s="852" t="n"/>
      <c r="B85" s="862" t="n"/>
      <c r="C85" s="863" t="n"/>
      <c r="D85" s="863" t="n"/>
      <c r="E85" s="863" t="n"/>
      <c r="H85" s="801" t="n"/>
      <c r="L85" s="1355" t="n"/>
      <c r="M85" s="855" t="n"/>
    </row>
    <row r="86">
      <c r="A86" s="852" t="n"/>
      <c r="B86" s="862" t="n"/>
      <c r="C86" s="863" t="n"/>
      <c r="D86" s="863" t="n"/>
      <c r="E86" s="863" t="n"/>
      <c r="H86" s="801" t="n"/>
      <c r="L86" s="1355" t="n"/>
      <c r="M86" s="855" t="n"/>
    </row>
    <row r="87">
      <c r="A87" s="852" t="n"/>
      <c r="B87" s="862" t="n"/>
      <c r="C87" s="863" t="n"/>
      <c r="D87" s="863" t="n"/>
      <c r="E87" s="863" t="n"/>
      <c r="H87" s="801" t="n"/>
      <c r="L87" s="1355" t="n"/>
      <c r="M87" s="855" t="n"/>
    </row>
    <row r="88">
      <c r="A88" s="852" t="n"/>
      <c r="B88" s="862" t="n"/>
      <c r="C88" s="863" t="n"/>
      <c r="D88" s="863" t="n"/>
      <c r="E88" s="863" t="n"/>
      <c r="H88" s="801" t="n"/>
      <c r="L88" s="1355" t="n"/>
      <c r="M88" s="855" t="n"/>
    </row>
    <row r="89">
      <c r="A89" s="852" t="n"/>
      <c r="B89" s="862" t="n"/>
      <c r="C89" s="863" t="n"/>
      <c r="D89" s="863" t="n"/>
      <c r="E89" s="863" t="n"/>
      <c r="H89" s="801" t="n"/>
      <c r="L89" s="1355" t="n"/>
      <c r="M89" s="855" t="n"/>
    </row>
    <row r="90">
      <c r="A90" s="852" t="n"/>
      <c r="B90" s="862" t="n"/>
      <c r="C90" s="863" t="n"/>
      <c r="D90" s="863" t="n"/>
      <c r="E90" s="863" t="n"/>
      <c r="H90" s="801" t="n"/>
      <c r="L90" s="1355" t="n"/>
      <c r="M90" s="855" t="n"/>
    </row>
    <row r="91">
      <c r="A91" s="852" t="n"/>
      <c r="B91" s="862" t="n"/>
      <c r="C91" s="863" t="n"/>
      <c r="D91" s="863" t="n"/>
      <c r="E91" s="863" t="n"/>
      <c r="H91" s="801" t="n"/>
      <c r="L91" s="1355" t="n"/>
      <c r="M91" s="855" t="n"/>
    </row>
    <row r="92">
      <c r="A92" s="852" t="n"/>
      <c r="B92" s="862" t="n"/>
      <c r="C92" s="863" t="n"/>
      <c r="D92" s="863" t="n"/>
      <c r="E92" s="863" t="n"/>
      <c r="F92" s="874" t="n"/>
      <c r="G92" s="874" t="n"/>
      <c r="H92" s="874" t="n"/>
      <c r="I92" s="874" t="n"/>
      <c r="J92" s="874" t="n"/>
      <c r="K92" s="874" t="n"/>
      <c r="L92" s="1356" t="n"/>
      <c r="M92" s="855" t="n"/>
    </row>
    <row r="93">
      <c r="A93" s="852" t="n"/>
      <c r="B93" s="862" t="n"/>
      <c r="C93" s="863" t="n"/>
      <c r="D93" s="863" t="n"/>
      <c r="E93" s="863" t="n"/>
      <c r="H93" s="801" t="n"/>
      <c r="L93" s="1355" t="n"/>
      <c r="M93" s="855" t="n"/>
    </row>
    <row r="94">
      <c r="A94" s="852" t="n"/>
      <c r="B94" s="862" t="n"/>
      <c r="C94" s="863" t="n"/>
      <c r="D94" s="863" t="n"/>
      <c r="E94" s="863" t="n"/>
      <c r="H94" s="801" t="n"/>
      <c r="L94" s="1355" t="n"/>
      <c r="M94" s="855" t="n"/>
    </row>
    <row r="95">
      <c r="A95" s="852" t="n"/>
      <c r="B95" s="862" t="n"/>
      <c r="C95" s="863" t="n"/>
      <c r="D95" s="863" t="n"/>
      <c r="E95" s="863" t="n"/>
      <c r="H95" s="801" t="n"/>
      <c r="L95" s="1355" t="n"/>
      <c r="M95" s="855" t="n"/>
    </row>
    <row r="96">
      <c r="A96" s="852" t="n"/>
      <c r="B96" s="862" t="n"/>
      <c r="C96" s="863" t="n"/>
      <c r="D96" s="863" t="n"/>
      <c r="E96" s="863" t="n"/>
      <c r="H96" s="801" t="n"/>
      <c r="L96" s="1355" t="n"/>
      <c r="M96" s="855" t="n"/>
    </row>
    <row r="97">
      <c r="A97" s="852" t="n"/>
      <c r="B97" s="862" t="n"/>
      <c r="C97" s="863" t="n"/>
      <c r="D97" s="863" t="n"/>
      <c r="E97" s="863" t="n"/>
      <c r="H97" s="801" t="n"/>
      <c r="L97" s="1355" t="n"/>
      <c r="M97" s="855" t="n"/>
    </row>
    <row r="98">
      <c r="A98" s="852" t="n"/>
      <c r="B98" s="862" t="n"/>
      <c r="C98" s="863" t="n"/>
      <c r="D98" s="863" t="n"/>
      <c r="E98" s="863" t="n"/>
      <c r="H98" s="801" t="n"/>
      <c r="L98" s="1355" t="n"/>
      <c r="M98" s="855" t="n"/>
    </row>
    <row r="99">
      <c r="A99" s="852" t="n"/>
      <c r="B99" s="862" t="n"/>
      <c r="C99" s="863" t="n"/>
      <c r="D99" s="863" t="n"/>
      <c r="E99" s="863" t="n"/>
      <c r="H99" s="801" t="n"/>
      <c r="L99" s="1355" t="n"/>
      <c r="M99" s="855" t="n"/>
    </row>
    <row r="100">
      <c r="A100" s="852" t="n"/>
      <c r="B100" s="862" t="n"/>
      <c r="C100" s="863" t="n"/>
      <c r="D100" s="863" t="n"/>
      <c r="E100" s="863" t="n"/>
      <c r="H100" s="801" t="n"/>
      <c r="L100" s="1355" t="n"/>
      <c r="M100" s="855" t="n"/>
    </row>
    <row r="101">
      <c r="A101" s="852" t="n"/>
      <c r="B101" s="862" t="n"/>
      <c r="C101" s="863" t="n"/>
      <c r="D101" s="863" t="n"/>
      <c r="E101" s="863" t="n"/>
      <c r="H101" s="801" t="n"/>
      <c r="L101" s="1355" t="n"/>
      <c r="M101" s="855" t="n"/>
    </row>
    <row r="102">
      <c r="A102" s="852" t="n"/>
      <c r="B102" s="862" t="n"/>
      <c r="C102" s="863" t="n"/>
      <c r="D102" s="863" t="n"/>
      <c r="E102" s="863" t="n"/>
      <c r="H102" s="801" t="n"/>
      <c r="L102" s="1355" t="n"/>
      <c r="M102" s="855" t="n"/>
    </row>
    <row r="103">
      <c r="A103" s="852" t="n"/>
      <c r="B103" s="862" t="n"/>
      <c r="C103" s="863" t="n"/>
      <c r="D103" s="863" t="n"/>
      <c r="E103" s="863" t="n"/>
      <c r="H103" s="801" t="n"/>
      <c r="L103" s="1355" t="n"/>
      <c r="M103" s="855" t="n"/>
    </row>
    <row r="104">
      <c r="A104" s="852" t="n"/>
      <c r="B104" s="862" t="n"/>
      <c r="C104" s="863" t="n"/>
      <c r="D104" s="863" t="n"/>
      <c r="E104" s="863" t="n"/>
      <c r="H104" s="801" t="n"/>
      <c r="L104" s="1355" t="n"/>
      <c r="M104" s="855" t="n"/>
    </row>
    <row r="105">
      <c r="A105" s="852" t="n"/>
      <c r="B105" s="862" t="n"/>
      <c r="C105" s="863" t="n"/>
      <c r="D105" s="863" t="n"/>
      <c r="E105" s="863" t="n"/>
      <c r="H105" s="801" t="n"/>
      <c r="L105" s="1355" t="n"/>
      <c r="M105" s="855" t="n"/>
    </row>
    <row r="106">
      <c r="A106" s="852" t="n"/>
      <c r="B106" s="862" t="n"/>
      <c r="C106" s="863" t="n"/>
      <c r="D106" s="863" t="n"/>
      <c r="E106" s="863" t="n"/>
      <c r="H106" s="801" t="n"/>
      <c r="L106" s="1355" t="n"/>
      <c r="M106" s="855" t="n"/>
    </row>
    <row r="107">
      <c r="A107" s="852" t="n"/>
      <c r="B107" s="862" t="n"/>
      <c r="C107" s="863" t="n"/>
      <c r="D107" s="863" t="n"/>
      <c r="E107" s="863" t="n"/>
      <c r="H107" s="801" t="n"/>
      <c r="L107" s="1355" t="n"/>
      <c r="M107" s="855" t="n"/>
    </row>
    <row r="108">
      <c r="A108" s="852" t="n"/>
      <c r="B108" s="862" t="n"/>
      <c r="C108" s="863" t="n"/>
      <c r="D108" s="863" t="n"/>
      <c r="E108" s="863" t="n"/>
      <c r="H108" s="801" t="n"/>
      <c r="L108" s="1355" t="n"/>
      <c r="M108" s="855" t="n"/>
    </row>
    <row r="109">
      <c r="A109" s="852" t="n"/>
      <c r="B109" s="862" t="n"/>
      <c r="C109" s="863" t="n"/>
      <c r="D109" s="863" t="n"/>
      <c r="E109" s="863" t="n"/>
      <c r="H109" s="801" t="n"/>
      <c r="L109" s="1355" t="n"/>
      <c r="M109" s="855" t="n"/>
    </row>
    <row r="110">
      <c r="A110" s="852" t="n"/>
      <c r="B110" s="862" t="n"/>
      <c r="C110" s="863" t="n"/>
      <c r="D110" s="863" t="n"/>
      <c r="E110" s="863" t="n"/>
      <c r="H110" s="801" t="n"/>
      <c r="L110" s="1355" t="n"/>
      <c r="M110" s="855" t="n"/>
    </row>
    <row r="111">
      <c r="A111" s="852" t="n"/>
      <c r="B111" s="862" t="n"/>
      <c r="C111" s="863" t="n"/>
      <c r="D111" s="863" t="n"/>
      <c r="E111" s="863" t="n"/>
      <c r="H111" s="801" t="n"/>
      <c r="L111" s="1355" t="n"/>
      <c r="M111" s="855" t="n"/>
    </row>
    <row r="112">
      <c r="A112" s="852" t="n"/>
      <c r="B112" s="862" t="n"/>
      <c r="C112" s="863" t="n"/>
      <c r="D112" s="863" t="n"/>
      <c r="E112" s="863" t="n"/>
      <c r="H112" s="801" t="n"/>
      <c r="L112" s="1355" t="n"/>
      <c r="M112" s="855" t="n"/>
    </row>
    <row r="113">
      <c r="A113" s="852" t="n"/>
      <c r="B113" s="862" t="n"/>
      <c r="C113" s="863" t="n"/>
      <c r="D113" s="863" t="n"/>
      <c r="E113" s="863" t="n"/>
      <c r="H113" s="801" t="n"/>
      <c r="L113" s="1355" t="n"/>
      <c r="M113" s="855" t="n"/>
    </row>
    <row r="114">
      <c r="A114" s="852" t="n"/>
      <c r="B114" s="862" t="n"/>
      <c r="C114" s="863" t="n"/>
      <c r="D114" s="863" t="n"/>
      <c r="E114" s="863" t="n"/>
      <c r="H114" s="801" t="n"/>
      <c r="L114" s="1355" t="n"/>
      <c r="M114" s="855" t="n"/>
    </row>
    <row r="115">
      <c r="A115" s="852" t="n"/>
      <c r="B115" s="862" t="n"/>
      <c r="C115" s="863" t="n"/>
      <c r="D115" s="863" t="n"/>
      <c r="E115" s="863" t="n"/>
      <c r="H115" s="801" t="n"/>
      <c r="L115" s="1355" t="n"/>
      <c r="M115" s="855" t="n"/>
    </row>
    <row r="116">
      <c r="A116" s="852" t="n"/>
      <c r="B116" s="862" t="n"/>
      <c r="C116" s="863" t="n"/>
      <c r="D116" s="863" t="n"/>
      <c r="E116" s="863" t="n"/>
      <c r="H116" s="801" t="n"/>
      <c r="L116" s="1355" t="n"/>
      <c r="M116" s="855" t="n"/>
    </row>
    <row r="117">
      <c r="A117" s="852" t="n"/>
      <c r="B117" s="862" t="n"/>
      <c r="C117" s="863" t="n"/>
      <c r="D117" s="863" t="n"/>
      <c r="E117" s="863" t="n"/>
      <c r="H117" s="801" t="n"/>
      <c r="L117" s="1355" t="n"/>
      <c r="M117" s="855" t="n"/>
    </row>
    <row r="118">
      <c r="A118" s="852" t="n"/>
      <c r="B118" s="862" t="n"/>
      <c r="C118" s="863" t="n"/>
      <c r="D118" s="863" t="n"/>
      <c r="E118" s="863" t="n"/>
      <c r="H118" s="801" t="n"/>
      <c r="L118" s="1355" t="n"/>
      <c r="M118" s="855" t="n"/>
    </row>
    <row r="119">
      <c r="A119" s="852" t="n"/>
      <c r="B119" s="862" t="n"/>
      <c r="C119" s="863" t="n"/>
      <c r="D119" s="863" t="n"/>
      <c r="E119" s="863" t="n"/>
      <c r="H119" s="801" t="n"/>
      <c r="L119" s="1355" t="n"/>
      <c r="M119" s="855" t="n"/>
    </row>
    <row r="120">
      <c r="A120" s="852" t="n"/>
      <c r="B120" s="862" t="n"/>
      <c r="C120" s="863" t="n"/>
      <c r="D120" s="863" t="n"/>
      <c r="E120" s="863" t="n"/>
      <c r="H120" s="801" t="n"/>
      <c r="L120" s="1355" t="n"/>
      <c r="M120" s="855" t="n"/>
    </row>
    <row r="121">
      <c r="A121" s="852" t="n"/>
      <c r="B121" s="862" t="n"/>
      <c r="C121" s="863" t="n"/>
      <c r="D121" s="863" t="n"/>
      <c r="E121" s="863" t="n"/>
      <c r="H121" s="801" t="n"/>
      <c r="L121" s="1355" t="n"/>
      <c r="M121" s="855" t="n"/>
    </row>
    <row r="122">
      <c r="A122" s="852" t="n"/>
      <c r="B122" s="862" t="n"/>
      <c r="C122" s="863" t="n"/>
      <c r="D122" s="863" t="n"/>
      <c r="E122" s="863" t="n"/>
      <c r="H122" s="801" t="n"/>
      <c r="L122" s="1355" t="n"/>
      <c r="M122" s="855" t="n"/>
    </row>
    <row r="123">
      <c r="A123" s="852" t="n"/>
      <c r="B123" s="862" t="n"/>
      <c r="C123" s="863" t="n"/>
      <c r="D123" s="863" t="n"/>
      <c r="E123" s="863" t="n"/>
      <c r="H123" s="801" t="n"/>
      <c r="L123" s="1355" t="n"/>
      <c r="M123" s="855" t="n"/>
    </row>
    <row r="124">
      <c r="A124" s="852" t="n"/>
      <c r="B124" s="862" t="n"/>
      <c r="C124" s="863" t="n"/>
      <c r="D124" s="863" t="n"/>
      <c r="E124" s="863" t="n"/>
      <c r="H124" s="801" t="n"/>
      <c r="L124" s="1355" t="n"/>
      <c r="M124" s="855" t="n"/>
    </row>
    <row r="125">
      <c r="A125" s="852" t="n"/>
      <c r="B125" s="862" t="n"/>
      <c r="C125" s="863" t="n"/>
      <c r="D125" s="863" t="n"/>
      <c r="E125" s="863" t="n"/>
      <c r="H125" s="801" t="n"/>
      <c r="L125" s="1355" t="n"/>
      <c r="M125" s="855" t="n"/>
    </row>
    <row r="126">
      <c r="A126" s="852" t="n"/>
      <c r="B126" s="862" t="n"/>
      <c r="C126" s="863" t="n"/>
      <c r="D126" s="863" t="n"/>
      <c r="E126" s="863" t="n"/>
      <c r="H126" s="801" t="n"/>
      <c r="L126" s="1355" t="n"/>
      <c r="M126" s="855" t="n"/>
    </row>
    <row r="127">
      <c r="A127" s="852" t="n"/>
      <c r="B127" s="862" t="n"/>
      <c r="C127" s="863" t="n"/>
      <c r="D127" s="863" t="n"/>
      <c r="E127" s="863" t="n"/>
      <c r="H127" s="801" t="n"/>
      <c r="L127" s="1355" t="n"/>
      <c r="M127" s="855" t="n"/>
    </row>
    <row r="128">
      <c r="A128" s="852" t="n"/>
      <c r="B128" s="862" t="n"/>
      <c r="C128" s="863" t="n"/>
      <c r="D128" s="863" t="n"/>
      <c r="E128" s="863" t="n"/>
      <c r="H128" s="801" t="n"/>
      <c r="L128" s="1355" t="n"/>
    </row>
    <row r="129">
      <c r="A129" s="852" t="n"/>
      <c r="B129" s="862" t="n"/>
      <c r="C129" s="863" t="n"/>
      <c r="D129" s="863" t="n"/>
      <c r="E129" s="863" t="n"/>
      <c r="H129" s="801" t="n"/>
      <c r="L129" s="1355" t="n"/>
    </row>
    <row r="130">
      <c r="A130" s="852" t="n"/>
      <c r="B130" s="862" t="n"/>
      <c r="C130" s="863" t="n"/>
      <c r="D130" s="863" t="n"/>
      <c r="E130" s="863" t="n"/>
      <c r="H130" s="801" t="n"/>
      <c r="L130" s="1355" t="n"/>
    </row>
    <row r="131">
      <c r="A131" s="852" t="n"/>
      <c r="B131" s="862" t="n"/>
      <c r="C131" s="863" t="n"/>
      <c r="D131" s="863" t="n"/>
      <c r="E131" s="863" t="n"/>
      <c r="H131" s="801" t="n"/>
      <c r="L131" s="1355" t="n"/>
    </row>
    <row r="132">
      <c r="A132" s="852" t="n"/>
      <c r="B132" s="862" t="n"/>
      <c r="C132" s="863" t="n"/>
      <c r="D132" s="863" t="n"/>
      <c r="E132" s="863" t="n"/>
      <c r="H132" s="801" t="n"/>
      <c r="L132" s="1355" t="n"/>
    </row>
    <row r="133">
      <c r="A133" s="852" t="n"/>
      <c r="B133" s="862" t="n"/>
      <c r="C133" s="863" t="n"/>
      <c r="D133" s="863" t="n"/>
      <c r="E133" s="863" t="n"/>
      <c r="H133" s="801" t="n"/>
      <c r="L133" s="1355" t="n"/>
    </row>
    <row r="134">
      <c r="A134" s="852" t="n"/>
      <c r="B134" s="862" t="n"/>
      <c r="C134" s="863" t="n"/>
      <c r="D134" s="863" t="n"/>
      <c r="E134" s="863" t="n"/>
      <c r="H134" s="801" t="n"/>
      <c r="L134" s="1355" t="n"/>
    </row>
    <row r="135">
      <c r="A135" s="852" t="n"/>
      <c r="B135" s="862" t="n"/>
      <c r="C135" s="863" t="n"/>
      <c r="D135" s="863" t="n"/>
      <c r="E135" s="863" t="n"/>
      <c r="H135" s="801" t="n"/>
      <c r="L135" s="1355" t="n"/>
    </row>
    <row r="136">
      <c r="A136" s="852" t="n"/>
      <c r="B136" s="862" t="n"/>
      <c r="C136" s="863" t="n"/>
      <c r="D136" s="863" t="n"/>
      <c r="E136" s="863" t="n"/>
      <c r="H136" s="801" t="n"/>
      <c r="L136" s="1355" t="n"/>
    </row>
    <row r="137">
      <c r="A137" s="852" t="n"/>
      <c r="B137" s="862" t="n"/>
      <c r="C137" s="863" t="n"/>
      <c r="D137" s="863" t="n"/>
      <c r="E137" s="863" t="n"/>
      <c r="H137" s="801" t="n"/>
      <c r="L137" s="1355" t="n"/>
    </row>
    <row r="138">
      <c r="A138" s="852" t="n"/>
      <c r="B138" s="862" t="n"/>
      <c r="C138" s="863" t="n"/>
      <c r="D138" s="863" t="n"/>
      <c r="E138" s="863" t="n"/>
      <c r="H138" s="801" t="n"/>
      <c r="L138" s="1355" t="n"/>
    </row>
    <row r="139">
      <c r="A139" s="852" t="n"/>
      <c r="B139" s="862" t="n"/>
      <c r="C139" s="863" t="n"/>
      <c r="D139" s="863" t="n"/>
      <c r="E139" s="863" t="n"/>
      <c r="H139" s="801" t="n"/>
      <c r="L139" s="1355" t="n"/>
    </row>
    <row r="140">
      <c r="A140" s="852" t="n"/>
      <c r="B140" s="862" t="n"/>
      <c r="C140" s="863" t="n"/>
      <c r="D140" s="863" t="n"/>
      <c r="E140" s="863" t="n"/>
      <c r="H140" s="801" t="n"/>
      <c r="L140" s="1355" t="n"/>
    </row>
    <row r="141">
      <c r="A141" s="852" t="n"/>
      <c r="B141" s="862" t="n"/>
      <c r="C141" s="863" t="n"/>
      <c r="D141" s="863" t="n"/>
      <c r="E141" s="863" t="n"/>
      <c r="H141" s="801" t="n"/>
      <c r="L141" s="1355" t="n"/>
    </row>
    <row r="142">
      <c r="A142" s="852" t="n"/>
      <c r="B142" s="862" t="n"/>
      <c r="C142" s="863" t="n"/>
      <c r="D142" s="863" t="n"/>
      <c r="E142" s="863" t="n"/>
      <c r="H142" s="801" t="n"/>
      <c r="L142" s="1355" t="n"/>
    </row>
    <row r="143">
      <c r="A143" s="852" t="n"/>
      <c r="B143" s="862" t="n"/>
      <c r="C143" s="863" t="n"/>
      <c r="D143" s="863" t="n"/>
      <c r="E143" s="863" t="n"/>
      <c r="H143" s="801" t="n"/>
      <c r="L143" s="1355" t="n"/>
    </row>
    <row r="144">
      <c r="A144" s="852" t="n"/>
      <c r="B144" s="862" t="n"/>
      <c r="C144" s="863" t="n"/>
      <c r="D144" s="863" t="n"/>
      <c r="E144" s="863" t="n"/>
      <c r="H144" s="801" t="n"/>
      <c r="L144" s="1355" t="n"/>
    </row>
    <row r="145">
      <c r="A145" s="852" t="n"/>
      <c r="B145" s="862" t="n"/>
      <c r="C145" s="863" t="n"/>
      <c r="D145" s="863" t="n"/>
      <c r="E145" s="863" t="n"/>
      <c r="H145" s="801" t="n"/>
      <c r="L145" s="1355" t="n"/>
    </row>
    <row r="146">
      <c r="A146" s="852" t="n"/>
      <c r="B146" s="862" t="n"/>
      <c r="C146" s="863" t="n"/>
      <c r="D146" s="863" t="n"/>
      <c r="E146" s="863" t="n"/>
      <c r="H146" s="801" t="n"/>
      <c r="L146" s="1355" t="n"/>
    </row>
    <row r="147">
      <c r="A147" s="852" t="n"/>
      <c r="B147" s="862" t="n"/>
      <c r="C147" s="863" t="n"/>
      <c r="D147" s="863" t="n"/>
      <c r="E147" s="863" t="n"/>
      <c r="F147" s="874" t="n"/>
      <c r="G147" s="874" t="n"/>
      <c r="H147" s="874" t="n"/>
      <c r="I147" s="874" t="n"/>
      <c r="J147" s="874" t="n"/>
      <c r="K147" s="874" t="n"/>
      <c r="L147" s="1356" t="n"/>
    </row>
    <row r="148">
      <c r="A148" s="852" t="n"/>
      <c r="B148" s="862" t="n"/>
      <c r="C148" s="863" t="n"/>
      <c r="D148" s="863" t="n"/>
      <c r="E148" s="863" t="n"/>
      <c r="F148" s="874" t="n"/>
      <c r="G148" s="874" t="n"/>
      <c r="H148" s="874" t="n"/>
      <c r="I148" s="874" t="n"/>
      <c r="J148" s="874" t="n"/>
      <c r="K148" s="874" t="n"/>
      <c r="L148" s="1356" t="n"/>
    </row>
    <row r="149">
      <c r="A149" s="852" t="n"/>
      <c r="B149" s="862" t="n"/>
      <c r="C149" s="863" t="n"/>
      <c r="D149" s="863" t="n"/>
      <c r="E149" s="863" t="n"/>
      <c r="F149" s="874" t="n"/>
      <c r="G149" s="874" t="n"/>
      <c r="H149" s="874" t="n"/>
      <c r="I149" s="874" t="n"/>
      <c r="J149" s="874" t="n"/>
      <c r="K149" s="874" t="n"/>
      <c r="L149" s="1356" t="n"/>
    </row>
    <row r="150">
      <c r="A150" s="852" t="n"/>
      <c r="B150" s="862" t="n"/>
      <c r="C150" s="863" t="n"/>
      <c r="D150" s="863" t="n"/>
      <c r="E150" s="863" t="n"/>
      <c r="F150" s="874" t="n"/>
      <c r="G150" s="874" t="n"/>
      <c r="H150" s="874" t="n"/>
      <c r="I150" s="874" t="n"/>
      <c r="J150" s="874" t="n"/>
      <c r="K150" s="874" t="n"/>
      <c r="L150" s="1356" t="n"/>
    </row>
    <row r="151">
      <c r="A151" s="852" t="n"/>
      <c r="B151" s="862" t="n"/>
      <c r="C151" s="863" t="n"/>
      <c r="D151" s="863" t="n"/>
      <c r="E151" s="863" t="n"/>
      <c r="F151" s="874" t="n"/>
      <c r="G151" s="874" t="n"/>
      <c r="H151" s="874" t="n"/>
      <c r="I151" s="874" t="n"/>
      <c r="J151" s="874" t="n"/>
      <c r="K151" s="874" t="n"/>
      <c r="L151" s="1356" t="n"/>
    </row>
    <row r="152">
      <c r="A152" s="852" t="n"/>
      <c r="B152" s="862" t="n"/>
      <c r="C152" s="863" t="n"/>
      <c r="D152" s="863" t="n"/>
      <c r="E152" s="863" t="n"/>
      <c r="F152" s="874" t="n"/>
      <c r="G152" s="874" t="n"/>
      <c r="H152" s="874" t="n"/>
      <c r="I152" s="874" t="n"/>
      <c r="J152" s="874" t="n"/>
      <c r="K152" s="874" t="n"/>
      <c r="L152" s="1356" t="n"/>
    </row>
    <row r="153">
      <c r="A153" s="852" t="n"/>
      <c r="B153" s="862" t="n"/>
      <c r="C153" s="854" t="n"/>
      <c r="D153" s="854" t="n"/>
      <c r="E153" s="854" t="n"/>
      <c r="H153" s="801" t="n"/>
      <c r="L153" s="1355" t="n"/>
    </row>
    <row r="154">
      <c r="A154" s="852" t="n"/>
      <c r="B154" s="862" t="n"/>
      <c r="C154" s="854" t="n"/>
      <c r="D154" s="854" t="n"/>
      <c r="E154" s="854" t="n"/>
      <c r="H154" s="801" t="n"/>
      <c r="L154" s="1355" t="n"/>
    </row>
    <row r="155">
      <c r="A155" s="852" t="n"/>
      <c r="B155" s="862" t="n"/>
      <c r="C155" s="854" t="n"/>
      <c r="D155" s="854" t="n"/>
      <c r="E155" s="854" t="n"/>
      <c r="H155" s="801" t="n"/>
      <c r="L155" s="1355" t="n"/>
    </row>
    <row r="156">
      <c r="A156" s="852" t="n"/>
      <c r="B156" s="862" t="n"/>
      <c r="C156" s="854" t="n"/>
      <c r="D156" s="854" t="n"/>
      <c r="E156" s="854" t="n"/>
      <c r="H156" s="801" t="n"/>
      <c r="L156" s="1355" t="n"/>
    </row>
    <row r="157">
      <c r="A157" s="852" t="n"/>
      <c r="B157" s="862" t="n"/>
      <c r="C157" s="854" t="n"/>
      <c r="D157" s="854" t="n"/>
      <c r="E157" s="854" t="n"/>
      <c r="H157" s="801" t="n"/>
      <c r="L157" s="1355" t="n"/>
    </row>
    <row r="158">
      <c r="A158" s="852" t="n"/>
      <c r="B158" s="862" t="n"/>
      <c r="C158" s="854" t="n"/>
      <c r="D158" s="854" t="n"/>
      <c r="E158" s="854" t="n"/>
      <c r="H158" s="801" t="n"/>
      <c r="L158" s="1355" t="n"/>
    </row>
    <row r="159">
      <c r="A159" s="852" t="n"/>
      <c r="B159" s="862" t="n"/>
      <c r="C159" s="854" t="n"/>
      <c r="D159" s="854" t="n"/>
      <c r="E159" s="854" t="n"/>
      <c r="H159" s="801" t="n"/>
      <c r="L159" s="1355" t="n"/>
    </row>
    <row r="160">
      <c r="A160" s="852" t="n"/>
      <c r="B160" s="862" t="n"/>
      <c r="C160" s="854" t="n"/>
      <c r="D160" s="854" t="n"/>
      <c r="E160" s="854" t="n"/>
      <c r="H160" s="801" t="n"/>
      <c r="L160" s="1355" t="n"/>
    </row>
    <row r="161">
      <c r="A161" s="852" t="n"/>
      <c r="B161" s="862" t="n"/>
      <c r="C161" s="863" t="n"/>
      <c r="D161" s="863" t="n"/>
      <c r="E161" s="863" t="n"/>
      <c r="H161" s="801" t="n"/>
      <c r="L161" s="1355" t="n"/>
    </row>
    <row r="162">
      <c r="A162" s="852" t="n"/>
      <c r="B162" s="862" t="n"/>
      <c r="C162" s="863" t="n"/>
      <c r="D162" s="863" t="n"/>
      <c r="E162" s="863" t="n"/>
      <c r="H162" s="801" t="n"/>
      <c r="L162" s="1355" t="n"/>
    </row>
    <row r="163">
      <c r="A163" s="852" t="n"/>
      <c r="B163" s="862" t="n"/>
      <c r="C163" s="863" t="n"/>
      <c r="D163" s="863" t="n"/>
      <c r="E163" s="863" t="n"/>
      <c r="H163" s="801" t="n"/>
      <c r="L163" s="1355" t="n"/>
    </row>
    <row r="164">
      <c r="A164" s="852" t="n"/>
      <c r="B164" s="862" t="n"/>
      <c r="C164" s="863" t="n"/>
      <c r="D164" s="863" t="n"/>
      <c r="E164" s="863" t="n"/>
      <c r="H164" s="801" t="n"/>
      <c r="L164" s="1355" t="n"/>
    </row>
    <row r="165">
      <c r="A165" s="852" t="n"/>
      <c r="B165" s="862" t="n"/>
      <c r="C165" s="863" t="n"/>
      <c r="D165" s="863" t="n"/>
      <c r="E165" s="863" t="n"/>
      <c r="H165" s="801" t="n"/>
      <c r="L165" s="1355" t="n"/>
    </row>
    <row r="166">
      <c r="A166" s="852" t="n"/>
      <c r="B166" s="862" t="n"/>
      <c r="C166" s="863" t="n"/>
      <c r="D166" s="863" t="n"/>
      <c r="E166" s="863" t="n"/>
      <c r="H166" s="801" t="n"/>
      <c r="L166" s="1355" t="n"/>
    </row>
    <row r="167">
      <c r="A167" s="852" t="n"/>
      <c r="B167" s="862" t="n"/>
      <c r="C167" s="863" t="n"/>
      <c r="D167" s="863" t="n"/>
      <c r="E167" s="863" t="n"/>
      <c r="H167" s="801" t="n"/>
      <c r="L167" s="1355" t="n"/>
    </row>
    <row r="168">
      <c r="A168" s="852" t="n"/>
      <c r="B168" s="862" t="n"/>
      <c r="C168" s="863" t="n"/>
      <c r="D168" s="863" t="n"/>
      <c r="E168" s="863" t="n"/>
      <c r="H168" s="801" t="n"/>
      <c r="L168" s="1355" t="n"/>
    </row>
    <row r="169">
      <c r="A169" s="852" t="n"/>
      <c r="B169" s="862" t="n"/>
      <c r="C169" s="863" t="n"/>
      <c r="D169" s="863" t="n"/>
      <c r="E169" s="863" t="n"/>
      <c r="H169" s="801" t="n"/>
      <c r="L169" s="1355" t="n"/>
    </row>
    <row r="170">
      <c r="A170" s="852" t="n"/>
      <c r="B170" s="862" t="n"/>
      <c r="C170" s="863" t="n"/>
      <c r="D170" s="863" t="n"/>
      <c r="E170" s="863" t="n"/>
      <c r="H170" s="801" t="n"/>
      <c r="L170" s="1355" t="n"/>
    </row>
    <row r="171">
      <c r="A171" s="852" t="n"/>
      <c r="B171" s="862" t="n"/>
      <c r="C171" s="863" t="n"/>
      <c r="D171" s="863" t="n"/>
      <c r="E171" s="863" t="n"/>
      <c r="H171" s="801" t="n"/>
      <c r="L171" s="1355" t="n"/>
    </row>
    <row r="172">
      <c r="A172" s="852" t="n"/>
      <c r="B172" s="862" t="n"/>
      <c r="C172" s="863" t="n"/>
      <c r="D172" s="863" t="n"/>
      <c r="E172" s="863" t="n"/>
      <c r="H172" s="801" t="n"/>
      <c r="L172" s="1355" t="n"/>
    </row>
    <row r="173">
      <c r="A173" s="852" t="n"/>
      <c r="B173" s="862" t="n"/>
      <c r="D173" s="854" t="n"/>
      <c r="E173" s="854" t="n"/>
      <c r="H173" s="801" t="n"/>
      <c r="L173" s="1355" t="n"/>
    </row>
    <row r="174">
      <c r="A174" s="852" t="n"/>
      <c r="B174" s="862" t="n"/>
      <c r="C174" s="854" t="n"/>
      <c r="D174" s="854" t="n"/>
      <c r="E174" s="854" t="n"/>
      <c r="H174" s="801" t="n"/>
      <c r="L174" s="1355" t="n"/>
    </row>
    <row r="175">
      <c r="A175" s="852" t="n"/>
      <c r="B175" s="862" t="n"/>
      <c r="C175" s="854" t="n"/>
      <c r="D175" s="854" t="n"/>
      <c r="E175" s="854" t="n"/>
      <c r="H175" s="801" t="n"/>
      <c r="L175" s="1355" t="n"/>
    </row>
    <row r="176">
      <c r="A176" s="852" t="n"/>
      <c r="B176" s="862" t="n"/>
      <c r="C176" s="854" t="n"/>
      <c r="D176" s="854" t="n"/>
      <c r="E176" s="854" t="n"/>
      <c r="H176" s="801" t="n"/>
      <c r="L176" s="1355" t="n"/>
    </row>
    <row r="177">
      <c r="A177" s="852" t="n"/>
      <c r="B177" s="862" t="n"/>
      <c r="C177" s="854" t="n"/>
      <c r="D177" s="854" t="n"/>
      <c r="E177" s="854" t="n"/>
      <c r="F177" s="857" t="n"/>
      <c r="G177" s="857" t="n"/>
      <c r="H177" s="855" t="n"/>
      <c r="I177" s="855" t="n"/>
      <c r="J177" s="857" t="n"/>
      <c r="K177" s="876" t="n"/>
      <c r="L177" s="1357" t="n"/>
    </row>
    <row r="178">
      <c r="A178" s="852" t="n"/>
      <c r="B178" s="862" t="n"/>
      <c r="C178" s="854" t="n"/>
      <c r="D178" s="854" t="n"/>
      <c r="E178" s="854" t="n"/>
      <c r="F178" s="878" t="n"/>
      <c r="G178" s="878" t="n"/>
      <c r="H178" s="855" t="n"/>
      <c r="I178" s="855" t="n"/>
      <c r="J178" s="857" t="n"/>
      <c r="K178" s="876" t="n"/>
      <c r="L178" s="1357" t="n"/>
    </row>
    <row r="179">
      <c r="A179" s="852" t="n"/>
      <c r="B179" s="862" t="n"/>
      <c r="C179" s="854" t="n"/>
      <c r="D179" s="854" t="n"/>
      <c r="E179" s="854" t="n"/>
      <c r="F179" s="878" t="n"/>
      <c r="G179" s="878" t="n"/>
      <c r="H179" s="855" t="n"/>
      <c r="I179" s="855" t="n"/>
      <c r="J179" s="857" t="n"/>
      <c r="K179" s="876" t="n"/>
      <c r="L179" s="1357" t="n"/>
    </row>
    <row r="180">
      <c r="A180" s="852" t="n"/>
      <c r="B180" s="862" t="n"/>
      <c r="C180" s="854" t="n"/>
      <c r="D180" s="854" t="n"/>
      <c r="E180" s="854" t="n"/>
      <c r="F180" s="857" t="n"/>
      <c r="G180" s="857" t="n"/>
      <c r="H180" s="855" t="n"/>
      <c r="I180" s="855" t="n"/>
      <c r="J180" s="857" t="n"/>
      <c r="K180" s="876" t="n"/>
      <c r="L180" s="1357" t="n"/>
    </row>
    <row r="181">
      <c r="A181" s="852" t="n"/>
      <c r="B181" s="862" t="n"/>
      <c r="C181" s="854" t="n"/>
      <c r="D181" s="854" t="n"/>
      <c r="E181" s="854" t="n"/>
      <c r="F181" s="857" t="n"/>
      <c r="G181" s="857" t="n"/>
      <c r="H181" s="855" t="n"/>
      <c r="I181" s="855" t="n"/>
      <c r="J181" s="857" t="n"/>
      <c r="K181" s="876" t="n"/>
      <c r="L181" s="1357" t="n"/>
    </row>
    <row r="182">
      <c r="A182" s="852" t="n"/>
      <c r="B182" s="862" t="n"/>
      <c r="C182" s="854" t="n"/>
      <c r="D182" s="854" t="n"/>
      <c r="E182" s="854" t="n"/>
      <c r="F182" s="878" t="n"/>
      <c r="G182" s="878" t="n"/>
      <c r="H182" s="855" t="n"/>
      <c r="I182" s="855" t="n"/>
      <c r="J182" s="857" t="n"/>
      <c r="K182" s="876" t="n"/>
      <c r="L182" s="1357" t="n"/>
    </row>
    <row r="183">
      <c r="A183" s="852" t="n"/>
      <c r="B183" s="862" t="n"/>
      <c r="C183" s="854" t="n"/>
      <c r="D183" s="854" t="n"/>
      <c r="E183" s="854" t="n"/>
      <c r="F183" s="857" t="n"/>
      <c r="G183" s="857" t="n"/>
      <c r="H183" s="855" t="n"/>
      <c r="I183" s="855" t="n"/>
      <c r="J183" s="857" t="n"/>
      <c r="K183" s="876" t="n"/>
      <c r="L183" s="1357" t="n"/>
    </row>
    <row r="184">
      <c r="A184" s="852" t="n"/>
      <c r="B184" s="862" t="n"/>
      <c r="C184" s="854" t="n"/>
      <c r="D184" s="854" t="n"/>
      <c r="E184" s="854" t="n"/>
      <c r="F184" s="857" t="n"/>
      <c r="G184" s="857" t="n"/>
      <c r="H184" s="855" t="n"/>
      <c r="I184" s="855" t="n"/>
      <c r="J184" s="857" t="n"/>
      <c r="K184" s="876" t="n"/>
      <c r="L184" s="1357" t="n"/>
    </row>
    <row r="185">
      <c r="A185" s="852" t="n"/>
      <c r="B185" s="862" t="n"/>
      <c r="C185" s="854" t="n"/>
      <c r="D185" s="854" t="n"/>
      <c r="E185" s="854" t="n"/>
      <c r="F185" s="857" t="n"/>
      <c r="G185" s="857" t="n"/>
      <c r="H185" s="855" t="n"/>
      <c r="I185" s="855" t="n"/>
      <c r="J185" s="857" t="n"/>
      <c r="K185" s="876" t="n"/>
      <c r="L185" s="1357" t="n"/>
    </row>
    <row r="186">
      <c r="A186" s="852" t="n"/>
      <c r="B186" s="862" t="n"/>
      <c r="C186" s="854" t="n"/>
      <c r="D186" s="854" t="n"/>
      <c r="E186" s="854" t="n"/>
      <c r="F186" s="857" t="n"/>
      <c r="G186" s="857" t="n"/>
      <c r="H186" s="855" t="n"/>
      <c r="I186" s="855" t="n"/>
      <c r="J186" s="857" t="n"/>
      <c r="K186" s="876" t="n"/>
      <c r="L186" s="1357" t="n"/>
    </row>
    <row r="187">
      <c r="A187" s="852" t="n"/>
      <c r="B187" s="862" t="n"/>
      <c r="C187" s="854" t="n"/>
      <c r="D187" s="854" t="n"/>
      <c r="E187" s="854" t="n"/>
      <c r="F187" s="857" t="n"/>
      <c r="G187" s="857" t="n"/>
      <c r="H187" s="855" t="n"/>
      <c r="I187" s="855" t="n"/>
      <c r="J187" s="857" t="n"/>
      <c r="K187" s="876" t="n"/>
      <c r="L187" s="1357" t="n"/>
    </row>
    <row r="188">
      <c r="A188" s="852" t="n"/>
      <c r="B188" s="862" t="n"/>
      <c r="C188" s="854" t="n"/>
      <c r="D188" s="854" t="n"/>
      <c r="E188" s="854" t="n"/>
      <c r="F188" s="857" t="n"/>
      <c r="G188" s="857" t="n"/>
      <c r="H188" s="855" t="n"/>
      <c r="I188" s="855" t="n"/>
      <c r="J188" s="857" t="n"/>
      <c r="K188" s="876" t="n"/>
      <c r="L188" s="1357" t="n"/>
    </row>
    <row r="189">
      <c r="A189" s="852" t="n"/>
      <c r="B189" s="862" t="n"/>
      <c r="C189" s="863" t="n"/>
      <c r="D189" s="863" t="n"/>
      <c r="E189" s="863" t="n"/>
      <c r="H189" s="801" t="n"/>
      <c r="L189" s="1355" t="n"/>
    </row>
    <row r="190">
      <c r="A190" s="852" t="n"/>
      <c r="B190" s="862" t="n"/>
      <c r="C190" s="863" t="n"/>
      <c r="D190" s="863" t="n"/>
      <c r="E190" s="863" t="n"/>
      <c r="H190" s="801" t="n"/>
      <c r="L190" s="1355" t="n"/>
    </row>
    <row r="191">
      <c r="A191" s="852" t="n"/>
      <c r="B191" s="862" t="n"/>
      <c r="C191" s="863" t="n"/>
      <c r="D191" s="863" t="n"/>
      <c r="E191" s="863" t="n"/>
      <c r="H191" s="801" t="n"/>
      <c r="L191" s="1355" t="n"/>
    </row>
    <row r="192">
      <c r="A192" s="852" t="n"/>
      <c r="B192" s="862" t="n"/>
      <c r="C192" s="863" t="n"/>
      <c r="D192" s="863" t="n"/>
      <c r="E192" s="863" t="n"/>
      <c r="H192" s="801" t="n"/>
      <c r="L192" s="1355" t="n"/>
    </row>
    <row r="193">
      <c r="A193" s="852" t="n"/>
      <c r="B193" s="862" t="n"/>
      <c r="C193" s="863" t="n"/>
      <c r="D193" s="863" t="n"/>
      <c r="E193" s="863" t="n"/>
      <c r="H193" s="801" t="n"/>
      <c r="L193" s="1355" t="n"/>
    </row>
    <row r="194">
      <c r="A194" s="852" t="n"/>
      <c r="B194" s="862" t="n"/>
      <c r="C194" s="863" t="n"/>
      <c r="D194" s="863" t="n"/>
      <c r="E194" s="863" t="n"/>
      <c r="H194" s="801" t="n"/>
      <c r="L194" s="1355" t="n"/>
    </row>
    <row r="195">
      <c r="A195" s="852" t="n"/>
      <c r="B195" s="862" t="n"/>
      <c r="C195" s="863" t="n"/>
      <c r="D195" s="863" t="n"/>
      <c r="E195" s="863" t="n"/>
      <c r="H195" s="801" t="n"/>
      <c r="L195" s="1355" t="n"/>
    </row>
    <row r="196">
      <c r="A196" s="852" t="n"/>
      <c r="B196" s="862" t="n"/>
      <c r="C196" s="863" t="n"/>
      <c r="D196" s="863" t="n"/>
      <c r="E196" s="863" t="n"/>
      <c r="H196" s="801" t="n"/>
      <c r="L196" s="1355" t="n"/>
    </row>
    <row r="197">
      <c r="A197" s="852" t="n"/>
      <c r="B197" s="862" t="n"/>
      <c r="C197" s="863" t="n"/>
      <c r="D197" s="863" t="n"/>
      <c r="E197" s="863" t="n"/>
      <c r="H197" s="801" t="n"/>
      <c r="L197" s="1355" t="n"/>
    </row>
    <row r="198">
      <c r="A198" s="852" t="n"/>
      <c r="B198" s="862" t="n"/>
      <c r="C198" s="863" t="n"/>
      <c r="D198" s="863" t="n"/>
      <c r="E198" s="863" t="n"/>
      <c r="H198" s="801" t="n"/>
      <c r="L198" s="1355" t="n"/>
    </row>
    <row r="199">
      <c r="A199" s="852" t="n"/>
      <c r="B199" s="862" t="n"/>
      <c r="C199" s="863" t="n"/>
      <c r="D199" s="863" t="n"/>
      <c r="E199" s="863" t="n"/>
      <c r="H199" s="801" t="n"/>
      <c r="L199" s="1355" t="n"/>
    </row>
    <row r="200">
      <c r="A200" s="852" t="n"/>
      <c r="B200" s="862" t="n"/>
      <c r="C200" s="863" t="n"/>
      <c r="D200" s="863" t="n"/>
      <c r="E200" s="863" t="n"/>
      <c r="H200" s="801" t="n"/>
      <c r="L200" s="1355" t="n"/>
    </row>
    <row r="201">
      <c r="A201" s="852" t="n"/>
      <c r="B201" s="862" t="n"/>
      <c r="C201" s="863" t="n"/>
      <c r="D201" s="863" t="n"/>
      <c r="E201" s="863" t="n"/>
      <c r="H201" s="801" t="n"/>
      <c r="L201" s="1355" t="n"/>
    </row>
    <row r="202">
      <c r="A202" s="852" t="n"/>
      <c r="B202" s="862" t="n"/>
      <c r="C202" s="863" t="n"/>
      <c r="D202" s="863" t="n"/>
      <c r="E202" s="863" t="n"/>
      <c r="H202" s="801" t="n"/>
      <c r="L202" s="1355" t="n"/>
    </row>
    <row r="203">
      <c r="A203" s="852" t="n"/>
      <c r="B203" s="862" t="n"/>
      <c r="C203" s="863" t="n"/>
      <c r="D203" s="863" t="n"/>
      <c r="E203" s="863" t="n"/>
      <c r="H203" s="801" t="n"/>
      <c r="L203" s="1355" t="n"/>
    </row>
    <row r="204">
      <c r="A204" s="852" t="n"/>
      <c r="B204" s="862" t="n"/>
      <c r="C204" s="863" t="n"/>
      <c r="D204" s="863" t="n"/>
      <c r="E204" s="863" t="n"/>
      <c r="H204" s="801" t="n"/>
      <c r="L204" s="1355" t="n"/>
    </row>
    <row r="205">
      <c r="A205" s="852" t="n"/>
      <c r="B205" s="862" t="n"/>
      <c r="C205" s="863" t="n"/>
      <c r="D205" s="863" t="n"/>
      <c r="E205" s="863" t="n"/>
      <c r="H205" s="801" t="n"/>
      <c r="L205" s="1355" t="n"/>
    </row>
    <row r="206">
      <c r="A206" s="852" t="n"/>
      <c r="B206" s="862" t="n"/>
      <c r="C206" s="863" t="n"/>
      <c r="D206" s="863" t="n"/>
      <c r="E206" s="863" t="n"/>
      <c r="H206" s="801" t="n"/>
      <c r="L206" s="1355" t="n"/>
    </row>
    <row r="207">
      <c r="A207" s="852" t="n"/>
      <c r="B207" s="862" t="n"/>
      <c r="C207" s="863" t="n"/>
      <c r="D207" s="863" t="n"/>
      <c r="E207" s="863" t="n"/>
      <c r="H207" s="801" t="n"/>
      <c r="L207" s="1355" t="n"/>
    </row>
    <row r="208">
      <c r="A208" s="852" t="n"/>
      <c r="B208" s="862" t="n"/>
      <c r="C208" s="863" t="n"/>
      <c r="D208" s="863" t="n"/>
      <c r="E208" s="863" t="n"/>
      <c r="H208" s="801" t="n"/>
      <c r="L208" s="1355" t="n"/>
    </row>
    <row r="209">
      <c r="A209" s="852" t="n"/>
      <c r="B209" s="862" t="n"/>
      <c r="C209" s="863" t="n"/>
      <c r="D209" s="863" t="n"/>
      <c r="E209" s="863" t="n"/>
      <c r="H209" s="801" t="n"/>
      <c r="L209" s="1355" t="n"/>
    </row>
    <row r="210">
      <c r="A210" s="852" t="n"/>
      <c r="B210" s="862" t="n"/>
      <c r="C210" s="863" t="n"/>
      <c r="D210" s="863" t="n"/>
      <c r="E210" s="863" t="n"/>
      <c r="H210" s="801" t="n"/>
      <c r="L210" s="1355" t="n"/>
    </row>
    <row r="211">
      <c r="A211" s="852" t="n"/>
      <c r="B211" s="862" t="n"/>
      <c r="C211" s="863" t="n"/>
      <c r="D211" s="863" t="n"/>
      <c r="E211" s="863" t="n"/>
      <c r="H211" s="801" t="n"/>
      <c r="L211" s="1355" t="n"/>
    </row>
    <row r="212">
      <c r="A212" s="852" t="n"/>
      <c r="B212" s="862" t="n"/>
      <c r="C212" s="863" t="n"/>
      <c r="D212" s="863" t="n"/>
      <c r="E212" s="863" t="n"/>
      <c r="H212" s="801" t="n"/>
      <c r="L212" s="1355" t="n"/>
    </row>
    <row r="213">
      <c r="A213" s="852" t="n"/>
      <c r="B213" s="862" t="n"/>
      <c r="C213" s="863" t="n"/>
      <c r="D213" s="863" t="n"/>
      <c r="E213" s="863" t="n"/>
      <c r="H213" s="801" t="n"/>
      <c r="L213" s="1355" t="n"/>
    </row>
    <row r="214">
      <c r="A214" s="852" t="n"/>
      <c r="B214" s="862" t="n"/>
      <c r="C214" s="863" t="n"/>
      <c r="D214" s="863" t="n"/>
      <c r="E214" s="863" t="n"/>
      <c r="H214" s="801" t="n"/>
      <c r="L214" s="1355" t="n"/>
    </row>
    <row r="215">
      <c r="A215" s="852" t="n"/>
      <c r="B215" s="862" t="n"/>
      <c r="C215" s="863" t="n"/>
      <c r="D215" s="863" t="n"/>
      <c r="E215" s="863" t="n"/>
      <c r="H215" s="801" t="n"/>
      <c r="L215" s="1355" t="n"/>
    </row>
    <row r="216">
      <c r="A216" s="852" t="n"/>
      <c r="B216" s="862" t="n"/>
      <c r="C216" s="863" t="n"/>
      <c r="D216" s="863" t="n"/>
      <c r="E216" s="863" t="n"/>
      <c r="H216" s="801" t="n"/>
      <c r="L216" s="1355" t="n"/>
    </row>
    <row r="217">
      <c r="A217" s="852" t="n"/>
      <c r="B217" s="862" t="n"/>
      <c r="C217" s="863" t="n"/>
      <c r="D217" s="863" t="n"/>
      <c r="E217" s="863" t="n"/>
      <c r="H217" s="801" t="n"/>
      <c r="L217" s="1355" t="n"/>
    </row>
    <row r="218">
      <c r="A218" s="852" t="n"/>
      <c r="B218" s="862" t="n"/>
      <c r="C218" s="863" t="n"/>
      <c r="D218" s="863" t="n"/>
      <c r="E218" s="863" t="n"/>
      <c r="H218" s="801" t="n"/>
      <c r="L218" s="1355" t="n"/>
    </row>
    <row r="219">
      <c r="A219" s="852" t="n"/>
      <c r="B219" s="862" t="n"/>
      <c r="C219" s="863" t="n"/>
      <c r="D219" s="863" t="n"/>
      <c r="E219" s="863" t="n"/>
      <c r="H219" s="801" t="n"/>
      <c r="L219" s="1355" t="n"/>
    </row>
    <row r="220">
      <c r="A220" s="852" t="n"/>
      <c r="B220" s="862" t="n"/>
      <c r="C220" s="863" t="n"/>
      <c r="D220" s="863" t="n"/>
      <c r="E220" s="863" t="n"/>
      <c r="H220" s="801" t="n"/>
      <c r="L220" s="1355" t="n"/>
    </row>
    <row r="221">
      <c r="A221" s="852" t="n"/>
      <c r="B221" s="862" t="n"/>
      <c r="C221" s="863" t="n"/>
      <c r="D221" s="863" t="n"/>
      <c r="E221" s="863" t="n"/>
      <c r="H221" s="801" t="n"/>
      <c r="L221" s="1355" t="n"/>
    </row>
    <row r="222">
      <c r="A222" s="852" t="n"/>
      <c r="B222" s="862" t="n"/>
      <c r="C222" s="863" t="n"/>
      <c r="D222" s="863" t="n"/>
      <c r="E222" s="863" t="n"/>
      <c r="H222" s="801" t="n"/>
      <c r="L222" s="1355" t="n"/>
    </row>
    <row r="223">
      <c r="A223" s="852" t="n"/>
      <c r="B223" s="862" t="n"/>
      <c r="C223" s="863" t="n"/>
      <c r="D223" s="863" t="n"/>
      <c r="E223" s="863" t="n"/>
      <c r="H223" s="801" t="n"/>
      <c r="L223" s="1355" t="n"/>
    </row>
    <row r="224">
      <c r="A224" s="852" t="n"/>
      <c r="B224" s="862" t="n"/>
      <c r="C224" s="863" t="n"/>
      <c r="D224" s="863" t="n"/>
      <c r="E224" s="863" t="n"/>
      <c r="H224" s="801" t="n"/>
      <c r="L224" s="1355" t="n"/>
    </row>
    <row r="225">
      <c r="A225" s="852" t="n"/>
      <c r="B225" s="862" t="n"/>
      <c r="C225" s="863" t="n"/>
      <c r="D225" s="863" t="n"/>
      <c r="E225" s="863" t="n"/>
      <c r="H225" s="801" t="n"/>
      <c r="L225" s="1355" t="n"/>
    </row>
    <row r="226">
      <c r="A226" s="852" t="n"/>
      <c r="B226" s="862" t="n"/>
      <c r="C226" s="863" t="n"/>
      <c r="D226" s="863" t="n"/>
      <c r="E226" s="863" t="n"/>
      <c r="H226" s="801" t="n"/>
      <c r="L226" s="1355" t="n"/>
    </row>
    <row r="227">
      <c r="A227" s="852" t="n"/>
      <c r="B227" s="862" t="n"/>
      <c r="C227" s="863" t="n"/>
      <c r="D227" s="863" t="n"/>
      <c r="E227" s="863" t="n"/>
      <c r="H227" s="801" t="n"/>
      <c r="L227" s="1355" t="n"/>
    </row>
    <row r="228">
      <c r="A228" s="852" t="n"/>
      <c r="B228" s="862" t="n"/>
      <c r="C228" s="863" t="n"/>
      <c r="D228" s="863" t="n"/>
      <c r="E228" s="863" t="n"/>
      <c r="H228" s="801" t="n"/>
      <c r="L228" s="1355" t="n"/>
    </row>
    <row r="229">
      <c r="A229" s="852" t="n"/>
      <c r="B229" s="862" t="n"/>
      <c r="C229" s="863" t="n"/>
      <c r="D229" s="863" t="n"/>
      <c r="E229" s="863" t="n"/>
      <c r="H229" s="801" t="n"/>
      <c r="L229" s="1355" t="n"/>
    </row>
    <row r="230">
      <c r="A230" s="852" t="n"/>
      <c r="B230" s="862" t="n"/>
      <c r="C230" s="863" t="n"/>
      <c r="D230" s="863" t="n"/>
      <c r="E230" s="863" t="n"/>
      <c r="H230" s="801" t="n"/>
      <c r="L230" s="1355" t="n"/>
    </row>
    <row r="231">
      <c r="A231" s="852" t="n"/>
      <c r="B231" s="862" t="n"/>
      <c r="C231" s="863" t="n"/>
      <c r="D231" s="863" t="n"/>
      <c r="E231" s="863" t="n"/>
      <c r="H231" s="801" t="n"/>
      <c r="L231" s="1355" t="n"/>
    </row>
    <row r="232">
      <c r="A232" s="852" t="n"/>
      <c r="B232" s="862" t="n"/>
      <c r="C232" s="863" t="n"/>
      <c r="D232" s="863" t="n"/>
      <c r="E232" s="863" t="n"/>
      <c r="H232" s="801" t="n"/>
      <c r="L232" s="1355" t="n"/>
    </row>
    <row r="233">
      <c r="A233" s="852" t="n"/>
      <c r="B233" s="862" t="n"/>
      <c r="C233" s="863" t="n"/>
      <c r="D233" s="863" t="n"/>
      <c r="E233" s="863" t="n"/>
      <c r="H233" s="801" t="n"/>
      <c r="L233" s="1355" t="n"/>
    </row>
    <row r="234">
      <c r="A234" s="852" t="n"/>
      <c r="B234" s="862" t="n"/>
      <c r="C234" s="863" t="n"/>
      <c r="D234" s="863" t="n"/>
      <c r="E234" s="863" t="n"/>
      <c r="H234" s="801" t="n"/>
      <c r="L234" s="1355" t="n"/>
    </row>
    <row r="235">
      <c r="A235" s="852" t="n"/>
      <c r="B235" s="862" t="n"/>
      <c r="C235" s="863" t="n"/>
      <c r="D235" s="863" t="n"/>
      <c r="E235" s="863" t="n"/>
      <c r="H235" s="801" t="n"/>
      <c r="L235" s="1355" t="n"/>
    </row>
    <row r="236">
      <c r="A236" s="852" t="n"/>
      <c r="B236" s="862" t="n"/>
      <c r="C236" s="863" t="n"/>
      <c r="D236" s="863" t="n"/>
      <c r="E236" s="863" t="n"/>
      <c r="F236" s="874" t="n"/>
      <c r="G236" s="874" t="n"/>
      <c r="H236" s="874" t="n"/>
      <c r="I236" s="874" t="n"/>
      <c r="J236" s="874" t="n"/>
      <c r="K236" s="874" t="n"/>
      <c r="L236" s="1356" t="n"/>
    </row>
    <row r="237">
      <c r="A237" s="852" t="n"/>
      <c r="B237" s="862" t="n"/>
      <c r="C237" s="863" t="n"/>
      <c r="D237" s="863" t="n"/>
      <c r="E237" s="863" t="n"/>
      <c r="F237" s="874" t="n"/>
      <c r="G237" s="874" t="n"/>
      <c r="H237" s="874" t="n"/>
      <c r="I237" s="874" t="n"/>
      <c r="J237" s="874" t="n"/>
      <c r="K237" s="874" t="n"/>
      <c r="L237" s="1356" t="n"/>
    </row>
    <row r="238">
      <c r="A238" s="852" t="n"/>
      <c r="B238" s="862" t="n"/>
      <c r="C238" s="863" t="n"/>
      <c r="D238" s="863" t="n"/>
      <c r="E238" s="863" t="n"/>
      <c r="F238" s="874" t="n"/>
      <c r="G238" s="874" t="n"/>
      <c r="H238" s="874" t="n"/>
      <c r="I238" s="874" t="n"/>
      <c r="J238" s="874" t="n"/>
      <c r="K238" s="874" t="n"/>
      <c r="L238" s="1356" t="n"/>
    </row>
    <row r="239">
      <c r="A239" s="852" t="n"/>
      <c r="B239" s="862" t="n"/>
      <c r="C239" s="863" t="n"/>
      <c r="D239" s="863" t="n"/>
      <c r="E239" s="863" t="n"/>
      <c r="F239" s="874" t="n"/>
      <c r="G239" s="874" t="n"/>
      <c r="H239" s="874" t="n"/>
      <c r="I239" s="874" t="n"/>
      <c r="J239" s="874" t="n"/>
      <c r="K239" s="874" t="n"/>
      <c r="L239" s="1356" t="n"/>
    </row>
    <row r="240">
      <c r="A240" s="852" t="n"/>
      <c r="B240" s="862" t="n"/>
      <c r="C240" s="863" t="n"/>
      <c r="D240" s="863" t="n"/>
      <c r="E240" s="863" t="n"/>
      <c r="F240" s="874" t="n"/>
      <c r="G240" s="874" t="n"/>
      <c r="H240" s="874" t="n"/>
      <c r="I240" s="874" t="n"/>
      <c r="J240" s="874" t="n"/>
      <c r="K240" s="874" t="n"/>
      <c r="L240" s="1356" t="n"/>
    </row>
    <row r="241">
      <c r="A241" s="852" t="n"/>
      <c r="B241" s="862" t="n"/>
      <c r="C241" s="863" t="n"/>
      <c r="D241" s="863" t="n"/>
      <c r="E241" s="863" t="n"/>
      <c r="F241" s="874" t="n"/>
      <c r="G241" s="874" t="n"/>
      <c r="H241" s="874" t="n"/>
      <c r="I241" s="874" t="n"/>
      <c r="J241" s="874" t="n"/>
      <c r="K241" s="874" t="n"/>
      <c r="L241" s="1356" t="n"/>
    </row>
    <row r="242">
      <c r="A242" s="852" t="n"/>
      <c r="B242" s="862" t="n"/>
      <c r="C242" s="863" t="n"/>
      <c r="D242" s="863" t="n"/>
      <c r="E242" s="863" t="n"/>
      <c r="H242" s="801" t="n"/>
      <c r="L242" s="1355" t="n"/>
    </row>
    <row r="243">
      <c r="A243" s="852" t="n"/>
      <c r="B243" s="862" t="n"/>
      <c r="C243" s="863" t="n"/>
      <c r="D243" s="863" t="n"/>
      <c r="E243" s="863" t="n"/>
      <c r="H243" s="801" t="n"/>
      <c r="L243" s="1355" t="n"/>
    </row>
    <row r="244">
      <c r="A244" s="852" t="n"/>
      <c r="B244" s="862" t="n"/>
      <c r="C244" s="863" t="n"/>
      <c r="D244" s="863" t="n"/>
      <c r="E244" s="863" t="n"/>
      <c r="H244" s="801" t="n"/>
      <c r="L244" s="1355" t="n"/>
    </row>
    <row r="245">
      <c r="A245" s="852" t="n"/>
      <c r="B245" s="862" t="n"/>
      <c r="C245" s="863" t="n"/>
      <c r="D245" s="863" t="n"/>
      <c r="E245" s="863" t="n"/>
      <c r="H245" s="801" t="n"/>
      <c r="L245" s="1355" t="n"/>
    </row>
    <row r="246">
      <c r="A246" s="852" t="n"/>
      <c r="B246" s="862" t="n"/>
      <c r="C246" s="863" t="n"/>
      <c r="D246" s="863" t="n"/>
      <c r="E246" s="863" t="n"/>
      <c r="H246" s="801" t="n"/>
      <c r="L246" s="1355" t="n"/>
    </row>
    <row r="247">
      <c r="A247" s="852" t="n"/>
      <c r="B247" s="862" t="n"/>
      <c r="C247" s="863" t="n"/>
      <c r="D247" s="863" t="n"/>
      <c r="E247" s="863" t="n"/>
      <c r="H247" s="801" t="n"/>
      <c r="L247" s="1355" t="n"/>
    </row>
    <row r="248">
      <c r="A248" s="852" t="n"/>
      <c r="B248" s="862" t="n"/>
      <c r="C248" s="863" t="n"/>
      <c r="D248" s="863" t="n"/>
      <c r="E248" s="863" t="n"/>
      <c r="H248" s="801" t="n"/>
      <c r="L248" s="1355" t="n"/>
    </row>
    <row r="249">
      <c r="A249" s="852" t="n"/>
      <c r="B249" s="862" t="n"/>
      <c r="C249" s="863" t="n"/>
      <c r="D249" s="863" t="n"/>
      <c r="E249" s="863" t="n"/>
      <c r="H249" s="801" t="n"/>
      <c r="L249" s="1355" t="n"/>
    </row>
    <row r="250">
      <c r="A250" s="852" t="n"/>
      <c r="B250" s="862" t="n"/>
      <c r="C250" s="863" t="n"/>
      <c r="D250" s="863" t="n"/>
      <c r="E250" s="863" t="n"/>
      <c r="H250" s="801" t="n"/>
      <c r="L250" s="1355" t="n"/>
    </row>
    <row r="251">
      <c r="A251" s="852" t="n"/>
      <c r="B251" s="862" t="n"/>
      <c r="C251" s="863" t="n"/>
      <c r="D251" s="863" t="n"/>
      <c r="E251" s="863" t="n"/>
      <c r="H251" s="801" t="n"/>
      <c r="L251" s="1355" t="n"/>
    </row>
    <row r="252">
      <c r="A252" s="852" t="n"/>
      <c r="B252" s="862" t="n"/>
      <c r="C252" s="863" t="n"/>
      <c r="D252" s="863" t="n"/>
      <c r="E252" s="863" t="n"/>
      <c r="H252" s="801" t="n"/>
      <c r="L252" s="1355" t="n"/>
    </row>
    <row r="253">
      <c r="A253" s="852" t="n"/>
      <c r="B253" s="862" t="n"/>
      <c r="C253" s="863" t="n"/>
      <c r="D253" s="863" t="n"/>
      <c r="E253" s="863" t="n"/>
      <c r="F253" s="874" t="n"/>
      <c r="G253" s="874" t="n"/>
      <c r="H253" s="874" t="n"/>
      <c r="I253" s="874" t="n"/>
      <c r="L253" s="1355" t="n"/>
    </row>
    <row r="254">
      <c r="A254" s="852" t="n"/>
      <c r="B254" s="862" t="n"/>
      <c r="C254" s="863" t="n"/>
      <c r="D254" s="863" t="n"/>
      <c r="E254" s="863" t="n"/>
      <c r="H254" s="801" t="n"/>
      <c r="L254" s="1355" t="n"/>
    </row>
    <row r="255">
      <c r="A255" s="852" t="n"/>
      <c r="B255" s="862" t="n"/>
      <c r="C255" s="863" t="n"/>
      <c r="D255" s="863" t="n"/>
      <c r="E255" s="863" t="n"/>
      <c r="H255" s="801" t="n"/>
      <c r="L255" s="1355" t="n"/>
    </row>
    <row r="256">
      <c r="A256" s="852" t="n"/>
      <c r="B256" s="862" t="n"/>
      <c r="C256" s="863" t="n"/>
      <c r="D256" s="863" t="n"/>
      <c r="E256" s="863" t="n"/>
      <c r="H256" s="801" t="n"/>
      <c r="L256" s="1355" t="n"/>
    </row>
    <row r="257">
      <c r="A257" s="852" t="n"/>
      <c r="B257" s="862" t="n"/>
      <c r="C257" s="863" t="n"/>
      <c r="D257" s="863" t="n"/>
      <c r="E257" s="863" t="n"/>
      <c r="H257" s="801" t="n"/>
      <c r="L257" s="1355" t="n"/>
    </row>
    <row r="258">
      <c r="A258" s="852" t="n"/>
      <c r="B258" s="862" t="n"/>
      <c r="C258" s="863" t="n"/>
      <c r="D258" s="863" t="n"/>
      <c r="E258" s="863" t="n"/>
      <c r="H258" s="801" t="n"/>
      <c r="L258" s="1355" t="n"/>
    </row>
    <row r="259">
      <c r="A259" s="852" t="n"/>
      <c r="B259" s="862" t="n"/>
      <c r="C259" s="863" t="n"/>
      <c r="D259" s="863" t="n"/>
      <c r="E259" s="863" t="n"/>
      <c r="H259" s="801" t="n"/>
      <c r="L259" s="1355" t="n"/>
    </row>
    <row r="260">
      <c r="A260" s="852" t="n"/>
      <c r="B260" s="862" t="n"/>
      <c r="C260" s="863" t="n"/>
      <c r="D260" s="863" t="n"/>
      <c r="E260" s="863" t="n"/>
      <c r="H260" s="801" t="n"/>
      <c r="L260" s="1355" t="n"/>
    </row>
    <row r="261">
      <c r="A261" s="852" t="n"/>
      <c r="B261" s="862" t="n"/>
      <c r="C261" s="863" t="n"/>
      <c r="D261" s="863" t="n"/>
      <c r="E261" s="863" t="n"/>
      <c r="H261" s="801" t="n"/>
      <c r="L261" s="1355" t="n"/>
    </row>
    <row r="262">
      <c r="A262" s="852" t="n"/>
      <c r="B262" s="862" t="n"/>
      <c r="C262" s="863" t="n"/>
      <c r="D262" s="863" t="n"/>
      <c r="E262" s="863" t="n"/>
      <c r="H262" s="801" t="n"/>
      <c r="L262" s="1355" t="n"/>
    </row>
    <row r="263">
      <c r="A263" s="852" t="n"/>
      <c r="B263" s="862" t="n"/>
      <c r="C263" s="863" t="n"/>
      <c r="D263" s="863" t="n"/>
      <c r="E263" s="863" t="n"/>
      <c r="H263" s="801" t="n"/>
      <c r="L263" s="1355" t="n"/>
    </row>
    <row r="264">
      <c r="A264" s="852" t="n"/>
      <c r="B264" s="862" t="n"/>
      <c r="C264" s="863" t="n"/>
      <c r="D264" s="863" t="n"/>
      <c r="E264" s="863" t="n"/>
      <c r="H264" s="801" t="n"/>
      <c r="L264" s="1355" t="n"/>
    </row>
    <row r="265">
      <c r="A265" s="852" t="n"/>
      <c r="B265" s="862" t="n"/>
      <c r="C265" s="863" t="n"/>
      <c r="D265" s="863" t="n"/>
      <c r="E265" s="863" t="n"/>
      <c r="H265" s="801" t="n"/>
      <c r="L265" s="1355" t="n"/>
    </row>
    <row r="266">
      <c r="A266" s="852" t="n"/>
      <c r="B266" s="862" t="n"/>
      <c r="C266" s="863" t="n"/>
      <c r="D266" s="863" t="n"/>
      <c r="E266" s="863" t="n"/>
      <c r="H266" s="801" t="n"/>
      <c r="L266" s="1355" t="n"/>
    </row>
    <row r="267">
      <c r="A267" s="852" t="n"/>
      <c r="B267" s="862" t="n"/>
      <c r="C267" s="863" t="n"/>
      <c r="D267" s="863" t="n"/>
      <c r="E267" s="863" t="n"/>
      <c r="H267" s="801" t="n"/>
      <c r="L267" s="1355" t="n"/>
    </row>
    <row r="268">
      <c r="A268" s="852" t="n"/>
      <c r="B268" s="862" t="n"/>
      <c r="C268" s="863" t="n"/>
      <c r="D268" s="863" t="n"/>
      <c r="E268" s="863" t="n"/>
      <c r="H268" s="801" t="n"/>
      <c r="L268" s="1355" t="n"/>
    </row>
    <row r="269">
      <c r="A269" s="852" t="n"/>
      <c r="B269" s="862" t="n"/>
      <c r="C269" s="863" t="n"/>
      <c r="D269" s="863" t="n"/>
      <c r="E269" s="863" t="n"/>
      <c r="H269" s="801" t="n"/>
      <c r="L269" s="1355" t="n"/>
    </row>
    <row r="270">
      <c r="A270" s="852" t="n"/>
      <c r="B270" s="862" t="n"/>
      <c r="C270" s="863" t="n"/>
      <c r="D270" s="863" t="n"/>
      <c r="E270" s="863" t="n"/>
      <c r="H270" s="801" t="n"/>
      <c r="L270" s="1355" t="n"/>
    </row>
    <row r="271">
      <c r="A271" s="852" t="n"/>
      <c r="B271" s="862" t="n"/>
      <c r="C271" s="863" t="n"/>
      <c r="D271" s="863" t="n"/>
      <c r="E271" s="863" t="n"/>
      <c r="H271" s="801" t="n"/>
      <c r="L271" s="1355" t="n"/>
    </row>
    <row r="272">
      <c r="A272" s="852" t="n"/>
      <c r="B272" s="862" t="n"/>
      <c r="C272" s="863" t="n"/>
      <c r="D272" s="863" t="n"/>
      <c r="E272" s="863" t="n"/>
      <c r="H272" s="801" t="n"/>
      <c r="L272" s="1355" t="n"/>
    </row>
    <row r="273">
      <c r="A273" s="852" t="n"/>
      <c r="B273" s="862" t="n"/>
      <c r="C273" s="863" t="n"/>
      <c r="D273" s="863" t="n"/>
      <c r="E273" s="863" t="n"/>
      <c r="H273" s="801" t="n"/>
      <c r="L273" s="1355" t="n"/>
    </row>
    <row r="274">
      <c r="A274" s="852" t="n"/>
      <c r="B274" s="862" t="n"/>
      <c r="C274" s="863" t="n"/>
      <c r="D274" s="863" t="n"/>
      <c r="E274" s="863" t="n"/>
      <c r="H274" s="801" t="n"/>
      <c r="L274" s="1355" t="n"/>
    </row>
    <row r="275">
      <c r="A275" s="852" t="n"/>
      <c r="B275" s="862" t="n"/>
      <c r="C275" s="863" t="n"/>
      <c r="D275" s="863" t="n"/>
      <c r="E275" s="863" t="n"/>
      <c r="H275" s="801" t="n"/>
      <c r="L275" s="1355" t="n"/>
    </row>
    <row r="276">
      <c r="A276" s="852" t="n"/>
      <c r="B276" s="862" t="n"/>
      <c r="C276" s="863" t="n"/>
      <c r="D276" s="863" t="n"/>
      <c r="E276" s="863" t="n"/>
      <c r="H276" s="801" t="n"/>
      <c r="L276" s="1355" t="n"/>
    </row>
    <row r="277">
      <c r="A277" s="852" t="n"/>
      <c r="B277" s="862" t="n"/>
      <c r="C277" s="863" t="n"/>
      <c r="D277" s="863" t="n"/>
      <c r="E277" s="863" t="n"/>
      <c r="H277" s="801" t="n"/>
      <c r="L277" s="1355" t="n"/>
    </row>
    <row r="278">
      <c r="A278" s="852" t="n"/>
      <c r="B278" s="862" t="n"/>
      <c r="C278" s="863" t="n"/>
      <c r="D278" s="863" t="n"/>
      <c r="E278" s="863" t="n"/>
      <c r="H278" s="801" t="n"/>
      <c r="L278" s="1355" t="n"/>
    </row>
    <row r="279">
      <c r="A279" s="852" t="n"/>
      <c r="B279" s="862" t="n"/>
      <c r="C279" s="863" t="n"/>
      <c r="D279" s="863" t="n"/>
      <c r="E279" s="863" t="n"/>
      <c r="H279" s="801" t="n"/>
      <c r="L279" s="1355" t="n"/>
    </row>
    <row r="280">
      <c r="A280" s="852" t="n"/>
      <c r="B280" s="862" t="n"/>
      <c r="C280" s="863" t="n"/>
      <c r="D280" s="863" t="n"/>
      <c r="E280" s="863" t="n"/>
      <c r="H280" s="801" t="n"/>
      <c r="L280" s="1355" t="n"/>
    </row>
    <row r="281">
      <c r="A281" s="852" t="n"/>
      <c r="B281" s="862" t="n"/>
      <c r="C281" s="863" t="n"/>
      <c r="D281" s="863" t="n"/>
      <c r="E281" s="863" t="n"/>
      <c r="H281" s="801" t="n"/>
      <c r="L281" s="1355" t="n"/>
    </row>
    <row r="282">
      <c r="A282" s="852" t="n"/>
      <c r="B282" s="862" t="n"/>
      <c r="C282" s="863" t="n"/>
      <c r="D282" s="863" t="n"/>
      <c r="E282" s="863" t="n"/>
      <c r="H282" s="801" t="n"/>
      <c r="L282" s="1355" t="n"/>
    </row>
    <row r="283">
      <c r="A283" s="852" t="n"/>
      <c r="B283" s="862" t="n"/>
      <c r="C283" s="863" t="n"/>
      <c r="D283" s="863" t="n"/>
      <c r="E283" s="863" t="n"/>
      <c r="H283" s="801" t="n"/>
      <c r="L283" s="1355" t="n"/>
    </row>
    <row r="284">
      <c r="A284" s="852" t="n"/>
      <c r="B284" s="862" t="n"/>
      <c r="C284" s="863" t="n"/>
      <c r="D284" s="863" t="n"/>
      <c r="E284" s="863" t="n"/>
      <c r="H284" s="801" t="n"/>
      <c r="L284" s="1355" t="n"/>
    </row>
    <row r="285">
      <c r="A285" s="852" t="n"/>
      <c r="B285" s="862" t="n"/>
      <c r="C285" s="863" t="n"/>
      <c r="D285" s="863" t="n"/>
      <c r="E285" s="863" t="n"/>
      <c r="H285" s="801" t="n"/>
      <c r="L285" s="1355" t="n"/>
    </row>
    <row r="286">
      <c r="A286" s="852" t="n"/>
      <c r="B286" s="862" t="n"/>
      <c r="C286" s="863" t="n"/>
      <c r="D286" s="863" t="n"/>
      <c r="E286" s="863" t="n"/>
      <c r="H286" s="801" t="n"/>
      <c r="L286" s="1355" t="n"/>
    </row>
    <row r="287">
      <c r="A287" s="852" t="n"/>
      <c r="B287" s="862" t="n"/>
      <c r="C287" s="863" t="n"/>
      <c r="D287" s="863" t="n"/>
      <c r="E287" s="863" t="n"/>
      <c r="H287" s="801" t="n"/>
      <c r="L287" s="1355" t="n"/>
    </row>
    <row r="288">
      <c r="A288" s="852" t="n"/>
      <c r="B288" s="862" t="n"/>
      <c r="C288" s="863" t="n"/>
      <c r="D288" s="863" t="n"/>
      <c r="E288" s="863" t="n"/>
      <c r="H288" s="801" t="n"/>
      <c r="L288" s="1355" t="n"/>
    </row>
    <row r="289">
      <c r="A289" s="852" t="n"/>
      <c r="B289" s="862" t="n"/>
      <c r="C289" s="863" t="n"/>
      <c r="D289" s="863" t="n"/>
      <c r="E289" s="863" t="n"/>
      <c r="H289" s="801" t="n"/>
      <c r="L289" s="1355" t="n"/>
    </row>
    <row r="290">
      <c r="A290" s="852" t="n"/>
      <c r="B290" s="862" t="n"/>
      <c r="C290" s="863" t="n"/>
      <c r="D290" s="863" t="n"/>
      <c r="E290" s="863" t="n"/>
      <c r="H290" s="801" t="n"/>
      <c r="L290" s="1355" t="n"/>
    </row>
    <row r="291">
      <c r="A291" s="852" t="n"/>
      <c r="B291" s="862" t="n"/>
      <c r="C291" s="863" t="n"/>
      <c r="D291" s="863" t="n"/>
      <c r="E291" s="863" t="n"/>
      <c r="H291" s="801" t="n"/>
      <c r="L291" s="1355" t="n"/>
    </row>
    <row r="292">
      <c r="A292" s="852" t="n"/>
      <c r="B292" s="862" t="n"/>
      <c r="C292" s="863" t="n"/>
      <c r="D292" s="863" t="n"/>
      <c r="E292" s="863" t="n"/>
      <c r="H292" s="801" t="n"/>
      <c r="L292" s="1355" t="n"/>
    </row>
    <row r="293">
      <c r="A293" s="852" t="n"/>
      <c r="B293" s="862" t="n"/>
      <c r="C293" s="863" t="n"/>
      <c r="D293" s="863" t="n"/>
      <c r="E293" s="863" t="n"/>
      <c r="H293" s="801" t="n"/>
      <c r="L293" s="1355" t="n"/>
    </row>
    <row r="294">
      <c r="A294" s="852" t="n"/>
      <c r="B294" s="862" t="n"/>
      <c r="C294" s="863" t="n"/>
      <c r="D294" s="863" t="n"/>
      <c r="E294" s="863" t="n"/>
      <c r="H294" s="801" t="n"/>
      <c r="L294" s="1355" t="n"/>
    </row>
    <row r="295">
      <c r="A295" s="852" t="n"/>
      <c r="B295" s="862" t="n"/>
      <c r="C295" s="863" t="n"/>
      <c r="D295" s="863" t="n"/>
      <c r="E295" s="863" t="n"/>
      <c r="H295" s="801" t="n"/>
      <c r="L295" s="1355" t="n"/>
    </row>
    <row r="296">
      <c r="A296" s="852" t="n"/>
      <c r="B296" s="862" t="n"/>
      <c r="C296" s="863" t="n"/>
      <c r="D296" s="863" t="n"/>
      <c r="E296" s="863" t="n"/>
      <c r="H296" s="801" t="n"/>
      <c r="L296" s="1355" t="n"/>
    </row>
    <row r="297">
      <c r="A297" s="852" t="n"/>
      <c r="B297" s="862" t="n"/>
      <c r="C297" s="863" t="n"/>
      <c r="D297" s="863" t="n"/>
      <c r="E297" s="863" t="n"/>
      <c r="H297" s="801" t="n"/>
      <c r="L297" s="1355" t="n"/>
    </row>
    <row r="298">
      <c r="A298" s="852" t="n"/>
      <c r="B298" s="862" t="n"/>
      <c r="C298" s="863" t="n"/>
      <c r="D298" s="863" t="n"/>
      <c r="E298" s="863" t="n"/>
      <c r="H298" s="801" t="n"/>
      <c r="L298" s="1355" t="n"/>
    </row>
    <row r="299">
      <c r="A299" s="852" t="n"/>
      <c r="B299" s="862" t="n"/>
      <c r="C299" s="863" t="n"/>
      <c r="D299" s="863" t="n"/>
      <c r="E299" s="863" t="n"/>
      <c r="H299" s="801" t="n"/>
      <c r="L299" s="1355" t="n"/>
    </row>
    <row r="300">
      <c r="A300" s="852" t="n"/>
      <c r="B300" s="862" t="n"/>
      <c r="C300" s="863" t="n"/>
      <c r="D300" s="863" t="n"/>
      <c r="E300" s="863" t="n"/>
      <c r="H300" s="801" t="n"/>
      <c r="L300" s="1355" t="n"/>
    </row>
    <row r="301">
      <c r="A301" s="852" t="n"/>
      <c r="B301" s="862" t="n"/>
      <c r="C301" s="863" t="n"/>
      <c r="D301" s="863" t="n"/>
      <c r="E301" s="863" t="n"/>
      <c r="H301" s="801" t="n"/>
      <c r="L301" s="1355" t="n"/>
    </row>
    <row r="302">
      <c r="A302" s="852" t="n"/>
      <c r="B302" s="862" t="n"/>
      <c r="C302" s="863" t="n"/>
      <c r="D302" s="863" t="n"/>
      <c r="E302" s="863" t="n"/>
      <c r="H302" s="801" t="n"/>
      <c r="L302" s="1355" t="n"/>
    </row>
    <row r="303">
      <c r="A303" s="852" t="n"/>
      <c r="B303" s="862" t="n"/>
      <c r="C303" s="863" t="n"/>
      <c r="D303" s="863" t="n"/>
      <c r="E303" s="863" t="n"/>
      <c r="H303" s="801" t="n"/>
      <c r="L303" s="1355" t="n"/>
    </row>
    <row r="304">
      <c r="A304" s="852" t="n"/>
      <c r="B304" s="862" t="n"/>
      <c r="C304" s="863" t="n"/>
      <c r="D304" s="863" t="n"/>
      <c r="E304" s="863" t="n"/>
      <c r="H304" s="801" t="n"/>
      <c r="L304" s="1355" t="n"/>
    </row>
    <row r="305">
      <c r="A305" s="852" t="n"/>
      <c r="B305" s="862" t="n"/>
      <c r="C305" s="863" t="n"/>
      <c r="D305" s="863" t="n"/>
      <c r="E305" s="863" t="n"/>
      <c r="H305" s="801" t="n"/>
      <c r="L305" s="1355" t="n"/>
    </row>
    <row r="306">
      <c r="A306" s="852" t="n"/>
      <c r="B306" s="862" t="n"/>
      <c r="C306" s="863" t="n"/>
      <c r="D306" s="863" t="n"/>
      <c r="E306" s="863" t="n"/>
      <c r="H306" s="801" t="n"/>
      <c r="L306" s="1355" t="n"/>
    </row>
    <row r="307">
      <c r="A307" s="852" t="n"/>
      <c r="B307" s="862" t="n"/>
      <c r="C307" s="863" t="n"/>
      <c r="D307" s="863" t="n"/>
      <c r="E307" s="863" t="n"/>
      <c r="H307" s="801" t="n"/>
      <c r="L307" s="1355" t="n"/>
    </row>
    <row r="308">
      <c r="A308" s="852" t="n"/>
      <c r="B308" s="862" t="n"/>
      <c r="C308" s="863" t="n"/>
      <c r="D308" s="863" t="n"/>
      <c r="E308" s="863" t="n"/>
      <c r="H308" s="801" t="n"/>
      <c r="L308" s="1355" t="n"/>
    </row>
    <row r="309">
      <c r="A309" s="852" t="n"/>
      <c r="B309" s="862" t="n"/>
      <c r="C309" s="863" t="n"/>
      <c r="D309" s="863" t="n"/>
      <c r="E309" s="863" t="n"/>
      <c r="H309" s="801" t="n"/>
      <c r="L309" s="1355" t="n"/>
    </row>
    <row r="310">
      <c r="A310" s="852" t="n"/>
      <c r="B310" s="862" t="n"/>
      <c r="C310" s="863" t="n"/>
      <c r="D310" s="863" t="n"/>
      <c r="E310" s="863" t="n"/>
      <c r="H310" s="801" t="n"/>
      <c r="L310" s="1355" t="n"/>
    </row>
    <row r="311">
      <c r="A311" s="852" t="n"/>
      <c r="B311" s="862" t="n"/>
      <c r="C311" s="863" t="n"/>
      <c r="D311" s="863" t="n"/>
      <c r="E311" s="863" t="n"/>
      <c r="H311" s="801" t="n"/>
      <c r="L311" s="1355" t="n"/>
    </row>
    <row r="312">
      <c r="A312" s="852" t="n"/>
      <c r="B312" s="862" t="n"/>
      <c r="C312" s="863" t="n"/>
      <c r="D312" s="863" t="n"/>
      <c r="E312" s="863" t="n"/>
      <c r="H312" s="801" t="n"/>
      <c r="L312" s="1355" t="n"/>
    </row>
    <row r="313">
      <c r="A313" s="852" t="n"/>
      <c r="B313" s="862" t="n"/>
      <c r="C313" s="863" t="n"/>
      <c r="D313" s="863" t="n"/>
      <c r="E313" s="863" t="n"/>
      <c r="H313" s="801" t="n"/>
      <c r="L313" s="1355" t="n"/>
    </row>
    <row r="314">
      <c r="A314" s="852" t="n"/>
      <c r="B314" s="862" t="n"/>
      <c r="C314" s="863" t="n"/>
      <c r="D314" s="863" t="n"/>
      <c r="E314" s="863" t="n"/>
      <c r="H314" s="801" t="n"/>
      <c r="L314" s="1355" t="n"/>
    </row>
    <row r="315">
      <c r="A315" s="852" t="n"/>
      <c r="B315" s="862" t="n"/>
      <c r="C315" s="863" t="n"/>
      <c r="D315" s="863" t="n"/>
      <c r="E315" s="863" t="n"/>
      <c r="H315" s="801" t="n"/>
      <c r="L315" s="1355" t="n"/>
    </row>
    <row r="316">
      <c r="A316" s="852" t="n"/>
      <c r="B316" s="862" t="n"/>
      <c r="C316" s="863" t="n"/>
      <c r="D316" s="863" t="n"/>
      <c r="E316" s="863" t="n"/>
      <c r="H316" s="801" t="n"/>
      <c r="L316" s="1355" t="n"/>
    </row>
    <row r="317">
      <c r="A317" s="852" t="n"/>
      <c r="B317" s="862" t="n"/>
      <c r="C317" s="863" t="n"/>
      <c r="D317" s="863" t="n"/>
      <c r="E317" s="863" t="n"/>
      <c r="F317" s="874" t="n"/>
      <c r="G317" s="874" t="n"/>
      <c r="H317" s="874" t="n"/>
      <c r="I317" s="874" t="n"/>
      <c r="J317" s="874" t="n"/>
      <c r="K317" s="874" t="n"/>
      <c r="L317" s="1356" t="n"/>
    </row>
    <row r="318">
      <c r="A318" s="852" t="n"/>
      <c r="B318" s="862" t="n"/>
      <c r="C318" s="863" t="n"/>
      <c r="D318" s="863" t="n"/>
      <c r="E318" s="863" t="n"/>
      <c r="F318" s="874" t="n"/>
      <c r="G318" s="874" t="n"/>
      <c r="H318" s="874" t="n"/>
      <c r="I318" s="874" t="n"/>
      <c r="J318" s="874" t="n"/>
      <c r="K318" s="874" t="n"/>
      <c r="L318" s="1356" t="n"/>
    </row>
    <row r="319">
      <c r="A319" s="852" t="n"/>
      <c r="B319" s="862" t="n"/>
      <c r="C319" s="863" t="n"/>
      <c r="D319" s="863" t="n"/>
      <c r="E319" s="863" t="n"/>
      <c r="F319" s="874" t="n"/>
      <c r="G319" s="874" t="n"/>
      <c r="H319" s="874" t="n"/>
      <c r="I319" s="874" t="n"/>
      <c r="J319" s="874" t="n"/>
      <c r="K319" s="874" t="n"/>
      <c r="L319" s="1356" t="n"/>
    </row>
    <row r="320">
      <c r="A320" s="879" t="n"/>
      <c r="B320" s="862" t="n"/>
      <c r="C320" s="880" t="n"/>
      <c r="D320" s="880" t="n"/>
      <c r="E320" s="880" t="n"/>
      <c r="F320" s="881" t="n"/>
      <c r="G320" s="882" t="n"/>
      <c r="H320" s="882" t="n"/>
      <c r="I320" s="881" t="n"/>
      <c r="J320" s="882" t="n"/>
      <c r="K320" s="883" t="n"/>
      <c r="L320" s="1358" t="n"/>
    </row>
    <row r="321">
      <c r="A321" s="879" t="n"/>
      <c r="B321" s="862" t="n"/>
      <c r="C321" s="880" t="n"/>
      <c r="D321" s="880" t="n"/>
      <c r="E321" s="880" t="n"/>
      <c r="F321" s="881" t="n"/>
      <c r="G321" s="882" t="n"/>
      <c r="H321" s="882" t="n"/>
      <c r="I321" s="881" t="n"/>
      <c r="J321" s="882" t="n"/>
      <c r="K321" s="883" t="n"/>
      <c r="L321" s="1358" t="n"/>
    </row>
    <row r="322">
      <c r="A322" s="879" t="n"/>
      <c r="B322" s="862" t="n"/>
      <c r="C322" s="880" t="n"/>
      <c r="D322" s="880" t="n"/>
      <c r="E322" s="880" t="n"/>
      <c r="F322" s="881" t="n"/>
      <c r="G322" s="882" t="n"/>
      <c r="H322" s="882" t="n"/>
      <c r="I322" s="881" t="n"/>
      <c r="J322" s="882" t="n"/>
      <c r="K322" s="883" t="n"/>
      <c r="L322" s="1358" t="n"/>
    </row>
    <row r="323">
      <c r="A323" s="879" t="n"/>
      <c r="B323" s="862" t="n"/>
      <c r="C323" s="880" t="n"/>
      <c r="D323" s="880" t="n"/>
      <c r="E323" s="880" t="n"/>
      <c r="F323" s="885" t="n"/>
      <c r="G323" s="885" t="n"/>
      <c r="H323" s="885" t="n"/>
      <c r="I323" s="886" t="n"/>
      <c r="J323" s="885" t="n"/>
      <c r="K323" s="887" t="n"/>
      <c r="L323" s="1359" t="n"/>
    </row>
    <row r="324">
      <c r="A324" s="879" t="n"/>
      <c r="B324" s="862" t="n"/>
      <c r="C324" s="880" t="n"/>
      <c r="D324" s="880" t="n"/>
      <c r="E324" s="880" t="n"/>
      <c r="F324" s="881" t="n"/>
      <c r="G324" s="882" t="n"/>
      <c r="H324" s="882" t="n"/>
      <c r="I324" s="881" t="n"/>
      <c r="J324" s="882" t="n"/>
      <c r="K324" s="883" t="n"/>
      <c r="L324" s="1358" t="n"/>
    </row>
    <row r="325">
      <c r="A325" s="879" t="n"/>
      <c r="B325" s="862" t="n"/>
      <c r="C325" s="880" t="n"/>
      <c r="D325" s="880" t="n"/>
      <c r="E325" s="880" t="n"/>
      <c r="F325" s="881" t="n"/>
      <c r="G325" s="882" t="n"/>
      <c r="H325" s="882" t="n"/>
      <c r="I325" s="881" t="n"/>
      <c r="J325" s="882" t="n"/>
      <c r="K325" s="883" t="n"/>
      <c r="L325" s="1358" t="n"/>
    </row>
    <row r="326">
      <c r="A326" s="879" t="n"/>
      <c r="B326" s="862" t="n"/>
      <c r="C326" s="880" t="n"/>
      <c r="D326" s="880" t="n"/>
      <c r="E326" s="880" t="n"/>
      <c r="F326" s="881" t="n"/>
      <c r="G326" s="882" t="n"/>
      <c r="H326" s="882" t="n"/>
      <c r="I326" s="881" t="n"/>
      <c r="J326" s="882" t="n"/>
      <c r="K326" s="883" t="n"/>
      <c r="L326" s="1358" t="n"/>
    </row>
    <row r="327">
      <c r="A327" s="879" t="n"/>
      <c r="B327" s="805" t="n"/>
      <c r="C327" s="880" t="n"/>
      <c r="D327" s="880" t="n"/>
      <c r="E327" s="880" t="n"/>
      <c r="F327" s="889" t="n"/>
      <c r="G327" s="890" t="n"/>
      <c r="H327" s="855" t="n"/>
      <c r="I327" s="855" t="n"/>
      <c r="J327" s="855" t="n"/>
      <c r="K327" s="876" t="n"/>
      <c r="L327" s="1357" t="n"/>
    </row>
    <row r="328">
      <c r="A328" s="879" t="n"/>
      <c r="B328" s="805" t="n"/>
      <c r="C328" s="880" t="n"/>
      <c r="D328" s="880" t="n"/>
      <c r="E328" s="880" t="n"/>
      <c r="F328" s="889" t="n"/>
      <c r="G328" s="890" t="n"/>
      <c r="H328" s="855" t="n"/>
      <c r="I328" s="855" t="n"/>
      <c r="J328" s="855" t="n"/>
      <c r="K328" s="876" t="n"/>
      <c r="L328" s="1357" t="n"/>
    </row>
    <row r="329">
      <c r="A329" s="879" t="n"/>
      <c r="B329" s="805" t="n"/>
      <c r="C329" s="880" t="n"/>
      <c r="D329" s="880" t="n"/>
      <c r="E329" s="880" t="n"/>
      <c r="F329" s="889" t="n"/>
      <c r="G329" s="890" t="n"/>
      <c r="H329" s="855" t="n"/>
      <c r="I329" s="855" t="n"/>
      <c r="J329" s="855" t="n"/>
      <c r="K329" s="876" t="n"/>
      <c r="L329" s="1357" t="n"/>
    </row>
    <row r="330">
      <c r="A330" s="879" t="n"/>
      <c r="B330" s="805" t="n"/>
      <c r="C330" s="880" t="n"/>
      <c r="D330" s="880" t="n"/>
      <c r="E330" s="880" t="n"/>
      <c r="F330" s="889" t="n"/>
      <c r="G330" s="890" t="n"/>
      <c r="H330" s="855" t="n"/>
      <c r="I330" s="855" t="n"/>
      <c r="J330" s="855" t="n"/>
      <c r="K330" s="876" t="n"/>
      <c r="L330" s="1357" t="n"/>
    </row>
    <row r="331">
      <c r="A331" s="879" t="n"/>
      <c r="B331" s="805" t="n"/>
      <c r="C331" s="880" t="n"/>
      <c r="D331" s="880" t="n"/>
      <c r="E331" s="880" t="n"/>
      <c r="F331" s="889" t="n"/>
      <c r="G331" s="890" t="n"/>
      <c r="H331" s="855" t="n"/>
      <c r="I331" s="855" t="n"/>
      <c r="J331" s="855" t="n"/>
      <c r="K331" s="876" t="n"/>
      <c r="L331" s="1357" t="n"/>
    </row>
    <row r="332">
      <c r="A332" s="879" t="n"/>
      <c r="B332" s="805" t="n"/>
      <c r="C332" s="880" t="n"/>
      <c r="D332" s="880" t="n"/>
      <c r="E332" s="880" t="n"/>
      <c r="F332" s="889" t="n"/>
      <c r="G332" s="890" t="n"/>
      <c r="H332" s="855" t="n"/>
      <c r="I332" s="855" t="n"/>
      <c r="J332" s="855" t="n"/>
      <c r="K332" s="876" t="n"/>
      <c r="L332" s="1357" t="n"/>
    </row>
    <row r="333">
      <c r="A333" s="879" t="n"/>
      <c r="B333" s="805" t="n"/>
      <c r="C333" s="880" t="n"/>
      <c r="D333" s="880" t="n"/>
      <c r="E333" s="880" t="n"/>
      <c r="F333" s="889" t="n"/>
      <c r="G333" s="890" t="n"/>
      <c r="H333" s="855" t="n"/>
      <c r="I333" s="855" t="n"/>
      <c r="J333" s="855" t="n"/>
      <c r="K333" s="876" t="n"/>
      <c r="L333" s="1357" t="n"/>
    </row>
    <row r="334">
      <c r="A334" s="879" t="n"/>
      <c r="B334" s="805" t="n"/>
      <c r="C334" s="880" t="n"/>
      <c r="D334" s="880" t="n"/>
      <c r="E334" s="880" t="n"/>
      <c r="F334" s="889" t="n"/>
      <c r="G334" s="890" t="n"/>
      <c r="H334" s="855" t="n"/>
      <c r="I334" s="855" t="n"/>
      <c r="J334" s="855" t="n"/>
      <c r="K334" s="876" t="n"/>
      <c r="L334" s="1357" t="n"/>
    </row>
    <row r="335">
      <c r="A335" s="879" t="n"/>
      <c r="B335" s="805" t="n"/>
      <c r="C335" s="880" t="n"/>
      <c r="D335" s="880" t="n"/>
      <c r="E335" s="880" t="n"/>
      <c r="F335" s="889" t="n"/>
      <c r="G335" s="890" t="n"/>
      <c r="H335" s="855" t="n"/>
      <c r="I335" s="855" t="n"/>
      <c r="J335" s="855" t="n"/>
      <c r="K335" s="876" t="n"/>
      <c r="L335" s="1357" t="n"/>
    </row>
    <row r="336">
      <c r="A336" s="879" t="n"/>
      <c r="B336" s="805" t="n"/>
      <c r="C336" s="880" t="n"/>
      <c r="D336" s="880" t="n"/>
      <c r="E336" s="880" t="n"/>
      <c r="F336" s="889" t="n"/>
      <c r="G336" s="890" t="n"/>
      <c r="H336" s="855" t="n"/>
      <c r="I336" s="855" t="n"/>
      <c r="J336" s="855" t="n"/>
      <c r="K336" s="876" t="n"/>
      <c r="L336" s="1357" t="n"/>
    </row>
    <row r="337">
      <c r="A337" s="879" t="n"/>
      <c r="B337" s="805" t="n"/>
      <c r="C337" s="880" t="n"/>
      <c r="D337" s="880" t="n"/>
      <c r="E337" s="880" t="n"/>
      <c r="F337" s="889" t="n"/>
      <c r="G337" s="890" t="n"/>
      <c r="H337" s="855" t="n"/>
      <c r="I337" s="855" t="n"/>
      <c r="J337" s="855" t="n"/>
      <c r="K337" s="876" t="n"/>
      <c r="L337" s="1357" t="n"/>
    </row>
    <row r="338">
      <c r="A338" s="879" t="n"/>
      <c r="B338" s="805" t="n"/>
      <c r="C338" s="880" t="n"/>
      <c r="D338" s="880" t="n"/>
      <c r="E338" s="880" t="n"/>
      <c r="F338" s="889" t="n"/>
      <c r="G338" s="890" t="n"/>
      <c r="H338" s="855" t="n"/>
      <c r="I338" s="855" t="n"/>
      <c r="J338" s="855" t="n"/>
      <c r="K338" s="876" t="n"/>
      <c r="L338" s="1357" t="n"/>
    </row>
    <row r="339">
      <c r="A339" s="879" t="n"/>
      <c r="B339" s="805" t="n"/>
      <c r="C339" s="880" t="n"/>
      <c r="D339" s="880" t="n"/>
      <c r="E339" s="880" t="n"/>
      <c r="F339" s="889" t="n"/>
      <c r="G339" s="890" t="n"/>
      <c r="H339" s="855" t="n"/>
      <c r="I339" s="855" t="n"/>
      <c r="J339" s="855" t="n"/>
      <c r="K339" s="876" t="n"/>
      <c r="L339" s="1357" t="n"/>
    </row>
    <row r="340">
      <c r="A340" s="879" t="n"/>
      <c r="B340" s="805" t="n"/>
      <c r="C340" s="880" t="n"/>
      <c r="D340" s="880" t="n"/>
      <c r="E340" s="880" t="n"/>
      <c r="F340" s="889" t="n"/>
      <c r="G340" s="890" t="n"/>
      <c r="H340" s="855" t="n"/>
      <c r="I340" s="855" t="n"/>
      <c r="J340" s="855" t="n"/>
      <c r="K340" s="876" t="n"/>
      <c r="L340" s="1357" t="n"/>
    </row>
    <row r="341">
      <c r="A341" s="879" t="n"/>
      <c r="B341" s="805" t="n"/>
      <c r="C341" s="880" t="n"/>
      <c r="D341" s="880" t="n"/>
      <c r="E341" s="880" t="n"/>
      <c r="F341" s="889" t="n"/>
      <c r="G341" s="890" t="n"/>
      <c r="H341" s="855" t="n"/>
      <c r="I341" s="855" t="n"/>
      <c r="J341" s="855" t="n"/>
      <c r="K341" s="876" t="n"/>
      <c r="L341" s="1357" t="n"/>
    </row>
    <row r="342">
      <c r="A342" s="879" t="n"/>
      <c r="B342" s="805" t="n"/>
      <c r="C342" s="880" t="n"/>
      <c r="D342" s="880" t="n"/>
      <c r="E342" s="880" t="n"/>
      <c r="F342" s="889" t="n"/>
      <c r="G342" s="890" t="n"/>
      <c r="H342" s="855" t="n"/>
      <c r="I342" s="855" t="n"/>
      <c r="J342" s="855" t="n"/>
      <c r="K342" s="876" t="n"/>
      <c r="L342" s="1357" t="n"/>
    </row>
    <row r="343">
      <c r="A343" s="879" t="n"/>
      <c r="B343" s="805" t="n"/>
      <c r="C343" s="880" t="n"/>
      <c r="D343" s="880" t="n"/>
      <c r="E343" s="880" t="n"/>
      <c r="F343" s="891" t="n"/>
      <c r="G343" s="892" t="n"/>
      <c r="H343" s="855" t="n"/>
      <c r="I343" s="855" t="n"/>
      <c r="J343" s="855" t="n"/>
      <c r="K343" s="876" t="n"/>
      <c r="L343" s="1357" t="n"/>
    </row>
    <row r="344">
      <c r="A344" s="879" t="n"/>
      <c r="B344" s="805" t="n"/>
      <c r="C344" s="880" t="n"/>
      <c r="D344" s="880" t="n"/>
      <c r="E344" s="880" t="n"/>
      <c r="F344" s="891" t="n"/>
      <c r="G344" s="892" t="n"/>
      <c r="H344" s="855" t="n"/>
      <c r="I344" s="855" t="n"/>
      <c r="J344" s="855" t="n"/>
      <c r="K344" s="876" t="n"/>
      <c r="L344" s="1357" t="n"/>
    </row>
    <row r="345">
      <c r="A345" s="879" t="n"/>
      <c r="B345" s="805" t="n"/>
      <c r="C345" s="880" t="n"/>
      <c r="D345" s="880" t="n"/>
      <c r="E345" s="880" t="n"/>
      <c r="F345" s="889" t="n"/>
      <c r="G345" s="890" t="n"/>
      <c r="H345" s="855" t="n"/>
      <c r="I345" s="855" t="n"/>
      <c r="J345" s="855" t="n"/>
      <c r="K345" s="876" t="n"/>
      <c r="L345" s="1357" t="n"/>
    </row>
    <row r="346">
      <c r="A346" s="879" t="n"/>
      <c r="B346" s="805" t="n"/>
      <c r="C346" s="880" t="n"/>
      <c r="D346" s="880" t="n"/>
      <c r="E346" s="880" t="n"/>
      <c r="F346" s="889" t="n"/>
      <c r="G346" s="890" t="n"/>
      <c r="H346" s="855" t="n"/>
      <c r="I346" s="855" t="n"/>
      <c r="J346" s="855" t="n"/>
      <c r="K346" s="876" t="n"/>
      <c r="L346" s="1357" t="n"/>
    </row>
    <row r="347">
      <c r="A347" s="879" t="n"/>
      <c r="B347" s="805" t="n"/>
      <c r="C347" s="880" t="n"/>
      <c r="D347" s="880" t="n"/>
      <c r="E347" s="880" t="n"/>
      <c r="F347" s="891" t="n"/>
      <c r="G347" s="892" t="n"/>
      <c r="H347" s="855" t="n"/>
      <c r="I347" s="855" t="n"/>
      <c r="J347" s="855" t="n"/>
      <c r="K347" s="876" t="n"/>
      <c r="L347" s="1357" t="n"/>
    </row>
    <row r="348">
      <c r="A348" s="879" t="n"/>
      <c r="B348" s="805" t="n"/>
      <c r="C348" s="880" t="n"/>
      <c r="D348" s="880" t="n"/>
      <c r="E348" s="880" t="n"/>
      <c r="F348" s="889" t="n"/>
      <c r="G348" s="890" t="n"/>
      <c r="H348" s="855" t="n"/>
      <c r="I348" s="855" t="n"/>
      <c r="J348" s="855" t="n"/>
      <c r="K348" s="876" t="n"/>
      <c r="L348" s="1357" t="n"/>
    </row>
    <row r="349">
      <c r="A349" s="879" t="n"/>
      <c r="B349" s="805" t="n"/>
      <c r="C349" s="880" t="n"/>
      <c r="D349" s="880" t="n"/>
      <c r="E349" s="880" t="n"/>
      <c r="F349" s="889" t="n"/>
      <c r="G349" s="890" t="n"/>
      <c r="H349" s="855" t="n"/>
      <c r="I349" s="855" t="n"/>
      <c r="J349" s="855" t="n"/>
      <c r="K349" s="876" t="n"/>
      <c r="L349" s="1357" t="n"/>
    </row>
    <row r="350">
      <c r="A350" s="879" t="n"/>
      <c r="B350" s="805" t="n"/>
      <c r="C350" s="880" t="n"/>
      <c r="D350" s="880" t="n"/>
      <c r="E350" s="880" t="n"/>
      <c r="F350" s="889" t="n"/>
      <c r="G350" s="890" t="n"/>
      <c r="H350" s="855" t="n"/>
      <c r="I350" s="855" t="n"/>
      <c r="J350" s="855" t="n"/>
      <c r="K350" s="876" t="n"/>
      <c r="L350" s="1357" t="n"/>
    </row>
    <row r="351">
      <c r="A351" s="879" t="n"/>
      <c r="B351" s="805" t="n"/>
      <c r="C351" s="880" t="n"/>
      <c r="D351" s="880" t="n"/>
      <c r="E351" s="880" t="n"/>
      <c r="F351" s="855" t="n"/>
      <c r="G351" s="857" t="n"/>
      <c r="H351" s="855" t="n"/>
      <c r="I351" s="855" t="n"/>
      <c r="J351" s="855" t="n"/>
      <c r="K351" s="876" t="n"/>
      <c r="L351" s="1357" t="n"/>
    </row>
    <row r="352">
      <c r="A352" s="879" t="n"/>
      <c r="B352" s="805" t="n"/>
      <c r="C352" s="880" t="n"/>
      <c r="D352" s="880" t="n"/>
      <c r="E352" s="880" t="n"/>
      <c r="F352" s="855" t="n"/>
      <c r="G352" s="857" t="n"/>
      <c r="H352" s="855" t="n"/>
      <c r="I352" s="855" t="n"/>
      <c r="J352" s="855" t="n"/>
      <c r="K352" s="876" t="n"/>
      <c r="L352" s="1357" t="n"/>
    </row>
    <row r="353">
      <c r="A353" s="852" t="n"/>
      <c r="B353" s="862" t="n"/>
      <c r="D353" s="854" t="n"/>
      <c r="E353" s="854" t="n"/>
      <c r="H353" s="801" t="n"/>
      <c r="L353" s="1355" t="n"/>
    </row>
    <row r="354">
      <c r="A354" s="852" t="n"/>
      <c r="B354" s="862" t="n"/>
      <c r="D354" s="854" t="n"/>
      <c r="E354" s="854" t="n"/>
      <c r="H354" s="801" t="n"/>
      <c r="L354" s="1355" t="n"/>
    </row>
    <row r="355">
      <c r="A355" s="852" t="n"/>
      <c r="B355" s="862" t="n"/>
      <c r="D355" s="854" t="n"/>
      <c r="E355" s="854" t="n"/>
      <c r="H355" s="801" t="n"/>
      <c r="L355" s="1355" t="n"/>
    </row>
    <row r="356">
      <c r="A356" s="852" t="n"/>
      <c r="B356" s="862" t="n"/>
      <c r="D356" s="854" t="n"/>
      <c r="E356" s="854" t="n"/>
      <c r="H356" s="801" t="n"/>
      <c r="L356" s="1355" t="n"/>
    </row>
    <row r="357">
      <c r="A357" s="852" t="n"/>
      <c r="B357" s="862" t="n"/>
      <c r="D357" s="854" t="n"/>
      <c r="E357" s="854" t="n"/>
      <c r="H357" s="801" t="n"/>
      <c r="L357" s="1355" t="n"/>
    </row>
    <row r="358">
      <c r="A358" s="852" t="n"/>
      <c r="B358" s="862" t="n"/>
      <c r="D358" s="854" t="n"/>
      <c r="E358" s="854" t="n"/>
      <c r="H358" s="801" t="n"/>
      <c r="L358" s="1355" t="n"/>
    </row>
    <row r="359">
      <c r="A359" s="852" t="n"/>
      <c r="B359" s="862" t="n"/>
      <c r="D359" s="854" t="n"/>
      <c r="E359" s="854" t="n"/>
      <c r="H359" s="801" t="n"/>
      <c r="L359" s="1355" t="n"/>
    </row>
    <row r="360">
      <c r="A360" s="852" t="n"/>
      <c r="B360" s="862" t="n"/>
      <c r="D360" s="854" t="n"/>
      <c r="E360" s="854" t="n"/>
      <c r="H360" s="801" t="n"/>
      <c r="L360" s="1355" t="n"/>
    </row>
    <row r="361">
      <c r="A361" s="852" t="n"/>
      <c r="B361" s="862" t="n"/>
      <c r="D361" s="854" t="n"/>
      <c r="E361" s="854" t="n"/>
      <c r="H361" s="801" t="n"/>
      <c r="L361" s="1355" t="n"/>
    </row>
    <row r="362">
      <c r="A362" s="852" t="n"/>
      <c r="B362" s="862" t="n"/>
      <c r="D362" s="854" t="n"/>
      <c r="E362" s="854" t="n"/>
      <c r="H362" s="801" t="n"/>
      <c r="L362" s="1355" t="n"/>
    </row>
    <row r="363">
      <c r="A363" s="852" t="n"/>
      <c r="B363" s="862" t="n"/>
      <c r="D363" s="854" t="n"/>
      <c r="E363" s="854" t="n"/>
      <c r="H363" s="801" t="n"/>
      <c r="L363" s="1355" t="n"/>
    </row>
    <row r="364">
      <c r="A364" s="852" t="n"/>
      <c r="B364" s="862" t="n"/>
      <c r="D364" s="854" t="n"/>
      <c r="E364" s="854" t="n"/>
      <c r="H364" s="801" t="n"/>
      <c r="L364" s="1355" t="n"/>
    </row>
    <row r="365">
      <c r="A365" s="852" t="n"/>
      <c r="B365" s="862" t="n"/>
      <c r="D365" s="854" t="n"/>
      <c r="E365" s="854" t="n"/>
      <c r="H365" s="801" t="n"/>
      <c r="L365" s="1355" t="n"/>
    </row>
    <row r="366">
      <c r="A366" s="852" t="n"/>
      <c r="B366" s="862" t="n"/>
      <c r="D366" s="854" t="n"/>
      <c r="E366" s="854" t="n"/>
      <c r="H366" s="801" t="n"/>
      <c r="L366" s="1355" t="n"/>
    </row>
    <row r="367">
      <c r="A367" s="852" t="n"/>
      <c r="B367" s="862" t="n"/>
      <c r="D367" s="854" t="n"/>
      <c r="E367" s="854" t="n"/>
      <c r="H367" s="801" t="n"/>
      <c r="L367" s="1355" t="n"/>
    </row>
    <row r="368">
      <c r="A368" s="852" t="n"/>
      <c r="B368" s="862" t="n"/>
      <c r="D368" s="854" t="n"/>
      <c r="E368" s="854" t="n"/>
      <c r="H368" s="801" t="n"/>
      <c r="L368" s="1355" t="n"/>
    </row>
    <row r="369">
      <c r="A369" s="852" t="n"/>
      <c r="B369" s="862" t="n"/>
      <c r="D369" s="854" t="n"/>
      <c r="E369" s="854" t="n"/>
      <c r="H369" s="801" t="n"/>
      <c r="L369" s="1355" t="n"/>
    </row>
    <row r="370">
      <c r="A370" s="852" t="n"/>
      <c r="B370" s="862" t="n"/>
      <c r="D370" s="854" t="n"/>
      <c r="E370" s="854" t="n"/>
      <c r="H370" s="801" t="n"/>
      <c r="L370" s="1355" t="n"/>
    </row>
    <row r="371">
      <c r="A371" s="852" t="n"/>
      <c r="B371" s="862" t="n"/>
      <c r="D371" s="854" t="n"/>
      <c r="E371" s="854" t="n"/>
      <c r="H371" s="801" t="n"/>
      <c r="L371" s="1355" t="n"/>
    </row>
    <row r="372">
      <c r="A372" s="852" t="n"/>
      <c r="B372" s="862" t="n"/>
      <c r="D372" s="854" t="n"/>
      <c r="E372" s="854" t="n"/>
      <c r="H372" s="801" t="n"/>
      <c r="L372" s="1355" t="n"/>
    </row>
    <row r="373">
      <c r="A373" s="852" t="n"/>
      <c r="B373" s="862" t="n"/>
      <c r="D373" s="854" t="n"/>
      <c r="E373" s="854" t="n"/>
      <c r="H373" s="801" t="n"/>
      <c r="L373" s="1355" t="n"/>
    </row>
    <row r="374">
      <c r="A374" s="852" t="n"/>
      <c r="B374" s="862" t="n"/>
      <c r="D374" s="854" t="n"/>
      <c r="E374" s="854" t="n"/>
      <c r="H374" s="801" t="n"/>
      <c r="L374" s="1355" t="n"/>
    </row>
    <row r="375">
      <c r="A375" s="852" t="n"/>
      <c r="B375" s="862" t="n"/>
      <c r="D375" s="854" t="n"/>
      <c r="E375" s="854" t="n"/>
      <c r="H375" s="801" t="n"/>
      <c r="L375" s="1355" t="n"/>
    </row>
    <row r="376">
      <c r="A376" s="852" t="n"/>
      <c r="B376" s="862" t="n"/>
      <c r="D376" s="854" t="n"/>
      <c r="E376" s="854" t="n"/>
      <c r="H376" s="801" t="n"/>
      <c r="L376" s="1355" t="n"/>
    </row>
    <row r="377">
      <c r="A377" s="852" t="n"/>
      <c r="B377" s="862" t="n"/>
      <c r="D377" s="854" t="n"/>
      <c r="E377" s="854" t="n"/>
      <c r="H377" s="801" t="n"/>
      <c r="L377" s="1355" t="n"/>
    </row>
    <row r="378">
      <c r="A378" s="852" t="n"/>
      <c r="B378" s="862" t="n"/>
      <c r="D378" s="854" t="n"/>
      <c r="E378" s="854" t="n"/>
      <c r="H378" s="801" t="n"/>
      <c r="L378" s="1355" t="n"/>
    </row>
    <row r="379">
      <c r="A379" s="852" t="n"/>
      <c r="B379" s="862" t="n"/>
      <c r="D379" s="854" t="n"/>
      <c r="E379" s="854" t="n"/>
      <c r="H379" s="801" t="n"/>
      <c r="L379" s="1355" t="n"/>
    </row>
    <row r="380">
      <c r="A380" s="852" t="n"/>
      <c r="B380" s="862" t="n"/>
      <c r="D380" s="854" t="n"/>
      <c r="E380" s="854" t="n"/>
      <c r="H380" s="801" t="n"/>
      <c r="L380" s="1355" t="n"/>
    </row>
    <row r="381">
      <c r="A381" s="852" t="n"/>
      <c r="B381" s="862" t="n"/>
      <c r="D381" s="854" t="n"/>
      <c r="E381" s="854" t="n"/>
      <c r="H381" s="801" t="n"/>
      <c r="L381" s="1355" t="n"/>
    </row>
    <row r="382">
      <c r="A382" s="852" t="n"/>
      <c r="B382" s="862" t="n"/>
      <c r="D382" s="854" t="n"/>
      <c r="E382" s="854" t="n"/>
      <c r="H382" s="801" t="n"/>
      <c r="L382" s="1355" t="n"/>
    </row>
    <row r="383">
      <c r="A383" s="852" t="n"/>
      <c r="B383" s="862" t="n"/>
      <c r="D383" s="854" t="n"/>
      <c r="E383" s="854" t="n"/>
      <c r="H383" s="801" t="n"/>
      <c r="L383" s="1355" t="n"/>
    </row>
    <row r="384">
      <c r="A384" s="852" t="n"/>
      <c r="B384" s="862" t="n"/>
      <c r="D384" s="854" t="n"/>
      <c r="E384" s="854" t="n"/>
      <c r="H384" s="801" t="n"/>
      <c r="L384" s="1355" t="n"/>
    </row>
    <row r="385">
      <c r="A385" s="852" t="n"/>
      <c r="B385" s="862" t="n"/>
      <c r="D385" s="854" t="n"/>
      <c r="E385" s="854" t="n"/>
      <c r="H385" s="801" t="n"/>
      <c r="L385" s="1355" t="n"/>
    </row>
    <row r="386">
      <c r="A386" s="852" t="n"/>
      <c r="B386" s="862" t="n"/>
      <c r="D386" s="854" t="n"/>
      <c r="E386" s="854" t="n"/>
      <c r="H386" s="801" t="n"/>
      <c r="L386" s="1355" t="n"/>
    </row>
    <row r="387">
      <c r="A387" s="852" t="n"/>
      <c r="B387" s="862" t="n"/>
      <c r="D387" s="854" t="n"/>
      <c r="E387" s="854" t="n"/>
      <c r="H387" s="801" t="n"/>
      <c r="L387" s="1355" t="n"/>
    </row>
    <row r="388">
      <c r="A388" s="852" t="n"/>
      <c r="B388" s="862" t="n"/>
      <c r="D388" s="854" t="n"/>
      <c r="E388" s="854" t="n"/>
      <c r="H388" s="801" t="n"/>
      <c r="L388" s="1355" t="n"/>
    </row>
    <row r="389">
      <c r="A389" s="852" t="n"/>
      <c r="B389" s="862" t="n"/>
      <c r="D389" s="854" t="n"/>
      <c r="E389" s="854" t="n"/>
      <c r="H389" s="801" t="n"/>
      <c r="L389" s="1355" t="n"/>
    </row>
    <row r="390">
      <c r="A390" s="852" t="n"/>
      <c r="B390" s="862" t="n"/>
      <c r="D390" s="854" t="n"/>
      <c r="E390" s="854" t="n"/>
      <c r="H390" s="801" t="n"/>
      <c r="L390" s="1355" t="n"/>
    </row>
    <row r="391">
      <c r="A391" s="852" t="n"/>
      <c r="B391" s="862" t="n"/>
      <c r="D391" s="854" t="n"/>
      <c r="E391" s="854" t="n"/>
      <c r="H391" s="801" t="n"/>
      <c r="L391" s="1355" t="n"/>
    </row>
    <row r="392">
      <c r="A392" s="852" t="n"/>
      <c r="B392" s="862" t="n"/>
      <c r="D392" s="854" t="n"/>
      <c r="E392" s="854" t="n"/>
      <c r="H392" s="801" t="n"/>
      <c r="L392" s="1355" t="n"/>
    </row>
    <row r="393">
      <c r="A393" s="852" t="n"/>
      <c r="B393" s="862" t="n"/>
      <c r="D393" s="854" t="n"/>
      <c r="E393" s="854" t="n"/>
      <c r="H393" s="801" t="n"/>
      <c r="L393" s="1355" t="n"/>
    </row>
    <row r="394">
      <c r="A394" s="852" t="n"/>
      <c r="B394" s="862" t="n"/>
      <c r="D394" s="854" t="n"/>
      <c r="E394" s="854" t="n"/>
      <c r="H394" s="801" t="n"/>
      <c r="L394" s="1355" t="n"/>
    </row>
    <row r="395">
      <c r="A395" s="852" t="n"/>
      <c r="B395" s="862" t="n"/>
      <c r="D395" s="854" t="n"/>
      <c r="E395" s="854" t="n"/>
      <c r="H395" s="801" t="n"/>
      <c r="L395" s="1355" t="n"/>
    </row>
    <row r="396">
      <c r="A396" s="852" t="n"/>
      <c r="B396" s="862" t="n"/>
      <c r="D396" s="854" t="n"/>
      <c r="E396" s="854" t="n"/>
      <c r="H396" s="801" t="n"/>
      <c r="L396" s="1355" t="n"/>
    </row>
    <row r="397">
      <c r="A397" s="852" t="n"/>
      <c r="B397" s="862" t="n"/>
      <c r="D397" s="854" t="n"/>
      <c r="E397" s="854" t="n"/>
      <c r="H397" s="801" t="n"/>
      <c r="L397" s="1355" t="n"/>
    </row>
    <row r="398">
      <c r="A398" s="852" t="n"/>
      <c r="B398" s="862" t="n"/>
      <c r="D398" s="854" t="n"/>
      <c r="E398" s="854" t="n"/>
      <c r="H398" s="801" t="n"/>
      <c r="L398" s="1355" t="n"/>
    </row>
    <row r="399">
      <c r="A399" s="852" t="n"/>
      <c r="B399" s="862" t="n"/>
      <c r="D399" s="854" t="n"/>
      <c r="E399" s="854" t="n"/>
      <c r="H399" s="801" t="n"/>
      <c r="L399" s="1355" t="n"/>
    </row>
    <row r="400">
      <c r="A400" s="852" t="n"/>
      <c r="B400" s="862" t="n"/>
      <c r="D400" s="854" t="n"/>
      <c r="E400" s="854" t="n"/>
      <c r="H400" s="801" t="n"/>
      <c r="L400" s="1355" t="n"/>
    </row>
    <row r="401">
      <c r="A401" s="852" t="n"/>
      <c r="B401" s="862" t="n"/>
      <c r="D401" s="854" t="n"/>
      <c r="E401" s="854" t="n"/>
      <c r="H401" s="801" t="n"/>
      <c r="L401" s="1355" t="n"/>
    </row>
    <row r="402">
      <c r="A402" s="852" t="n"/>
      <c r="B402" s="862" t="n"/>
      <c r="D402" s="854" t="n"/>
      <c r="E402" s="854" t="n"/>
      <c r="H402" s="801" t="n"/>
      <c r="L402" s="1355" t="n"/>
    </row>
    <row r="403">
      <c r="A403" s="852" t="n"/>
      <c r="B403" s="862" t="n"/>
      <c r="D403" s="854" t="n"/>
      <c r="E403" s="854" t="n"/>
      <c r="H403" s="801" t="n"/>
      <c r="L403" s="1355" t="n"/>
    </row>
    <row r="404">
      <c r="A404" s="852" t="n"/>
      <c r="B404" s="862" t="n"/>
      <c r="D404" s="854" t="n"/>
      <c r="E404" s="854" t="n"/>
      <c r="H404" s="801" t="n"/>
      <c r="L404" s="1355" t="n"/>
    </row>
    <row r="405">
      <c r="A405" s="852" t="n"/>
      <c r="B405" s="862" t="n"/>
      <c r="D405" s="854" t="n"/>
      <c r="E405" s="854" t="n"/>
      <c r="H405" s="801" t="n"/>
      <c r="L405" s="1355" t="n"/>
    </row>
    <row r="406">
      <c r="A406" s="852" t="n"/>
      <c r="B406" s="862" t="n"/>
      <c r="D406" s="854" t="n"/>
      <c r="E406" s="854" t="n"/>
      <c r="H406" s="801" t="n"/>
      <c r="L406" s="1355" t="n"/>
    </row>
    <row r="407">
      <c r="A407" s="852" t="n"/>
      <c r="B407" s="862" t="n"/>
      <c r="D407" s="854" t="n"/>
      <c r="E407" s="854" t="n"/>
      <c r="H407" s="801" t="n"/>
      <c r="L407" s="1355" t="n"/>
    </row>
    <row r="408">
      <c r="A408" s="852" t="n"/>
      <c r="B408" s="862" t="n"/>
      <c r="D408" s="854" t="n"/>
      <c r="E408" s="854" t="n"/>
      <c r="H408" s="801" t="n"/>
      <c r="L408" s="1355" t="n"/>
    </row>
    <row r="409">
      <c r="A409" s="852" t="n"/>
      <c r="B409" s="862" t="n"/>
      <c r="D409" s="854" t="n"/>
      <c r="E409" s="854" t="n"/>
      <c r="H409" s="801" t="n"/>
      <c r="L409" s="1355" t="n"/>
    </row>
    <row r="410">
      <c r="A410" s="852" t="n"/>
      <c r="B410" s="862" t="n"/>
      <c r="D410" s="854" t="n"/>
      <c r="E410" s="854" t="n"/>
      <c r="H410" s="801" t="n"/>
      <c r="L410" s="1355" t="n"/>
    </row>
    <row r="411">
      <c r="A411" s="852" t="n"/>
      <c r="B411" s="862" t="n"/>
      <c r="D411" s="854" t="n"/>
      <c r="E411" s="854" t="n"/>
      <c r="H411" s="801" t="n"/>
      <c r="L411" s="1355" t="n"/>
    </row>
    <row r="412">
      <c r="A412" s="852" t="n"/>
      <c r="B412" s="862" t="n"/>
      <c r="D412" s="854" t="n"/>
      <c r="E412" s="854" t="n"/>
      <c r="H412" s="801" t="n"/>
      <c r="L412" s="1355" t="n"/>
    </row>
    <row r="413">
      <c r="A413" s="852" t="n"/>
      <c r="B413" s="862" t="n"/>
      <c r="D413" s="854" t="n"/>
      <c r="E413" s="854" t="n"/>
      <c r="H413" s="801" t="n"/>
      <c r="L413" s="1355" t="n"/>
    </row>
    <row r="414">
      <c r="A414" s="852" t="n"/>
      <c r="B414" s="862" t="n"/>
      <c r="D414" s="854" t="n"/>
      <c r="E414" s="854" t="n"/>
      <c r="H414" s="801" t="n"/>
      <c r="L414" s="1355" t="n"/>
    </row>
    <row r="415">
      <c r="A415" s="852" t="n"/>
      <c r="B415" s="862" t="n"/>
      <c r="D415" s="854" t="n"/>
      <c r="E415" s="854" t="n"/>
      <c r="H415" s="801" t="n"/>
      <c r="L415" s="1355" t="n"/>
    </row>
    <row r="416">
      <c r="A416" s="852" t="n"/>
      <c r="B416" s="862" t="n"/>
      <c r="D416" s="854" t="n"/>
      <c r="E416" s="854" t="n"/>
      <c r="H416" s="801" t="n"/>
      <c r="L416" s="1355" t="n"/>
    </row>
    <row r="417">
      <c r="A417" s="852" t="n"/>
      <c r="B417" s="862" t="n"/>
      <c r="D417" s="854" t="n"/>
      <c r="E417" s="854" t="n"/>
      <c r="H417" s="801" t="n"/>
      <c r="L417" s="1355" t="n"/>
    </row>
    <row r="418">
      <c r="A418" s="852" t="n"/>
      <c r="B418" s="862" t="n"/>
      <c r="D418" s="854" t="n"/>
      <c r="E418" s="854" t="n"/>
      <c r="H418" s="801" t="n"/>
      <c r="L418" s="1355" t="n"/>
    </row>
    <row r="419">
      <c r="A419" s="852" t="n"/>
      <c r="B419" s="862" t="n"/>
      <c r="D419" s="854" t="n"/>
      <c r="E419" s="854" t="n"/>
      <c r="H419" s="801" t="n"/>
      <c r="L419" s="1355" t="n"/>
    </row>
    <row r="420">
      <c r="A420" s="852" t="n"/>
      <c r="B420" s="862" t="n"/>
      <c r="D420" s="854" t="n"/>
      <c r="E420" s="854" t="n"/>
      <c r="H420" s="801" t="n"/>
      <c r="L420" s="1355" t="n"/>
    </row>
    <row r="421">
      <c r="A421" s="852" t="n"/>
      <c r="B421" s="862" t="n"/>
      <c r="D421" s="854" t="n"/>
      <c r="E421" s="854" t="n"/>
      <c r="H421" s="801" t="n"/>
      <c r="L421" s="1355" t="n"/>
    </row>
    <row r="422">
      <c r="A422" s="852" t="n"/>
      <c r="B422" s="862" t="n"/>
      <c r="D422" s="854" t="n"/>
      <c r="E422" s="854" t="n"/>
      <c r="H422" s="801" t="n"/>
      <c r="L422" s="1355" t="n"/>
    </row>
    <row r="423">
      <c r="A423" s="852" t="n"/>
      <c r="B423" s="862" t="n"/>
      <c r="D423" s="854" t="n"/>
      <c r="E423" s="854" t="n"/>
      <c r="H423" s="801" t="n"/>
      <c r="L423" s="1355" t="n"/>
    </row>
    <row r="424">
      <c r="A424" s="852" t="n"/>
      <c r="B424" s="862" t="n"/>
      <c r="D424" s="854" t="n"/>
      <c r="E424" s="854" t="n"/>
      <c r="H424" s="801" t="n"/>
      <c r="L424" s="1355" t="n"/>
    </row>
    <row r="425">
      <c r="A425" s="852" t="n"/>
      <c r="B425" s="862" t="n"/>
      <c r="D425" s="854" t="n"/>
      <c r="E425" s="854" t="n"/>
      <c r="H425" s="801" t="n"/>
      <c r="L425" s="1355" t="n"/>
    </row>
    <row r="426">
      <c r="A426" s="852" t="n"/>
      <c r="B426" s="862" t="n"/>
      <c r="D426" s="854" t="n"/>
      <c r="E426" s="854" t="n"/>
      <c r="H426" s="801" t="n"/>
      <c r="L426" s="1355" t="n"/>
    </row>
    <row r="427">
      <c r="A427" s="852" t="n"/>
      <c r="B427" s="862" t="n"/>
      <c r="D427" s="854" t="n"/>
      <c r="E427" s="854" t="n"/>
      <c r="H427" s="801" t="n"/>
      <c r="L427" s="1355" t="n"/>
    </row>
    <row r="428">
      <c r="A428" s="852" t="n"/>
      <c r="B428" s="862" t="n"/>
      <c r="D428" s="854" t="n"/>
      <c r="E428" s="854" t="n"/>
      <c r="H428" s="801" t="n"/>
      <c r="L428" s="1355" t="n"/>
    </row>
    <row r="429">
      <c r="A429" s="852" t="n"/>
      <c r="B429" s="862" t="n"/>
      <c r="D429" s="854" t="n"/>
      <c r="E429" s="854" t="n"/>
      <c r="H429" s="801" t="n"/>
      <c r="L429" s="1355" t="n"/>
    </row>
    <row r="430">
      <c r="A430" s="852" t="n"/>
      <c r="B430" s="862" t="n"/>
      <c r="D430" s="854" t="n"/>
      <c r="E430" s="854" t="n"/>
      <c r="H430" s="801" t="n"/>
      <c r="L430" s="1355" t="n"/>
    </row>
    <row r="431">
      <c r="A431" s="852" t="n"/>
      <c r="B431" s="862" t="n"/>
      <c r="D431" s="854" t="n"/>
      <c r="E431" s="854" t="n"/>
      <c r="H431" s="801" t="n"/>
      <c r="L431" s="1355" t="n"/>
    </row>
    <row r="432">
      <c r="A432" s="852" t="n"/>
      <c r="B432" s="862" t="n"/>
      <c r="D432" s="854" t="n"/>
      <c r="E432" s="854" t="n"/>
      <c r="H432" s="801" t="n"/>
      <c r="L432" s="1355" t="n"/>
    </row>
    <row r="433">
      <c r="A433" s="852" t="n"/>
      <c r="B433" s="862" t="n"/>
      <c r="D433" s="854" t="n"/>
      <c r="E433" s="854" t="n"/>
      <c r="H433" s="801" t="n"/>
      <c r="L433" s="1355" t="n"/>
    </row>
    <row r="434">
      <c r="A434" s="852" t="n"/>
      <c r="B434" s="862" t="n"/>
      <c r="D434" s="854" t="n"/>
      <c r="E434" s="854" t="n"/>
      <c r="H434" s="801" t="n"/>
      <c r="L434" s="1355" t="n"/>
    </row>
    <row r="435">
      <c r="A435" s="852" t="n"/>
      <c r="B435" s="862" t="n"/>
      <c r="D435" s="854" t="n"/>
      <c r="E435" s="854" t="n"/>
      <c r="H435" s="801" t="n"/>
      <c r="L435" s="1355" t="n"/>
    </row>
    <row r="436">
      <c r="A436" s="852" t="n"/>
      <c r="B436" s="862" t="n"/>
      <c r="D436" s="854" t="n"/>
      <c r="E436" s="854" t="n"/>
      <c r="H436" s="801" t="n"/>
      <c r="L436" s="1355" t="n"/>
    </row>
    <row r="437">
      <c r="A437" s="852" t="n"/>
      <c r="B437" s="862" t="n"/>
      <c r="D437" s="854" t="n"/>
      <c r="E437" s="854" t="n"/>
      <c r="H437" s="801" t="n"/>
      <c r="L437" s="1355" t="n"/>
    </row>
    <row r="438">
      <c r="A438" s="852" t="n"/>
      <c r="B438" s="862" t="n"/>
      <c r="D438" s="854" t="n"/>
      <c r="E438" s="854" t="n"/>
      <c r="H438" s="801" t="n"/>
      <c r="L438" s="1355" t="n"/>
    </row>
    <row r="439">
      <c r="A439" s="852" t="n"/>
      <c r="B439" s="862" t="n"/>
      <c r="D439" s="854" t="n"/>
      <c r="E439" s="854" t="n"/>
      <c r="H439" s="801" t="n"/>
      <c r="L439" s="1355" t="n"/>
    </row>
    <row r="440">
      <c r="A440" s="852" t="n"/>
      <c r="B440" s="862" t="n"/>
      <c r="D440" s="854" t="n"/>
      <c r="E440" s="854" t="n"/>
      <c r="H440" s="801" t="n"/>
      <c r="L440" s="1355" t="n"/>
    </row>
    <row r="441">
      <c r="A441" s="852" t="n"/>
      <c r="B441" s="862" t="n"/>
      <c r="D441" s="854" t="n"/>
      <c r="E441" s="854" t="n"/>
      <c r="H441" s="801" t="n"/>
      <c r="L441" s="1355" t="n"/>
    </row>
    <row r="442">
      <c r="A442" s="852" t="n"/>
      <c r="B442" s="862" t="n"/>
      <c r="D442" s="854" t="n"/>
      <c r="E442" s="854" t="n"/>
      <c r="H442" s="801" t="n"/>
      <c r="L442" s="1355" t="n"/>
    </row>
    <row r="443">
      <c r="A443" s="852" t="n"/>
      <c r="B443" s="862" t="n"/>
      <c r="D443" s="854" t="n"/>
      <c r="E443" s="854" t="n"/>
      <c r="H443" s="801" t="n"/>
      <c r="L443" s="1355" t="n"/>
    </row>
    <row r="444">
      <c r="A444" s="852" t="n"/>
      <c r="B444" s="862" t="n"/>
      <c r="D444" s="854" t="n"/>
      <c r="E444" s="854" t="n"/>
      <c r="H444" s="801" t="n"/>
      <c r="L444" s="1355" t="n"/>
    </row>
    <row r="445">
      <c r="A445" s="852" t="n"/>
      <c r="B445" s="862" t="n"/>
      <c r="D445" s="854" t="n"/>
      <c r="E445" s="854" t="n"/>
      <c r="H445" s="801" t="n"/>
      <c r="L445" s="1355" t="n"/>
    </row>
    <row r="446">
      <c r="A446" s="852" t="n"/>
      <c r="B446" s="862" t="n"/>
      <c r="D446" s="854" t="n"/>
      <c r="E446" s="854" t="n"/>
      <c r="H446" s="801" t="n"/>
      <c r="L446" s="1355" t="n"/>
    </row>
    <row r="447">
      <c r="A447" s="852" t="n"/>
      <c r="B447" s="862" t="n"/>
      <c r="D447" s="854" t="n"/>
      <c r="E447" s="854" t="n"/>
      <c r="H447" s="801" t="n"/>
      <c r="L447" s="1355" t="n"/>
    </row>
    <row r="448">
      <c r="A448" s="852" t="n"/>
      <c r="B448" s="862" t="n"/>
      <c r="D448" s="854" t="n"/>
      <c r="E448" s="854" t="n"/>
      <c r="H448" s="801" t="n"/>
      <c r="L448" s="1355" t="n"/>
    </row>
    <row r="449">
      <c r="A449" s="852" t="n"/>
      <c r="B449" s="862" t="n"/>
      <c r="D449" s="854" t="n"/>
      <c r="E449" s="854" t="n"/>
      <c r="H449" s="801" t="n"/>
      <c r="L449" s="1355" t="n"/>
    </row>
    <row r="450">
      <c r="A450" s="852" t="n"/>
      <c r="B450" s="862" t="n"/>
      <c r="D450" s="854" t="n"/>
      <c r="E450" s="854" t="n"/>
      <c r="H450" s="801" t="n"/>
      <c r="L450" s="1355" t="n"/>
    </row>
    <row r="451">
      <c r="A451" s="852" t="n"/>
      <c r="B451" s="862" t="n"/>
      <c r="D451" s="854" t="n"/>
      <c r="E451" s="854" t="n"/>
      <c r="H451" s="801" t="n"/>
      <c r="L451" s="1355" t="n"/>
    </row>
    <row r="452">
      <c r="A452" s="852" t="n"/>
      <c r="B452" s="862" t="n"/>
      <c r="D452" s="854" t="n"/>
      <c r="E452" s="854" t="n"/>
      <c r="H452" s="801" t="n"/>
      <c r="L452" s="1355" t="n"/>
    </row>
    <row r="453">
      <c r="A453" s="852" t="n"/>
      <c r="B453" s="862" t="n"/>
      <c r="D453" s="854" t="n"/>
      <c r="E453" s="854" t="n"/>
      <c r="H453" s="801" t="n"/>
      <c r="L453" s="1355" t="n"/>
    </row>
    <row r="454">
      <c r="A454" s="852" t="n"/>
      <c r="B454" s="862" t="n"/>
      <c r="D454" s="854" t="n"/>
      <c r="E454" s="854" t="n"/>
      <c r="H454" s="801" t="n"/>
      <c r="L454" s="1355" t="n"/>
    </row>
    <row r="455">
      <c r="A455" s="852" t="n"/>
      <c r="B455" s="862" t="n"/>
      <c r="D455" s="854" t="n"/>
      <c r="E455" s="854" t="n"/>
      <c r="H455" s="801" t="n"/>
      <c r="L455" s="1355" t="n"/>
    </row>
    <row r="456">
      <c r="A456" s="852" t="n"/>
      <c r="B456" s="862" t="n"/>
      <c r="D456" s="854" t="n"/>
      <c r="E456" s="854" t="n"/>
      <c r="H456" s="801" t="n"/>
      <c r="L456" s="1355" t="n"/>
    </row>
    <row r="457">
      <c r="A457" s="852" t="n"/>
      <c r="B457" s="862" t="n"/>
      <c r="D457" s="854" t="n"/>
      <c r="E457" s="854" t="n"/>
      <c r="H457" s="801" t="n"/>
      <c r="L457" s="1355" t="n"/>
    </row>
    <row r="458">
      <c r="A458" s="852" t="n"/>
      <c r="B458" s="862" t="n"/>
      <c r="D458" s="854" t="n"/>
      <c r="E458" s="854" t="n"/>
      <c r="H458" s="801" t="n"/>
      <c r="L458" s="1355" t="n"/>
    </row>
    <row r="459">
      <c r="A459" s="852" t="n"/>
      <c r="B459" s="862" t="n"/>
      <c r="D459" s="854" t="n"/>
      <c r="E459" s="854" t="n"/>
      <c r="H459" s="801" t="n"/>
      <c r="L459" s="1355" t="n"/>
    </row>
    <row r="460">
      <c r="A460" s="852" t="n"/>
      <c r="B460" s="862" t="n"/>
      <c r="D460" s="854" t="n"/>
      <c r="E460" s="854" t="n"/>
      <c r="H460" s="801" t="n"/>
      <c r="L460" s="1355" t="n"/>
    </row>
    <row r="461">
      <c r="A461" s="852" t="n"/>
      <c r="B461" s="862" t="n"/>
      <c r="D461" s="854" t="n"/>
      <c r="E461" s="854" t="n"/>
      <c r="H461" s="801" t="n"/>
      <c r="L461" s="1355" t="n"/>
    </row>
    <row r="462">
      <c r="A462" s="852" t="n"/>
      <c r="B462" s="862" t="n"/>
      <c r="D462" s="854" t="n"/>
      <c r="E462" s="854" t="n"/>
      <c r="H462" s="801" t="n"/>
      <c r="L462" s="1355" t="n"/>
    </row>
    <row r="463">
      <c r="A463" s="852" t="n"/>
      <c r="B463" s="862" t="n"/>
      <c r="D463" s="854" t="n"/>
      <c r="E463" s="854" t="n"/>
      <c r="H463" s="801" t="n"/>
      <c r="L463" s="1355" t="n"/>
    </row>
    <row r="464">
      <c r="A464" s="852" t="n"/>
      <c r="B464" s="862" t="n"/>
      <c r="D464" s="854" t="n"/>
      <c r="E464" s="854" t="n"/>
      <c r="H464" s="801" t="n"/>
      <c r="L464" s="1355" t="n"/>
    </row>
    <row r="465">
      <c r="A465" s="852" t="n"/>
      <c r="B465" s="862" t="n"/>
      <c r="D465" s="854" t="n"/>
      <c r="E465" s="854" t="n"/>
      <c r="H465" s="801" t="n"/>
      <c r="L465" s="1355" t="n"/>
    </row>
    <row r="466">
      <c r="A466" s="852" t="n"/>
      <c r="B466" s="862" t="n"/>
      <c r="D466" s="854" t="n"/>
      <c r="E466" s="854" t="n"/>
      <c r="H466" s="801" t="n"/>
      <c r="L466" s="1355" t="n"/>
    </row>
    <row r="467">
      <c r="A467" s="852" t="n"/>
      <c r="B467" s="862" t="n"/>
      <c r="D467" s="854" t="n"/>
      <c r="E467" s="854" t="n"/>
      <c r="H467" s="801" t="n"/>
      <c r="L467" s="1355" t="n"/>
    </row>
    <row r="468">
      <c r="A468" s="852" t="n"/>
      <c r="B468" s="862" t="n"/>
      <c r="D468" s="854" t="n"/>
      <c r="E468" s="854" t="n"/>
      <c r="H468" s="801" t="n"/>
      <c r="L468" s="1355" t="n"/>
    </row>
    <row r="469">
      <c r="A469" s="852" t="n"/>
      <c r="B469" s="862" t="n"/>
      <c r="D469" s="854" t="n"/>
      <c r="E469" s="854" t="n"/>
      <c r="H469" s="801" t="n"/>
      <c r="L469" s="1355" t="n"/>
    </row>
    <row r="470">
      <c r="A470" s="852" t="n"/>
      <c r="B470" s="862" t="n"/>
      <c r="D470" s="854" t="n"/>
      <c r="E470" s="854" t="n"/>
      <c r="H470" s="801" t="n"/>
      <c r="L470" s="1355" t="n"/>
    </row>
    <row r="471">
      <c r="A471" s="852" t="n"/>
      <c r="B471" s="862" t="n"/>
      <c r="D471" s="854" t="n"/>
      <c r="E471" s="854" t="n"/>
      <c r="H471" s="801" t="n"/>
      <c r="L471" s="1355" t="n"/>
    </row>
    <row r="472">
      <c r="L472" s="1355" t="n"/>
    </row>
    <row r="473">
      <c r="L473" s="1355" t="n"/>
    </row>
    <row r="474">
      <c r="L474" s="1355" t="n"/>
    </row>
    <row r="475">
      <c r="L475" s="1355" t="n"/>
    </row>
    <row r="476">
      <c r="L476" s="1355" t="n"/>
    </row>
    <row r="477">
      <c r="L477" s="1355" t="n"/>
    </row>
    <row r="478">
      <c r="L478" s="1355" t="n"/>
    </row>
    <row r="479">
      <c r="L479" s="1355" t="n"/>
    </row>
    <row r="480">
      <c r="L480" s="1355" t="n"/>
    </row>
    <row r="481">
      <c r="L481" s="1355" t="n"/>
    </row>
    <row r="482">
      <c r="L482" s="1355" t="n"/>
    </row>
    <row r="483">
      <c r="L483" s="1355" t="n"/>
    </row>
    <row r="484">
      <c r="L484" s="1355" t="n"/>
    </row>
    <row r="485">
      <c r="L485" s="1355" t="n"/>
    </row>
    <row r="486">
      <c r="L486" s="1355" t="n"/>
    </row>
    <row r="487">
      <c r="L487" s="1355" t="n"/>
    </row>
    <row r="488">
      <c r="L488" s="1355" t="n"/>
    </row>
    <row r="489">
      <c r="L489" s="1355" t="n"/>
    </row>
    <row r="490">
      <c r="L490" s="1355" t="n"/>
    </row>
    <row r="491">
      <c r="L491" s="1355" t="n"/>
    </row>
    <row r="492">
      <c r="L492" s="1355" t="n"/>
    </row>
    <row r="493">
      <c r="L493" s="1355" t="n"/>
    </row>
    <row r="494">
      <c r="L494" s="1355" t="n"/>
    </row>
    <row r="495">
      <c r="L495" s="1355" t="n"/>
    </row>
    <row r="496">
      <c r="L496" s="1355" t="n"/>
    </row>
    <row r="497">
      <c r="L497" s="1355" t="n"/>
    </row>
    <row r="498">
      <c r="L498" s="1355" t="n"/>
    </row>
    <row r="499">
      <c r="L499" s="1355" t="n"/>
    </row>
    <row r="500">
      <c r="L500" s="1355" t="n"/>
    </row>
    <row r="501">
      <c r="L501" s="1355" t="n"/>
    </row>
    <row r="502">
      <c r="L502" s="1355" t="n"/>
    </row>
    <row r="503">
      <c r="L503" s="1355" t="n"/>
    </row>
    <row r="504">
      <c r="L504" s="1355" t="n"/>
    </row>
    <row r="505">
      <c r="L505" s="1355" t="n"/>
    </row>
    <row r="506">
      <c r="L506" s="1355" t="n"/>
    </row>
    <row r="507">
      <c r="L507" s="1355" t="n"/>
    </row>
    <row r="508">
      <c r="L508" s="1355" t="n"/>
    </row>
    <row r="509">
      <c r="L509" s="1355" t="n"/>
    </row>
    <row r="510">
      <c r="L510" s="1355" t="n"/>
    </row>
    <row r="511">
      <c r="L511" s="1355" t="n"/>
    </row>
    <row r="512">
      <c r="L512" s="1355" t="n"/>
    </row>
    <row r="513">
      <c r="L513" s="1355" t="n"/>
    </row>
    <row r="514">
      <c r="L514" s="1355" t="n"/>
    </row>
    <row r="515">
      <c r="L515" s="1355" t="n"/>
    </row>
    <row r="516">
      <c r="L516" s="1355" t="n"/>
    </row>
    <row r="517">
      <c r="L517" s="1355" t="n"/>
    </row>
    <row r="518">
      <c r="L518" s="1355" t="n"/>
    </row>
    <row r="519">
      <c r="L519" s="1355" t="n"/>
    </row>
    <row r="520">
      <c r="L520" s="1355" t="n"/>
    </row>
    <row r="521">
      <c r="L521" s="1355" t="n"/>
    </row>
    <row r="522">
      <c r="L522" s="1355" t="n"/>
    </row>
    <row r="523">
      <c r="L523" s="1355" t="n"/>
    </row>
    <row r="524">
      <c r="L524" s="1355" t="n"/>
    </row>
    <row r="525">
      <c r="L525" s="1355" t="n"/>
    </row>
    <row r="526">
      <c r="L526" s="1355" t="n"/>
    </row>
    <row r="527">
      <c r="L527" s="1355" t="n"/>
    </row>
    <row r="528">
      <c r="L528" s="1355" t="n"/>
    </row>
    <row r="529">
      <c r="L529" s="1355" t="n"/>
    </row>
    <row r="530">
      <c r="L530" s="1355" t="n"/>
    </row>
    <row r="531">
      <c r="L531" s="1355" t="n"/>
    </row>
    <row r="532">
      <c r="L532" s="1355" t="n"/>
    </row>
    <row r="533">
      <c r="L533" s="1355" t="n"/>
    </row>
    <row r="534">
      <c r="L534" s="1355" t="n"/>
    </row>
    <row r="535">
      <c r="L535" s="1355" t="n"/>
    </row>
    <row r="536">
      <c r="L536" s="1355" t="n"/>
    </row>
    <row r="537">
      <c r="L537" s="1355" t="n"/>
    </row>
    <row r="538">
      <c r="L538" s="1355" t="n"/>
    </row>
    <row r="539">
      <c r="L539" s="1355" t="n"/>
    </row>
    <row r="540">
      <c r="L540" s="1355" t="n"/>
    </row>
    <row r="541">
      <c r="L541" s="1355" t="n"/>
    </row>
    <row r="542">
      <c r="L542" s="1355" t="n"/>
    </row>
    <row r="543">
      <c r="L543" s="1355" t="n"/>
    </row>
    <row r="544">
      <c r="L544" s="1355" t="n"/>
    </row>
    <row r="545">
      <c r="L545" s="1355" t="n"/>
    </row>
    <row r="546">
      <c r="L546" s="1355" t="n"/>
    </row>
    <row r="547">
      <c r="L547" s="1355" t="n"/>
    </row>
    <row r="548">
      <c r="L548" s="1355" t="n"/>
    </row>
    <row r="549">
      <c r="L549" s="1355" t="n"/>
    </row>
    <row r="550">
      <c r="L550" s="1355" t="n"/>
    </row>
    <row r="551">
      <c r="L551" s="1355" t="n"/>
    </row>
    <row r="552">
      <c r="L552" s="1355" t="n"/>
    </row>
    <row r="553">
      <c r="L553" s="1355" t="n"/>
    </row>
    <row r="554">
      <c r="L554" s="1355" t="n"/>
    </row>
    <row r="555">
      <c r="L555" s="1355" t="n"/>
    </row>
    <row r="556">
      <c r="L556" s="1355" t="n"/>
    </row>
    <row r="557">
      <c r="L557" s="1355" t="n"/>
    </row>
    <row r="558">
      <c r="L558" s="1355" t="n"/>
    </row>
    <row r="559">
      <c r="L559" s="1355" t="n"/>
    </row>
    <row r="560">
      <c r="L560" s="1355" t="n"/>
    </row>
    <row r="561">
      <c r="L561" s="1355" t="n"/>
    </row>
    <row r="562">
      <c r="L562" s="1355" t="n"/>
    </row>
    <row r="563">
      <c r="L563" s="1355" t="n"/>
    </row>
    <row r="564">
      <c r="L564" s="1355" t="n"/>
    </row>
    <row r="565">
      <c r="L565" s="1355" t="n"/>
    </row>
    <row r="566">
      <c r="L566" s="1355" t="n"/>
    </row>
    <row r="567">
      <c r="L567" s="1355" t="n"/>
    </row>
    <row r="568">
      <c r="L568" s="1355" t="n"/>
    </row>
    <row r="569">
      <c r="L569" s="1355" t="n"/>
    </row>
    <row r="570">
      <c r="L570" s="1355" t="n"/>
    </row>
    <row r="571">
      <c r="L571" s="1355" t="n"/>
    </row>
    <row r="572">
      <c r="L572" s="1355" t="n"/>
    </row>
    <row r="573">
      <c r="L573" s="1355" t="n"/>
    </row>
    <row r="574">
      <c r="L574" s="1355" t="n"/>
    </row>
    <row r="575">
      <c r="L575" s="1355" t="n"/>
    </row>
    <row r="576">
      <c r="L576" s="1355" t="n"/>
    </row>
    <row r="577">
      <c r="L577" s="1355" t="n"/>
    </row>
    <row r="578">
      <c r="L578" s="1355" t="n"/>
    </row>
    <row r="579">
      <c r="L579" s="1355" t="n"/>
    </row>
    <row r="580">
      <c r="L580" s="1355" t="n"/>
    </row>
    <row r="581">
      <c r="L581" s="1355" t="n"/>
    </row>
    <row r="582">
      <c r="L582" s="1355" t="n"/>
    </row>
    <row r="583">
      <c r="L583" s="1355" t="n"/>
    </row>
    <row r="584">
      <c r="L584" s="1355" t="n"/>
    </row>
    <row r="585">
      <c r="L585" s="1355" t="n"/>
    </row>
    <row r="586">
      <c r="L586" s="1355" t="n"/>
    </row>
    <row r="587">
      <c r="L587" s="1355" t="n"/>
    </row>
    <row r="588">
      <c r="L588" s="1355" t="n"/>
    </row>
    <row r="589">
      <c r="L589" s="1355" t="n"/>
    </row>
    <row r="590">
      <c r="L590" s="1355" t="n"/>
    </row>
    <row r="591">
      <c r="L591" s="1355" t="n"/>
    </row>
    <row r="592">
      <c r="L592" s="1355" t="n"/>
    </row>
    <row r="593">
      <c r="L593" s="1355" t="n"/>
    </row>
    <row r="594">
      <c r="L594" s="1355" t="n"/>
    </row>
    <row r="595">
      <c r="L595" s="1355" t="n"/>
    </row>
    <row r="596">
      <c r="L596" s="1355" t="n"/>
    </row>
    <row r="597">
      <c r="L597" s="1355" t="n"/>
    </row>
    <row r="598">
      <c r="L598" s="1355" t="n"/>
    </row>
    <row r="599">
      <c r="L599" s="1355" t="n"/>
    </row>
    <row r="600">
      <c r="L600" s="1355" t="n"/>
    </row>
    <row r="601">
      <c r="L601" s="1355" t="n"/>
    </row>
    <row r="602">
      <c r="L602" s="1355" t="n"/>
    </row>
    <row r="603">
      <c r="L603" s="1355" t="n"/>
    </row>
    <row r="604">
      <c r="L604" s="1355" t="n"/>
    </row>
    <row r="605">
      <c r="L605" s="1355" t="n"/>
    </row>
    <row r="606">
      <c r="L606" s="1355" t="n"/>
    </row>
    <row r="607">
      <c r="L607" s="1355" t="n"/>
    </row>
    <row r="608">
      <c r="L608" s="1355" t="n"/>
    </row>
    <row r="609">
      <c r="L609" s="1355" t="n"/>
    </row>
    <row r="610">
      <c r="L610" s="1355" t="n"/>
    </row>
    <row r="611">
      <c r="L611" s="1355" t="n"/>
    </row>
    <row r="612">
      <c r="L612" s="1355" t="n"/>
    </row>
    <row r="613">
      <c r="L613" s="1355" t="n"/>
    </row>
    <row r="614">
      <c r="L614" s="1355" t="n"/>
    </row>
    <row r="615">
      <c r="L615" s="1355" t="n"/>
    </row>
    <row r="616">
      <c r="L616" s="1355" t="n"/>
    </row>
    <row r="617">
      <c r="L617" s="1355" t="n"/>
    </row>
    <row r="618">
      <c r="L618" s="1355" t="n"/>
    </row>
    <row r="619">
      <c r="L619" s="1355" t="n"/>
    </row>
    <row r="620">
      <c r="L620" s="1355" t="n"/>
    </row>
    <row r="621">
      <c r="L621" s="1355" t="n"/>
    </row>
    <row r="622">
      <c r="L622" s="1355" t="n"/>
    </row>
    <row r="623">
      <c r="L623" s="1355" t="n"/>
    </row>
    <row r="624">
      <c r="L624" s="1355" t="n"/>
    </row>
    <row r="625">
      <c r="L625" s="1355" t="n"/>
    </row>
    <row r="626">
      <c r="L626" s="1355" t="n"/>
    </row>
    <row r="627">
      <c r="L627" s="1355" t="n"/>
    </row>
    <row r="628">
      <c r="L628" s="1355" t="n"/>
    </row>
    <row r="629">
      <c r="L629" s="1355" t="n"/>
    </row>
    <row r="630">
      <c r="L630" s="1355" t="n"/>
    </row>
    <row r="631">
      <c r="L631" s="1355" t="n"/>
    </row>
    <row r="632">
      <c r="L632" s="1355" t="n"/>
    </row>
    <row r="633">
      <c r="L633" s="1355" t="n"/>
    </row>
    <row r="634">
      <c r="L634" s="1355" t="n"/>
    </row>
    <row r="635">
      <c r="L635" s="1355" t="n"/>
    </row>
    <row r="636">
      <c r="L636" s="1355" t="n"/>
    </row>
    <row r="637">
      <c r="L637" s="1355" t="n"/>
    </row>
    <row r="638">
      <c r="L638" s="1355" t="n"/>
    </row>
    <row r="639">
      <c r="L639" s="1355" t="n"/>
    </row>
    <row r="640">
      <c r="L640" s="1355" t="n"/>
    </row>
    <row r="641">
      <c r="L641" s="1355" t="n"/>
    </row>
    <row r="642">
      <c r="L642" s="1355" t="n"/>
    </row>
    <row r="643">
      <c r="L643" s="1355" t="n"/>
    </row>
    <row r="644">
      <c r="L644" s="1355" t="n"/>
    </row>
    <row r="645">
      <c r="L645" s="1355" t="n"/>
    </row>
    <row r="646">
      <c r="L646" s="1355" t="n"/>
    </row>
    <row r="647">
      <c r="L647" s="1355" t="n"/>
    </row>
    <row r="648">
      <c r="L648" s="1355" t="n"/>
    </row>
    <row r="649">
      <c r="L649" s="1355" t="n"/>
    </row>
    <row r="650">
      <c r="L650" s="1355" t="n"/>
    </row>
    <row r="651">
      <c r="L651" s="1355" t="n"/>
    </row>
    <row r="652">
      <c r="L652" s="1355" t="n"/>
    </row>
    <row r="653">
      <c r="L653" s="1355" t="n"/>
    </row>
    <row r="654">
      <c r="L654" s="1355" t="n"/>
    </row>
    <row r="655">
      <c r="L655" s="1355" t="n"/>
    </row>
    <row r="656">
      <c r="L656" s="1355" t="n"/>
    </row>
    <row r="657">
      <c r="L657" s="1355" t="n"/>
    </row>
    <row r="658">
      <c r="L658" s="1355" t="n"/>
    </row>
    <row r="659">
      <c r="L659" s="1355" t="n"/>
    </row>
    <row r="660">
      <c r="L660" s="1355" t="n"/>
    </row>
    <row r="661">
      <c r="L661" s="1355" t="n"/>
    </row>
    <row r="662">
      <c r="L662" s="1355" t="n"/>
    </row>
    <row r="663">
      <c r="L663" s="1355" t="n"/>
    </row>
    <row r="664">
      <c r="L664" s="1355" t="n"/>
    </row>
    <row r="665">
      <c r="L665" s="1355" t="n"/>
    </row>
    <row r="666">
      <c r="L666" s="1355" t="n"/>
    </row>
    <row r="667">
      <c r="L667" s="1355" t="n"/>
    </row>
    <row r="668">
      <c r="L668" s="1355" t="n"/>
    </row>
    <row r="669">
      <c r="L669" s="1355" t="n"/>
    </row>
    <row r="670">
      <c r="L670" s="1355" t="n"/>
    </row>
    <row r="671">
      <c r="L671" s="1355" t="n"/>
    </row>
    <row r="672">
      <c r="L672" s="1355" t="n"/>
    </row>
    <row r="673">
      <c r="L673" s="1355" t="n"/>
    </row>
    <row r="674">
      <c r="L674" s="1355" t="n"/>
    </row>
    <row r="675">
      <c r="L675" s="1355" t="n"/>
    </row>
    <row r="676">
      <c r="L676" s="1355" t="n"/>
    </row>
    <row r="677">
      <c r="L677" s="1355" t="n"/>
    </row>
    <row r="678">
      <c r="L678" s="1355" t="n"/>
    </row>
    <row r="679">
      <c r="L679" s="1355" t="n"/>
    </row>
    <row r="680">
      <c r="L680" s="1355" t="n"/>
    </row>
    <row r="681">
      <c r="L681" s="1355" t="n"/>
    </row>
    <row r="682">
      <c r="L682" s="1355" t="n"/>
    </row>
    <row r="683">
      <c r="L683" s="1355" t="n"/>
    </row>
    <row r="684">
      <c r="L684" s="1355" t="n"/>
    </row>
    <row r="685">
      <c r="L685" s="1355" t="n"/>
    </row>
    <row r="686">
      <c r="L686" s="1355" t="n"/>
    </row>
    <row r="687">
      <c r="L687" s="1355" t="n"/>
    </row>
    <row r="688">
      <c r="L688" s="1355" t="n"/>
    </row>
    <row r="689">
      <c r="L689" s="1355" t="n"/>
    </row>
    <row r="690">
      <c r="L690" s="1355" t="n"/>
    </row>
    <row r="691">
      <c r="L691" s="1355" t="n"/>
    </row>
    <row r="692">
      <c r="L692" s="1355" t="n"/>
    </row>
    <row r="693">
      <c r="L693" s="1355" t="n"/>
    </row>
    <row r="694">
      <c r="L694" s="1355" t="n"/>
    </row>
    <row r="695">
      <c r="L695" s="1355" t="n"/>
    </row>
    <row r="696">
      <c r="L696" s="1355" t="n"/>
    </row>
    <row r="697">
      <c r="L697" s="1355" t="n"/>
    </row>
    <row r="698">
      <c r="L698" s="1355" t="n"/>
    </row>
    <row r="699">
      <c r="L699" s="1355" t="n"/>
    </row>
    <row r="700">
      <c r="L700" s="1355" t="n"/>
    </row>
    <row r="701">
      <c r="L701" s="1355" t="n"/>
    </row>
    <row r="702">
      <c r="L702" s="1355" t="n"/>
    </row>
    <row r="703">
      <c r="L703" s="1355" t="n"/>
    </row>
    <row r="704">
      <c r="L704" s="1355" t="n"/>
    </row>
    <row r="705">
      <c r="L705" s="1355" t="n"/>
    </row>
    <row r="706">
      <c r="L706" s="1355" t="n"/>
    </row>
    <row r="707">
      <c r="L707" s="1355" t="n"/>
    </row>
    <row r="708">
      <c r="L708" s="1355" t="n"/>
    </row>
    <row r="709">
      <c r="L709" s="1355" t="n"/>
    </row>
    <row r="710">
      <c r="L710" s="1355" t="n"/>
    </row>
    <row r="711">
      <c r="L711" s="1355" t="n"/>
    </row>
    <row r="712">
      <c r="L712" s="1355" t="n"/>
    </row>
    <row r="713">
      <c r="L713" s="1355" t="n"/>
    </row>
    <row r="714">
      <c r="L714" s="1355" t="n"/>
    </row>
    <row r="715">
      <c r="L715" s="1355" t="n"/>
    </row>
    <row r="716">
      <c r="L716" s="1355" t="n"/>
    </row>
    <row r="717">
      <c r="L717" s="1355" t="n"/>
    </row>
    <row r="718">
      <c r="L718" s="1355" t="n"/>
    </row>
    <row r="719">
      <c r="L719" s="1355" t="n"/>
    </row>
    <row r="720">
      <c r="L720" s="1355" t="n"/>
    </row>
    <row r="721">
      <c r="L721" s="1355" t="n"/>
    </row>
    <row r="722">
      <c r="L722" s="1355" t="n"/>
    </row>
    <row r="723">
      <c r="L723" s="1355" t="n"/>
    </row>
    <row r="724">
      <c r="L724" s="1355" t="n"/>
    </row>
    <row r="725">
      <c r="L725" s="1355" t="n"/>
    </row>
    <row r="726">
      <c r="L726" s="1355" t="n"/>
    </row>
    <row r="727">
      <c r="L727" s="1355" t="n"/>
    </row>
    <row r="728">
      <c r="L728" s="1355" t="n"/>
    </row>
    <row r="729">
      <c r="L729" s="1355" t="n"/>
    </row>
    <row r="730">
      <c r="L730" s="1355" t="n"/>
    </row>
    <row r="731">
      <c r="L731" s="1355" t="n"/>
    </row>
    <row r="732">
      <c r="L732" s="1355" t="n"/>
    </row>
    <row r="733">
      <c r="L733" s="1355" t="n"/>
    </row>
    <row r="734">
      <c r="L734" s="1355" t="n"/>
    </row>
    <row r="735">
      <c r="L735" s="1355" t="n"/>
    </row>
    <row r="736">
      <c r="L736" s="1355" t="n"/>
    </row>
    <row r="737">
      <c r="L737" s="1355" t="n"/>
    </row>
    <row r="738">
      <c r="L738" s="1355" t="n"/>
    </row>
    <row r="739">
      <c r="L739" s="1355" t="n"/>
    </row>
    <row r="740">
      <c r="L740" s="1355" t="n"/>
    </row>
    <row r="741">
      <c r="L741" s="1355" t="n"/>
    </row>
    <row r="742">
      <c r="L742" s="1355" t="n"/>
    </row>
    <row r="743">
      <c r="L743" s="1355" t="n"/>
    </row>
    <row r="744">
      <c r="L744" s="1355" t="n"/>
    </row>
    <row r="745">
      <c r="L745" s="1355" t="n"/>
    </row>
    <row r="746">
      <c r="L746" s="1355" t="n"/>
    </row>
    <row r="747">
      <c r="L747" s="1355" t="n"/>
    </row>
    <row r="748">
      <c r="L748" s="1355" t="n"/>
    </row>
    <row r="749">
      <c r="L749" s="1355" t="n"/>
    </row>
    <row r="750">
      <c r="L750" s="1355" t="n"/>
    </row>
    <row r="751">
      <c r="L751" s="1355" t="n"/>
    </row>
    <row r="752">
      <c r="L752" s="1355" t="n"/>
    </row>
    <row r="753">
      <c r="L753" s="1355" t="n"/>
    </row>
    <row r="754">
      <c r="L754" s="1355" t="n"/>
    </row>
    <row r="755">
      <c r="L755" s="1355" t="n"/>
    </row>
    <row r="756">
      <c r="L756" s="1355" t="n"/>
    </row>
    <row r="757">
      <c r="L757" s="1355" t="n"/>
    </row>
    <row r="758">
      <c r="L758" s="1355" t="n"/>
    </row>
    <row r="759">
      <c r="L759" s="1355" t="n"/>
    </row>
    <row r="760">
      <c r="L760" s="1355" t="n"/>
    </row>
    <row r="761">
      <c r="L761" s="1355" t="n"/>
    </row>
    <row r="762">
      <c r="L762" s="1355" t="n"/>
    </row>
    <row r="763">
      <c r="L763" s="1355" t="n"/>
    </row>
    <row r="764">
      <c r="L764" s="1355" t="n"/>
    </row>
    <row r="765">
      <c r="L765" s="1355" t="n"/>
    </row>
    <row r="766">
      <c r="L766" s="1355" t="n"/>
    </row>
    <row r="767">
      <c r="L767" s="1355" t="n"/>
    </row>
    <row r="768">
      <c r="L768" s="1355" t="n"/>
    </row>
    <row r="769">
      <c r="L769" s="1355" t="n"/>
    </row>
    <row r="770">
      <c r="L770" s="1355" t="n"/>
    </row>
    <row r="771">
      <c r="L771" s="1355" t="n"/>
    </row>
    <row r="772">
      <c r="L772" s="1355" t="n"/>
    </row>
    <row r="773">
      <c r="L773" s="1355" t="n"/>
    </row>
    <row r="774">
      <c r="L774" s="1355" t="n"/>
    </row>
    <row r="775">
      <c r="L775" s="1355" t="n"/>
    </row>
    <row r="776">
      <c r="L776" s="1355" t="n"/>
    </row>
    <row r="777">
      <c r="L777" s="1355" t="n"/>
    </row>
    <row r="778">
      <c r="L778" s="1355" t="n"/>
    </row>
    <row r="779">
      <c r="L779" s="1355" t="n"/>
    </row>
    <row r="780">
      <c r="L780" s="1355" t="n"/>
    </row>
    <row r="781">
      <c r="L781" s="1355" t="n"/>
    </row>
    <row r="782">
      <c r="L782" s="1355" t="n"/>
    </row>
    <row r="783">
      <c r="L783" s="1355" t="n"/>
    </row>
    <row r="784">
      <c r="L784" s="1355" t="n"/>
    </row>
    <row r="785">
      <c r="L785" s="1355" t="n"/>
    </row>
    <row r="786">
      <c r="L786" s="1355" t="n"/>
    </row>
    <row r="787">
      <c r="L787" s="1355" t="n"/>
    </row>
    <row r="788">
      <c r="L788" s="1355" t="n"/>
    </row>
    <row r="789">
      <c r="L789" s="1355" t="n"/>
    </row>
    <row r="790">
      <c r="L790" s="1355" t="n"/>
    </row>
    <row r="791">
      <c r="L791" s="1355" t="n"/>
    </row>
    <row r="792">
      <c r="L792" s="1355" t="n"/>
    </row>
    <row r="793">
      <c r="L793" s="1355" t="n"/>
    </row>
    <row r="794">
      <c r="L794" s="1355" t="n"/>
    </row>
    <row r="795">
      <c r="L795" s="1355" t="n"/>
    </row>
    <row r="796">
      <c r="L796" s="1355" t="n"/>
    </row>
    <row r="797">
      <c r="L797" s="1355" t="n"/>
    </row>
    <row r="798">
      <c r="L798" s="1355" t="n"/>
    </row>
    <row r="799">
      <c r="L799" s="1355" t="n"/>
    </row>
    <row r="800">
      <c r="L800" s="1355" t="n"/>
    </row>
    <row r="801">
      <c r="L801" s="1355" t="n"/>
    </row>
    <row r="802">
      <c r="L802" s="1355" t="n"/>
    </row>
    <row r="803">
      <c r="L803" s="1355" t="n"/>
    </row>
    <row r="804">
      <c r="L804" s="1355" t="n"/>
    </row>
    <row r="805">
      <c r="L805" s="1355" t="n"/>
    </row>
    <row r="806">
      <c r="L806" s="1355" t="n"/>
    </row>
    <row r="807">
      <c r="L807" s="1355" t="n"/>
    </row>
    <row r="808">
      <c r="L808" s="1355" t="n"/>
    </row>
    <row r="809">
      <c r="L809" s="1355" t="n"/>
    </row>
    <row r="810">
      <c r="L810" s="1355" t="n"/>
    </row>
    <row r="811">
      <c r="L811" s="1355" t="n"/>
    </row>
    <row r="812">
      <c r="L812" s="1355" t="n"/>
    </row>
    <row r="813">
      <c r="L813" s="1355" t="n"/>
    </row>
    <row r="814">
      <c r="L814" s="1355" t="n"/>
    </row>
    <row r="815">
      <c r="L815" s="1355" t="n"/>
    </row>
    <row r="816">
      <c r="L816" s="1355" t="n"/>
    </row>
    <row r="817">
      <c r="L817" s="1355" t="n"/>
    </row>
    <row r="818">
      <c r="L818" s="1355" t="n"/>
    </row>
    <row r="819">
      <c r="L819" s="1355" t="n"/>
    </row>
    <row r="820">
      <c r="L820" s="1355" t="n"/>
    </row>
    <row r="821">
      <c r="L821" s="1355" t="n"/>
    </row>
    <row r="822">
      <c r="L822" s="1355" t="n"/>
    </row>
    <row r="823">
      <c r="L823" s="1355" t="n"/>
    </row>
    <row r="824">
      <c r="L824" s="1355" t="n"/>
    </row>
    <row r="825">
      <c r="L825" s="1355" t="n"/>
    </row>
    <row r="826">
      <c r="L826" s="1355" t="n"/>
    </row>
    <row r="827">
      <c r="L827" s="1355" t="n"/>
    </row>
    <row r="828">
      <c r="L828" s="1355" t="n"/>
    </row>
    <row r="829">
      <c r="L829" s="1355" t="n"/>
    </row>
    <row r="830">
      <c r="L830" s="1355" t="n"/>
    </row>
    <row r="831">
      <c r="L831" s="1355" t="n"/>
    </row>
    <row r="832">
      <c r="L832" s="1355" t="n"/>
    </row>
    <row r="833">
      <c r="L833" s="1355" t="n"/>
    </row>
    <row r="834">
      <c r="L834" s="1355" t="n"/>
    </row>
    <row r="835">
      <c r="L835" s="1355" t="n"/>
    </row>
    <row r="836">
      <c r="L836" s="1355" t="n"/>
    </row>
    <row r="837">
      <c r="L837" s="1355" t="n"/>
    </row>
    <row r="838">
      <c r="L838" s="1355" t="n"/>
    </row>
    <row r="839">
      <c r="L839" s="1355" t="n"/>
    </row>
    <row r="840">
      <c r="L840" s="1355" t="n"/>
    </row>
    <row r="841">
      <c r="L841" s="1355" t="n"/>
    </row>
    <row r="842">
      <c r="L842" s="1355" t="n"/>
    </row>
    <row r="843">
      <c r="L843" s="1355" t="n"/>
    </row>
    <row r="844">
      <c r="L844" s="1355" t="n"/>
    </row>
    <row r="845">
      <c r="L845" s="1355" t="n"/>
    </row>
    <row r="846">
      <c r="L846" s="1355" t="n"/>
    </row>
    <row r="847">
      <c r="L847" s="1355" t="n"/>
    </row>
    <row r="848">
      <c r="L848" s="1355" t="n"/>
    </row>
    <row r="849">
      <c r="L849" s="1355" t="n"/>
    </row>
    <row r="850">
      <c r="L850" s="1355" t="n"/>
    </row>
    <row r="851">
      <c r="L851" s="1355" t="n"/>
    </row>
    <row r="852">
      <c r="L852" s="1355" t="n"/>
    </row>
    <row r="853">
      <c r="L853" s="1355" t="n"/>
    </row>
    <row r="854">
      <c r="L854" s="1355" t="n"/>
    </row>
    <row r="855">
      <c r="L855" s="1355" t="n"/>
    </row>
    <row r="856">
      <c r="L856" s="1355" t="n"/>
    </row>
    <row r="857">
      <c r="L857" s="1355" t="n"/>
    </row>
    <row r="858">
      <c r="L858" s="1355" t="n"/>
    </row>
    <row r="859">
      <c r="L859" s="1355" t="n"/>
    </row>
    <row r="860">
      <c r="L860" s="1355" t="n"/>
    </row>
    <row r="861">
      <c r="L861" s="1355" t="n"/>
    </row>
    <row r="862">
      <c r="L862" s="1355" t="n"/>
    </row>
    <row r="863">
      <c r="L863" s="1355" t="n"/>
    </row>
    <row r="864">
      <c r="L864" s="1355" t="n"/>
    </row>
    <row r="865">
      <c r="L865" s="1355" t="n"/>
    </row>
    <row r="866">
      <c r="L866" s="1355" t="n"/>
    </row>
    <row r="867">
      <c r="L867" s="1355" t="n"/>
    </row>
    <row r="868">
      <c r="L868" s="1355" t="n"/>
    </row>
    <row r="869">
      <c r="L869" s="1355" t="n"/>
    </row>
    <row r="870">
      <c r="L870" s="1355" t="n"/>
    </row>
    <row r="871">
      <c r="L871" s="1355" t="n"/>
    </row>
    <row r="872">
      <c r="L872" s="1355" t="n"/>
    </row>
    <row r="873">
      <c r="L873" s="1355" t="n"/>
    </row>
    <row r="874">
      <c r="L874" s="1355" t="n"/>
    </row>
    <row r="875">
      <c r="L875" s="1355" t="n"/>
    </row>
    <row r="876">
      <c r="L876" s="1355" t="n"/>
    </row>
    <row r="877">
      <c r="L877" s="1355" t="n"/>
    </row>
    <row r="878">
      <c r="L878" s="1355" t="n"/>
    </row>
    <row r="879">
      <c r="L879" s="1355" t="n"/>
    </row>
    <row r="880">
      <c r="L880" s="1355" t="n"/>
    </row>
    <row r="881">
      <c r="L881" s="1355" t="n"/>
    </row>
    <row r="882">
      <c r="L882" s="1355" t="n"/>
    </row>
    <row r="883">
      <c r="L883" s="1355" t="n"/>
    </row>
    <row r="884">
      <c r="L884" s="1355" t="n"/>
    </row>
    <row r="885">
      <c r="L885" s="1355" t="n"/>
    </row>
    <row r="886">
      <c r="L886" s="1355" t="n"/>
    </row>
    <row r="887">
      <c r="L887" s="1355" t="n"/>
    </row>
    <row r="888">
      <c r="L888" s="1355" t="n"/>
    </row>
    <row r="889">
      <c r="L889" s="1355" t="n"/>
    </row>
    <row r="890">
      <c r="L890" s="1355" t="n"/>
    </row>
    <row r="891">
      <c r="L891" s="1355" t="n"/>
    </row>
    <row r="892">
      <c r="L892" s="1355" t="n"/>
    </row>
    <row r="893">
      <c r="L893" s="1355" t="n"/>
    </row>
    <row r="894">
      <c r="L894" s="1355" t="n"/>
    </row>
    <row r="895">
      <c r="L895" s="1355" t="n"/>
    </row>
    <row r="896">
      <c r="L896" s="1355" t="n"/>
    </row>
    <row r="897">
      <c r="L897" s="1355" t="n"/>
    </row>
    <row r="898">
      <c r="L898" s="1355" t="n"/>
    </row>
    <row r="899">
      <c r="L899" s="1355" t="n"/>
    </row>
    <row r="900">
      <c r="L900" s="1355" t="n"/>
    </row>
    <row r="901">
      <c r="L901" s="1355" t="n"/>
    </row>
    <row r="902">
      <c r="L902" s="1355" t="n"/>
    </row>
    <row r="903">
      <c r="L903" s="1355" t="n"/>
    </row>
    <row r="904">
      <c r="L904" s="1355" t="n"/>
    </row>
    <row r="905">
      <c r="L905" s="1355" t="n"/>
    </row>
    <row r="906">
      <c r="L906" s="1355" t="n"/>
    </row>
    <row r="907">
      <c r="L907" s="1355" t="n"/>
    </row>
    <row r="908">
      <c r="L908" s="1355" t="n"/>
    </row>
    <row r="909">
      <c r="L909" s="1355" t="n"/>
    </row>
    <row r="910">
      <c r="L910" s="1355" t="n"/>
    </row>
    <row r="911">
      <c r="L911" s="1355" t="n"/>
    </row>
    <row r="912">
      <c r="L912" s="1355" t="n"/>
    </row>
    <row r="913">
      <c r="L913" s="1355" t="n"/>
    </row>
    <row r="914">
      <c r="L914" s="1355" t="n"/>
    </row>
    <row r="915">
      <c r="L915" s="1355" t="n"/>
    </row>
    <row r="916">
      <c r="L916" s="1355" t="n"/>
    </row>
    <row r="917">
      <c r="L917" s="1355" t="n"/>
    </row>
    <row r="918">
      <c r="L918" s="1355" t="n"/>
    </row>
    <row r="919">
      <c r="L919" s="1355" t="n"/>
    </row>
    <row r="920">
      <c r="L920" s="1355" t="n"/>
    </row>
    <row r="921">
      <c r="L921" s="1355" t="n"/>
    </row>
    <row r="922">
      <c r="L922" s="1355" t="n"/>
    </row>
    <row r="923">
      <c r="L923" s="1355" t="n"/>
    </row>
    <row r="924">
      <c r="L924" s="1355" t="n"/>
    </row>
    <row r="925">
      <c r="L925" s="1355" t="n"/>
    </row>
    <row r="926">
      <c r="L926" s="1355" t="n"/>
    </row>
    <row r="927">
      <c r="L927" s="1355" t="n"/>
    </row>
    <row r="928">
      <c r="L928" s="1355" t="n"/>
    </row>
    <row r="929">
      <c r="L929" s="1355" t="n"/>
    </row>
    <row r="930">
      <c r="L930" s="1355" t="n"/>
    </row>
    <row r="931">
      <c r="L931" s="1355" t="n"/>
    </row>
    <row r="932">
      <c r="L932" s="1355" t="n"/>
    </row>
    <row r="933">
      <c r="L933" s="1355" t="n"/>
    </row>
    <row r="934">
      <c r="L934" s="1355" t="n"/>
    </row>
    <row r="935">
      <c r="L935" s="1355" t="n"/>
    </row>
    <row r="936">
      <c r="L936" s="1355" t="n"/>
    </row>
    <row r="937">
      <c r="L937" s="1355" t="n"/>
    </row>
    <row r="938">
      <c r="L938" s="1355" t="n"/>
    </row>
    <row r="939">
      <c r="L939" s="1355" t="n"/>
    </row>
    <row r="940">
      <c r="L940" s="1355" t="n"/>
    </row>
    <row r="941">
      <c r="L941" s="1355" t="n"/>
    </row>
    <row r="942">
      <c r="L942" s="1355" t="n"/>
    </row>
    <row r="943">
      <c r="L943" s="1355" t="n"/>
    </row>
    <row r="944">
      <c r="L944" s="1355" t="n"/>
    </row>
    <row r="945">
      <c r="L945" s="1355" t="n"/>
    </row>
    <row r="946">
      <c r="L946" s="1355" t="n"/>
    </row>
    <row r="947">
      <c r="L947" s="1355" t="n"/>
    </row>
    <row r="948">
      <c r="L948" s="1355" t="n"/>
    </row>
    <row r="949">
      <c r="L949" s="1355" t="n"/>
    </row>
    <row r="950">
      <c r="L950" s="1355" t="n"/>
    </row>
    <row r="951">
      <c r="L951" s="1355" t="n"/>
    </row>
    <row r="952">
      <c r="L952" s="1355" t="n"/>
    </row>
    <row r="953">
      <c r="L953" s="1355" t="n"/>
    </row>
    <row r="954">
      <c r="L954" s="1355" t="n"/>
    </row>
    <row r="955">
      <c r="L955" s="1355" t="n"/>
    </row>
    <row r="956">
      <c r="L956" s="1355" t="n"/>
    </row>
    <row r="957">
      <c r="L957" s="1355" t="n"/>
    </row>
    <row r="958">
      <c r="L958" s="1355" t="n"/>
    </row>
    <row r="959">
      <c r="L959" s="1355" t="n"/>
    </row>
    <row r="960">
      <c r="L960" s="1355" t="n"/>
    </row>
    <row r="961">
      <c r="L961" s="1355" t="n"/>
    </row>
    <row r="962">
      <c r="L962" s="1355" t="n"/>
    </row>
    <row r="963">
      <c r="L963" s="1355" t="n"/>
    </row>
    <row r="964">
      <c r="L964" s="1355" t="n"/>
    </row>
    <row r="965">
      <c r="L965" s="1355" t="n"/>
    </row>
    <row r="966">
      <c r="L966" s="1355" t="n"/>
    </row>
    <row r="967">
      <c r="L967" s="1355" t="n"/>
    </row>
    <row r="968">
      <c r="L968" s="1355" t="n"/>
    </row>
    <row r="969">
      <c r="L969" s="1355" t="n"/>
    </row>
    <row r="970">
      <c r="L970" s="1355" t="n"/>
    </row>
    <row r="971">
      <c r="L971" s="1355" t="n"/>
    </row>
    <row r="972">
      <c r="L972" s="1355" t="n"/>
    </row>
    <row r="973">
      <c r="L973" s="1355" t="n"/>
    </row>
    <row r="974">
      <c r="L974" s="1355" t="n"/>
    </row>
    <row r="975">
      <c r="L975" s="1355" t="n"/>
    </row>
    <row r="976">
      <c r="L976" s="1355" t="n"/>
    </row>
    <row r="977">
      <c r="L977" s="1355" t="n"/>
    </row>
    <row r="978">
      <c r="L978" s="1355" t="n"/>
    </row>
    <row r="979">
      <c r="L979" s="1355" t="n"/>
    </row>
    <row r="980">
      <c r="L980" s="1355" t="n"/>
    </row>
    <row r="981">
      <c r="L981" s="1355" t="n"/>
    </row>
    <row r="982">
      <c r="L982" s="1355" t="n"/>
    </row>
    <row r="983">
      <c r="L983" s="1355" t="n"/>
    </row>
    <row r="984">
      <c r="L984" s="1355" t="n"/>
    </row>
    <row r="985">
      <c r="L985" s="1355" t="n"/>
    </row>
    <row r="986">
      <c r="L986" s="1355" t="n"/>
    </row>
    <row r="987">
      <c r="L987" s="1355" t="n"/>
    </row>
    <row r="988">
      <c r="L988" s="1355" t="n"/>
    </row>
    <row r="989">
      <c r="L989" s="1355" t="n"/>
    </row>
    <row r="990">
      <c r="L990" s="1355" t="n"/>
    </row>
    <row r="991">
      <c r="L991" s="1355" t="n"/>
    </row>
    <row r="992">
      <c r="L992" s="1355" t="n"/>
    </row>
    <row r="993">
      <c r="L993" s="1355" t="n"/>
    </row>
    <row r="994">
      <c r="L994" s="1355" t="n"/>
    </row>
    <row r="995">
      <c r="L995" s="1355" t="n"/>
    </row>
    <row r="996">
      <c r="L996" s="1355" t="n"/>
    </row>
    <row r="997">
      <c r="L997" s="1355" t="n"/>
    </row>
    <row r="998">
      <c r="L998" s="1355" t="n"/>
    </row>
    <row r="999">
      <c r="L999" s="1355" t="n"/>
    </row>
    <row r="1000">
      <c r="L1000" s="1355" t="n"/>
    </row>
    <row r="1001">
      <c r="L1001" s="1355" t="n"/>
    </row>
    <row r="1002">
      <c r="L1002" s="1355" t="n"/>
    </row>
    <row r="1003">
      <c r="L1003" s="1355" t="n"/>
    </row>
    <row r="1004">
      <c r="L1004" s="1355" t="n"/>
    </row>
    <row r="1005">
      <c r="L1005" s="1355" t="n"/>
    </row>
    <row r="1006">
      <c r="L1006" s="1355" t="n"/>
    </row>
    <row r="1007">
      <c r="L1007" s="1355" t="n"/>
    </row>
    <row r="1008">
      <c r="L1008" s="1355" t="n"/>
    </row>
    <row r="1009">
      <c r="L1009" s="1355" t="n"/>
    </row>
    <row r="1010">
      <c r="L1010" s="1355" t="n"/>
    </row>
    <row r="1011">
      <c r="L1011" s="1355" t="n"/>
    </row>
    <row r="1012">
      <c r="L1012" s="1355" t="n"/>
    </row>
    <row r="1013">
      <c r="L1013" s="1355" t="n"/>
    </row>
    <row r="1014">
      <c r="L1014" s="1355" t="n"/>
    </row>
    <row r="1015">
      <c r="L1015" s="1355" t="n"/>
    </row>
    <row r="1016">
      <c r="L1016" s="1355" t="n"/>
    </row>
    <row r="1017">
      <c r="L1017" s="1355" t="n"/>
    </row>
    <row r="1018">
      <c r="L1018" s="1355" t="n"/>
    </row>
    <row r="1019">
      <c r="L1019" s="1355" t="n"/>
    </row>
    <row r="1020">
      <c r="L1020" s="1355" t="n"/>
    </row>
    <row r="1021">
      <c r="L1021" s="1355" t="n"/>
    </row>
    <row r="1022">
      <c r="L1022" s="1355" t="n"/>
    </row>
    <row r="1023">
      <c r="L1023" s="1355" t="n"/>
    </row>
    <row r="1024">
      <c r="L1024" s="1355" t="n"/>
    </row>
    <row r="1025">
      <c r="L1025" s="1355" t="n"/>
    </row>
    <row r="1026">
      <c r="L1026" s="1355" t="n"/>
    </row>
    <row r="1027">
      <c r="L1027" s="1355" t="n"/>
    </row>
    <row r="1028">
      <c r="L1028" s="1355" t="n"/>
    </row>
    <row r="1029">
      <c r="L1029" s="1355" t="n"/>
    </row>
    <row r="1030">
      <c r="L1030" s="1355" t="n"/>
    </row>
    <row r="1031">
      <c r="L1031" s="1355" t="n"/>
    </row>
    <row r="1032">
      <c r="L1032" s="1355" t="n"/>
    </row>
    <row r="1033">
      <c r="L1033" s="1355" t="n"/>
    </row>
    <row r="1034">
      <c r="L1034" s="1355" t="n"/>
    </row>
    <row r="1035">
      <c r="L1035" s="1355" t="n"/>
    </row>
    <row r="1036">
      <c r="L1036" s="1355" t="n"/>
    </row>
    <row r="1037">
      <c r="L1037" s="1355" t="n"/>
    </row>
    <row r="1038">
      <c r="L1038" s="1355" t="n"/>
    </row>
    <row r="1039">
      <c r="L1039" s="1355" t="n"/>
    </row>
    <row r="1040">
      <c r="L1040" s="1355" t="n"/>
    </row>
    <row r="1041">
      <c r="L1041" s="1355" t="n"/>
    </row>
    <row r="1042">
      <c r="L1042" s="1355" t="n"/>
    </row>
    <row r="1043">
      <c r="L1043" s="1355" t="n"/>
    </row>
    <row r="1044">
      <c r="L1044" s="1355" t="n"/>
    </row>
    <row r="1045">
      <c r="L1045" s="1355" t="n"/>
    </row>
    <row r="1046">
      <c r="L1046" s="1355" t="n"/>
    </row>
    <row r="1047">
      <c r="L1047" s="1355" t="n"/>
    </row>
    <row r="1048">
      <c r="L1048" s="1355" t="n"/>
    </row>
    <row r="1049">
      <c r="L1049" s="1355" t="n"/>
    </row>
    <row r="1050">
      <c r="L1050" s="1355" t="n"/>
    </row>
    <row r="1051">
      <c r="L1051" s="1355" t="n"/>
    </row>
    <row r="1052">
      <c r="L1052" s="1355" t="n"/>
    </row>
    <row r="1053">
      <c r="L1053" s="1355" t="n"/>
    </row>
    <row r="1054">
      <c r="L1054" s="1355" t="n"/>
    </row>
    <row r="1055">
      <c r="L1055" s="1355" t="n"/>
    </row>
    <row r="1056">
      <c r="L1056" s="1355" t="n"/>
    </row>
    <row r="1057">
      <c r="L1057" s="1355" t="n"/>
    </row>
    <row r="1058">
      <c r="L1058" s="1355" t="n"/>
    </row>
    <row r="1059">
      <c r="L1059" s="1355" t="n"/>
    </row>
    <row r="1060">
      <c r="L1060" s="1355" t="n"/>
    </row>
    <row r="1061">
      <c r="L1061" s="1355" t="n"/>
    </row>
    <row r="1062">
      <c r="L1062" s="1355" t="n"/>
    </row>
    <row r="1063">
      <c r="L1063" s="1355" t="n"/>
    </row>
    <row r="1064">
      <c r="L1064" s="1355" t="n"/>
    </row>
    <row r="1065">
      <c r="L1065" s="1355" t="n"/>
    </row>
    <row r="1066">
      <c r="L1066" s="1355" t="n"/>
    </row>
    <row r="1067">
      <c r="L1067" s="1355" t="n"/>
    </row>
    <row r="1068">
      <c r="L1068" s="1355" t="n"/>
    </row>
    <row r="1069">
      <c r="L1069" s="1355" t="n"/>
    </row>
    <row r="1070">
      <c r="L1070" s="1355" t="n"/>
    </row>
    <row r="1071">
      <c r="L1071" s="1355" t="n"/>
    </row>
    <row r="1072">
      <c r="L1072" s="1355" t="n"/>
    </row>
    <row r="1073">
      <c r="L1073" s="1355" t="n"/>
    </row>
    <row r="1074">
      <c r="L1074" s="1355" t="n"/>
    </row>
    <row r="1075">
      <c r="L1075" s="1355" t="n"/>
    </row>
    <row r="1076">
      <c r="L1076" s="1355" t="n"/>
    </row>
    <row r="1077">
      <c r="L1077" s="1355" t="n"/>
    </row>
    <row r="1078">
      <c r="L1078" s="1355" t="n"/>
    </row>
    <row r="1079">
      <c r="L1079" s="1355" t="n"/>
    </row>
    <row r="1080">
      <c r="L1080" s="1355" t="n"/>
    </row>
    <row r="1081">
      <c r="L1081" s="1355" t="n"/>
    </row>
    <row r="1082">
      <c r="L1082" s="1355" t="n"/>
    </row>
    <row r="1083">
      <c r="L1083" s="1355" t="n"/>
    </row>
    <row r="1084">
      <c r="L1084" s="1355" t="n"/>
    </row>
    <row r="1085">
      <c r="L1085" s="1355" t="n"/>
    </row>
    <row r="1086">
      <c r="L1086" s="1355" t="n"/>
    </row>
    <row r="1087">
      <c r="L1087" s="1355" t="n"/>
    </row>
    <row r="1088">
      <c r="L1088" s="1355" t="n"/>
    </row>
    <row r="1089">
      <c r="L1089" s="1355" t="n"/>
    </row>
    <row r="1090">
      <c r="L1090" s="1355" t="n"/>
    </row>
    <row r="1091">
      <c r="L1091" s="1355" t="n"/>
    </row>
    <row r="1092">
      <c r="L1092" s="1355" t="n"/>
    </row>
    <row r="1093">
      <c r="L1093" s="1355" t="n"/>
    </row>
    <row r="1094">
      <c r="L1094" s="1355" t="n"/>
    </row>
    <row r="1095">
      <c r="L1095" s="1355" t="n"/>
    </row>
    <row r="1096">
      <c r="L1096" s="1355" t="n"/>
    </row>
    <row r="1097">
      <c r="L1097" s="1355" t="n"/>
    </row>
    <row r="1098">
      <c r="L1098" s="1355" t="n"/>
    </row>
    <row r="1099">
      <c r="L1099" s="1355" t="n"/>
    </row>
    <row r="1100">
      <c r="L1100" s="1355" t="n"/>
    </row>
    <row r="1101">
      <c r="L1101" s="1355" t="n"/>
    </row>
    <row r="1102">
      <c r="L1102" s="1355" t="n"/>
    </row>
    <row r="1103">
      <c r="L1103" s="1355" t="n"/>
    </row>
    <row r="1104">
      <c r="L1104" s="1355" t="n"/>
    </row>
    <row r="1105">
      <c r="L1105" s="1355" t="n"/>
    </row>
    <row r="1106">
      <c r="L1106" s="1355" t="n"/>
    </row>
    <row r="1107">
      <c r="L1107" s="1355" t="n"/>
    </row>
    <row r="1108">
      <c r="L1108" s="1355" t="n"/>
    </row>
    <row r="1109">
      <c r="L1109" s="1355" t="n"/>
    </row>
    <row r="1110">
      <c r="L1110" s="1355" t="n"/>
    </row>
    <row r="1111">
      <c r="L1111" s="1355" t="n"/>
    </row>
    <row r="1112">
      <c r="L1112" s="1355" t="n"/>
    </row>
    <row r="1113">
      <c r="L1113" s="1355" t="n"/>
    </row>
    <row r="1114">
      <c r="L1114" s="1355" t="n"/>
    </row>
    <row r="1115">
      <c r="L1115" s="1355" t="n"/>
    </row>
    <row r="1116">
      <c r="L1116" s="1355" t="n"/>
    </row>
    <row r="1117">
      <c r="L1117" s="1355" t="n"/>
    </row>
    <row r="1118">
      <c r="L1118" s="1355" t="n"/>
    </row>
    <row r="1119">
      <c r="L1119" s="1355" t="n"/>
    </row>
    <row r="1120">
      <c r="L1120" s="1355" t="n"/>
    </row>
    <row r="1121">
      <c r="L1121" s="1355" t="n"/>
    </row>
    <row r="1122">
      <c r="L1122" s="1355" t="n"/>
    </row>
    <row r="1123">
      <c r="L1123" s="1355" t="n"/>
    </row>
    <row r="1124">
      <c r="L1124" s="1355" t="n"/>
    </row>
    <row r="1125">
      <c r="L1125" s="1355" t="n"/>
    </row>
    <row r="1126">
      <c r="L1126" s="1355" t="n"/>
    </row>
    <row r="1127">
      <c r="L1127" s="1355" t="n"/>
    </row>
    <row r="1128">
      <c r="L1128" s="1355" t="n"/>
    </row>
    <row r="1129">
      <c r="L1129" s="1355" t="n"/>
    </row>
    <row r="1130">
      <c r="L1130" s="1355" t="n"/>
    </row>
    <row r="1131">
      <c r="L1131" s="1355" t="n"/>
    </row>
    <row r="1132">
      <c r="L1132" s="1355" t="n"/>
    </row>
    <row r="1133">
      <c r="L1133" s="1355" t="n"/>
    </row>
    <row r="1134">
      <c r="L1134" s="1355" t="n"/>
    </row>
    <row r="1135">
      <c r="L1135" s="1355" t="n"/>
    </row>
    <row r="1136">
      <c r="L1136" s="1355" t="n"/>
    </row>
    <row r="1137">
      <c r="L1137" s="1355" t="n"/>
    </row>
    <row r="1138">
      <c r="L1138" s="1355" t="n"/>
    </row>
    <row r="1139">
      <c r="L1139" s="1355" t="n"/>
    </row>
    <row r="1140">
      <c r="L1140" s="1355" t="n"/>
    </row>
    <row r="1141">
      <c r="L1141" s="1355" t="n"/>
    </row>
    <row r="1142">
      <c r="L1142" s="1355" t="n"/>
    </row>
    <row r="1143">
      <c r="L1143" s="1355" t="n"/>
    </row>
    <row r="1144">
      <c r="L1144" s="1355" t="n"/>
    </row>
    <row r="1145">
      <c r="L1145" s="1355" t="n"/>
    </row>
    <row r="1146">
      <c r="L1146" s="1355" t="n"/>
    </row>
    <row r="1147">
      <c r="L1147" s="1355" t="n"/>
    </row>
    <row r="1148">
      <c r="L1148" s="1355" t="n"/>
    </row>
    <row r="1149">
      <c r="L1149" s="1355" t="n"/>
    </row>
    <row r="1150">
      <c r="L1150" s="1355" t="n"/>
    </row>
    <row r="1151">
      <c r="L1151" s="1355" t="n"/>
    </row>
    <row r="1152">
      <c r="L1152" s="1355" t="n"/>
    </row>
    <row r="1153">
      <c r="L1153" s="1355" t="n"/>
    </row>
    <row r="1154">
      <c r="L1154" s="1355" t="n"/>
    </row>
    <row r="1155">
      <c r="L1155" s="1355" t="n"/>
    </row>
    <row r="1156">
      <c r="L1156" s="1355" t="n"/>
    </row>
    <row r="1157">
      <c r="L1157" s="1355" t="n"/>
    </row>
    <row r="1158">
      <c r="L1158" s="1355" t="n"/>
    </row>
    <row r="1159">
      <c r="L1159" s="1355" t="n"/>
    </row>
    <row r="1160">
      <c r="L1160" s="1355" t="n"/>
    </row>
    <row r="1161">
      <c r="L1161" s="1355" t="n"/>
    </row>
    <row r="1162">
      <c r="L1162" s="1355" t="n"/>
    </row>
    <row r="1163">
      <c r="L1163" s="1355" t="n"/>
    </row>
    <row r="1164">
      <c r="L1164" s="1355" t="n"/>
    </row>
    <row r="1165">
      <c r="L1165" s="1355" t="n"/>
    </row>
    <row r="1166">
      <c r="L1166" s="1355" t="n"/>
    </row>
    <row r="1167">
      <c r="L1167" s="1355" t="n"/>
    </row>
    <row r="1168">
      <c r="L1168" s="1355" t="n"/>
    </row>
    <row r="1169">
      <c r="L1169" s="1355" t="n"/>
    </row>
    <row r="1170">
      <c r="L1170" s="1355" t="n"/>
    </row>
    <row r="1171">
      <c r="L1171" s="1346" t="n"/>
    </row>
    <row r="1172">
      <c r="L1172" s="1346" t="n"/>
    </row>
    <row r="1173">
      <c r="L1173" s="1346" t="n"/>
    </row>
    <row r="1174">
      <c r="L1174" s="1346" t="n"/>
    </row>
    <row r="1175">
      <c r="L1175" s="1346" t="n"/>
    </row>
    <row r="1176">
      <c r="L1176" s="1346" t="n"/>
    </row>
    <row r="1177">
      <c r="L1177" s="1346" t="n"/>
    </row>
    <row r="1178">
      <c r="L1178" s="1346" t="n"/>
    </row>
    <row r="1179">
      <c r="L1179" s="1346" t="n"/>
    </row>
    <row r="1180">
      <c r="L1180" s="1346" t="n"/>
    </row>
    <row r="1181">
      <c r="L1181" s="1346" t="n"/>
    </row>
    <row r="1182">
      <c r="L1182" s="1346" t="n"/>
    </row>
    <row r="1183">
      <c r="L1183" s="1346" t="n"/>
    </row>
    <row r="1184">
      <c r="L1184" s="1346" t="n"/>
    </row>
    <row r="1185">
      <c r="L1185" s="1346" t="n"/>
    </row>
    <row r="1186">
      <c r="L1186" s="1346" t="n"/>
    </row>
    <row r="1187">
      <c r="L1187" s="1346" t="n"/>
    </row>
    <row r="1188">
      <c r="L1188" s="1346" t="n"/>
    </row>
    <row r="1189">
      <c r="L1189" s="1346" t="n"/>
    </row>
    <row r="1190">
      <c r="L1190" s="1346" t="n"/>
    </row>
    <row r="1191">
      <c r="L1191" s="1346" t="n"/>
    </row>
    <row r="1192">
      <c r="L1192" s="1346" t="n"/>
    </row>
    <row r="1193">
      <c r="L1193" s="1346" t="n"/>
    </row>
    <row r="1194">
      <c r="L1194" s="1346" t="n"/>
    </row>
    <row r="1195">
      <c r="L1195" s="1346" t="n"/>
    </row>
    <row r="1196">
      <c r="L1196" s="1346" t="n"/>
    </row>
    <row r="1197">
      <c r="L1197" s="1346" t="n"/>
    </row>
    <row r="1198">
      <c r="L1198" s="1346" t="n"/>
    </row>
    <row r="1199">
      <c r="L1199" s="1346" t="n"/>
    </row>
    <row r="1200">
      <c r="L1200" s="1346" t="n"/>
    </row>
    <row r="1201">
      <c r="L1201" s="1346" t="n"/>
    </row>
    <row r="1202">
      <c r="L1202" s="1346" t="n"/>
    </row>
    <row r="1203">
      <c r="L1203" s="1346" t="n"/>
    </row>
    <row r="1204">
      <c r="L1204" s="1346" t="n"/>
    </row>
    <row r="1205">
      <c r="L1205" s="1346" t="n"/>
    </row>
    <row r="1206">
      <c r="L1206" s="1346" t="n"/>
    </row>
    <row r="1207">
      <c r="L1207" s="1346" t="n"/>
    </row>
    <row r="1208">
      <c r="L1208" s="1346" t="n"/>
    </row>
    <row r="1209">
      <c r="L1209" s="1346" t="n"/>
    </row>
    <row r="1210">
      <c r="L1210" s="1346" t="n"/>
    </row>
    <row r="1211">
      <c r="L1211" s="1346" t="n"/>
    </row>
    <row r="1212">
      <c r="L1212" s="1346" t="n"/>
    </row>
    <row r="1213">
      <c r="L1213" s="1346" t="n"/>
    </row>
    <row r="1214">
      <c r="L1214" s="1346" t="n"/>
    </row>
    <row r="1215">
      <c r="L1215" s="1346" t="n"/>
    </row>
    <row r="1216">
      <c r="L1216" s="1346" t="n"/>
    </row>
    <row r="1217">
      <c r="L1217" s="1346" t="n"/>
    </row>
    <row r="1218">
      <c r="L1218" s="1346" t="n"/>
    </row>
    <row r="1219">
      <c r="L1219" s="1346" t="n"/>
    </row>
    <row r="1220">
      <c r="L1220" s="1346" t="n"/>
    </row>
    <row r="1221">
      <c r="L1221" s="1346" t="n"/>
    </row>
    <row r="1222">
      <c r="L1222" s="1346" t="n"/>
    </row>
    <row r="1223">
      <c r="L1223" s="1346" t="n"/>
    </row>
    <row r="1224">
      <c r="L1224" s="1346" t="n"/>
    </row>
    <row r="1225">
      <c r="L1225" s="1346" t="n"/>
    </row>
    <row r="1226">
      <c r="L1226" s="1346" t="n"/>
    </row>
    <row r="1227">
      <c r="L1227" s="1346" t="n"/>
    </row>
    <row r="1228">
      <c r="L1228" s="1346" t="n"/>
    </row>
    <row r="1229">
      <c r="L1229" s="1346" t="n"/>
    </row>
    <row r="1230">
      <c r="L1230" s="1346" t="n"/>
    </row>
    <row r="1231">
      <c r="L1231" s="1346" t="n"/>
    </row>
    <row r="1232">
      <c r="L1232" s="1346" t="n"/>
    </row>
    <row r="1233">
      <c r="L1233" s="1346" t="n"/>
    </row>
    <row r="1234">
      <c r="L1234" s="1346" t="n"/>
    </row>
    <row r="1235">
      <c r="L1235" s="1346" t="n"/>
    </row>
    <row r="1236">
      <c r="L1236" s="1346" t="n"/>
    </row>
    <row r="1237">
      <c r="L1237" s="1346" t="n"/>
    </row>
    <row r="1238">
      <c r="L1238" s="1346" t="n"/>
    </row>
    <row r="1239">
      <c r="L1239" s="1346" t="n"/>
    </row>
    <row r="1240">
      <c r="L1240" s="1346" t="n"/>
    </row>
    <row r="1241">
      <c r="L1241" s="1346" t="n"/>
    </row>
    <row r="1242">
      <c r="L1242" s="1346" t="n"/>
    </row>
    <row r="1243">
      <c r="L1243" s="1346" t="n"/>
    </row>
    <row r="1244">
      <c r="L1244" s="1346" t="n"/>
    </row>
    <row r="1245">
      <c r="L1245" s="1346" t="n"/>
    </row>
    <row r="1246">
      <c r="L1246" s="1346" t="n"/>
    </row>
    <row r="1247">
      <c r="L1247" s="1346" t="n"/>
    </row>
    <row r="1248">
      <c r="L1248" s="1346" t="n"/>
    </row>
    <row r="1249">
      <c r="L1249" s="1346" t="n"/>
    </row>
    <row r="1250">
      <c r="L1250" s="1346" t="n"/>
    </row>
    <row r="1251">
      <c r="L1251" s="1346" t="n"/>
    </row>
    <row r="1252">
      <c r="L1252" s="1346" t="n"/>
    </row>
    <row r="1253">
      <c r="L1253" s="1346" t="n"/>
    </row>
    <row r="1254">
      <c r="L1254" s="1346" t="n"/>
    </row>
    <row r="1255">
      <c r="L1255" s="1346" t="n"/>
    </row>
    <row r="1256">
      <c r="L1256" s="1346" t="n"/>
    </row>
    <row r="1257">
      <c r="L1257" s="1346" t="n"/>
    </row>
    <row r="1258">
      <c r="L1258" s="1346" t="n"/>
    </row>
    <row r="1259">
      <c r="L1259" s="1346" t="n"/>
    </row>
    <row r="1260">
      <c r="L1260" s="1346" t="n"/>
    </row>
    <row r="1261">
      <c r="L1261" s="1346" t="n"/>
    </row>
    <row r="1262">
      <c r="L1262" s="1346" t="n"/>
    </row>
    <row r="1263">
      <c r="L1263" s="1346" t="n"/>
    </row>
    <row r="1264">
      <c r="L1264" s="1346" t="n"/>
    </row>
    <row r="1265">
      <c r="L1265" s="1346" t="n"/>
    </row>
    <row r="1266">
      <c r="L1266" s="1346" t="n"/>
    </row>
    <row r="1267">
      <c r="L1267" s="1346" t="n"/>
    </row>
    <row r="1268">
      <c r="L1268" s="1346" t="n"/>
    </row>
    <row r="1269">
      <c r="L1269" s="1346" t="n"/>
    </row>
    <row r="1270">
      <c r="L1270" s="1346" t="n"/>
    </row>
    <row r="1271">
      <c r="L1271" s="1346" t="n"/>
    </row>
    <row r="1272">
      <c r="L1272" s="1346" t="n"/>
    </row>
    <row r="1273">
      <c r="L1273" s="1346" t="n"/>
    </row>
    <row r="1274">
      <c r="L1274" s="1346" t="n"/>
    </row>
    <row r="1275">
      <c r="L1275" s="1346" t="n"/>
    </row>
    <row r="1276">
      <c r="L1276" s="1346" t="n"/>
    </row>
    <row r="1277">
      <c r="L1277" s="1346" t="n"/>
    </row>
    <row r="1278">
      <c r="L1278" s="1346" t="n"/>
    </row>
    <row r="1279">
      <c r="L1279" s="1346" t="n"/>
    </row>
    <row r="1280">
      <c r="L1280" s="1346" t="n"/>
    </row>
    <row r="1281">
      <c r="L1281" s="1346" t="n"/>
    </row>
    <row r="1282">
      <c r="L1282" s="1346" t="n"/>
    </row>
    <row r="1283">
      <c r="L1283" s="1346" t="n"/>
    </row>
    <row r="1284">
      <c r="L1284" s="1346" t="n"/>
    </row>
    <row r="1285">
      <c r="L1285" s="1346" t="n"/>
    </row>
    <row r="1286">
      <c r="L1286" s="1346" t="n"/>
    </row>
    <row r="1287">
      <c r="L1287" s="1346" t="n"/>
    </row>
    <row r="1288">
      <c r="L1288" s="1346" t="n"/>
    </row>
    <row r="1289">
      <c r="L1289" s="1346" t="n"/>
    </row>
    <row r="1290">
      <c r="L1290" s="1346" t="n"/>
    </row>
    <row r="1291">
      <c r="L1291" s="1346" t="n"/>
    </row>
    <row r="1292">
      <c r="L1292" s="1346" t="n"/>
    </row>
    <row r="1293">
      <c r="L1293" s="1346" t="n"/>
    </row>
    <row r="1294">
      <c r="L1294" s="1346" t="n"/>
    </row>
    <row r="1295">
      <c r="L1295" s="1346" t="n"/>
    </row>
    <row r="1296">
      <c r="L1296" s="1346" t="n"/>
    </row>
    <row r="1297">
      <c r="L1297" s="1346" t="n"/>
    </row>
    <row r="1298">
      <c r="L1298" s="1346" t="n"/>
    </row>
    <row r="1299">
      <c r="L1299" s="1346" t="n"/>
    </row>
    <row r="1300">
      <c r="L1300" s="1346" t="n"/>
    </row>
    <row r="1301">
      <c r="L1301" s="1346" t="n"/>
    </row>
    <row r="1302">
      <c r="L1302" s="1346" t="n"/>
    </row>
    <row r="1303">
      <c r="L1303" s="1346" t="n"/>
    </row>
    <row r="1304">
      <c r="L1304" s="1346" t="n"/>
    </row>
    <row r="1305">
      <c r="L1305" s="1346" t="n"/>
    </row>
    <row r="1306">
      <c r="L1306" s="1346" t="n"/>
    </row>
    <row r="1307">
      <c r="L1307" s="1346" t="n"/>
    </row>
    <row r="1308">
      <c r="L1308" s="1346" t="n"/>
    </row>
    <row r="1309">
      <c r="L1309" s="1346" t="n"/>
    </row>
    <row r="1310">
      <c r="L1310" s="1346" t="n"/>
    </row>
    <row r="1311">
      <c r="L1311" s="1346" t="n"/>
    </row>
    <row r="1312">
      <c r="L1312" s="1346" t="n"/>
    </row>
    <row r="1313">
      <c r="L1313" s="1346" t="n"/>
    </row>
    <row r="1314">
      <c r="L1314" s="1346" t="n"/>
    </row>
    <row r="1315">
      <c r="L1315" s="1346" t="n"/>
    </row>
    <row r="1316">
      <c r="L1316" s="1346" t="n"/>
    </row>
    <row r="1317">
      <c r="L1317" s="1346" t="n"/>
    </row>
    <row r="1318">
      <c r="L1318" s="1346" t="n"/>
    </row>
    <row r="1319">
      <c r="L1319" s="1346" t="n"/>
    </row>
    <row r="1320">
      <c r="L1320" s="1346" t="n"/>
    </row>
    <row r="1321">
      <c r="L1321" s="1346" t="n"/>
    </row>
    <row r="1322">
      <c r="L1322" s="1346" t="n"/>
    </row>
    <row r="1323">
      <c r="L1323" s="1346" t="n"/>
    </row>
    <row r="1324">
      <c r="L1324" s="1346" t="n"/>
    </row>
    <row r="1325">
      <c r="L1325" s="1346" t="n"/>
    </row>
    <row r="1326">
      <c r="L1326" s="1346" t="n"/>
    </row>
    <row r="1327">
      <c r="L1327" s="1346" t="n"/>
    </row>
    <row r="1328">
      <c r="L1328" s="1346" t="n"/>
    </row>
    <row r="1329">
      <c r="L1329" s="1346" t="n"/>
    </row>
    <row r="1330">
      <c r="L1330" s="1346" t="n"/>
    </row>
    <row r="1331">
      <c r="L1331" s="1346" t="n"/>
    </row>
    <row r="1332">
      <c r="L1332" s="1346" t="n"/>
    </row>
    <row r="1333">
      <c r="L1333" s="1346" t="n"/>
    </row>
    <row r="1334">
      <c r="L1334" s="1346" t="n"/>
    </row>
    <row r="1335">
      <c r="L1335" s="1346" t="n"/>
    </row>
    <row r="1336">
      <c r="L1336" s="1346" t="n"/>
    </row>
    <row r="1337">
      <c r="L1337" s="1346" t="n"/>
    </row>
    <row r="1338">
      <c r="L1338" s="1346" t="n"/>
    </row>
    <row r="1339">
      <c r="L1339" s="1346" t="n"/>
    </row>
    <row r="1340">
      <c r="L1340" s="1346" t="n"/>
    </row>
    <row r="1341">
      <c r="L1341" s="1346" t="n"/>
    </row>
    <row r="1342">
      <c r="L1342" s="1346" t="n"/>
    </row>
    <row r="1343">
      <c r="L1343" s="1346" t="n"/>
    </row>
    <row r="1344">
      <c r="L1344" s="1346" t="n"/>
    </row>
    <row r="1345">
      <c r="L1345" s="1346" t="n"/>
    </row>
    <row r="1346">
      <c r="L1346" s="1346" t="n"/>
    </row>
    <row r="1347">
      <c r="L1347" s="1346" t="n"/>
    </row>
    <row r="1348">
      <c r="L1348" s="1346" t="n"/>
    </row>
    <row r="1349">
      <c r="L1349" s="1346" t="n"/>
    </row>
    <row r="1350">
      <c r="L1350" s="1346" t="n"/>
    </row>
    <row r="1351">
      <c r="L1351" s="1346" t="n"/>
    </row>
    <row r="1352">
      <c r="L1352" s="1346" t="n"/>
    </row>
    <row r="1353">
      <c r="L1353" s="1346" t="n"/>
    </row>
    <row r="1354">
      <c r="L1354" s="1346" t="n"/>
    </row>
    <row r="1355">
      <c r="L1355" s="1346" t="n"/>
    </row>
    <row r="1356">
      <c r="L1356" s="1346" t="n"/>
    </row>
    <row r="1357">
      <c r="L1357" s="1346" t="n"/>
    </row>
    <row r="1358">
      <c r="L1358" s="1346" t="n"/>
    </row>
    <row r="1359">
      <c r="L1359" s="1346" t="n"/>
    </row>
    <row r="1360">
      <c r="L1360" s="1346" t="n"/>
    </row>
    <row r="1361">
      <c r="L1361" s="1346" t="n"/>
    </row>
    <row r="1362">
      <c r="L1362" s="1346" t="n"/>
    </row>
    <row r="1363">
      <c r="L1363" s="1346" t="n"/>
    </row>
    <row r="1364">
      <c r="L1364" s="1346" t="n"/>
    </row>
    <row r="1365">
      <c r="L1365" s="1346" t="n"/>
    </row>
    <row r="1366">
      <c r="L1366" s="1346" t="n"/>
    </row>
    <row r="1367">
      <c r="L1367" s="1346" t="n"/>
    </row>
    <row r="1368">
      <c r="L1368" s="1346" t="n"/>
    </row>
    <row r="1369">
      <c r="L1369" s="1346" t="n"/>
    </row>
    <row r="1370">
      <c r="L1370" s="1346" t="n"/>
    </row>
    <row r="1371">
      <c r="L1371" s="1346" t="n"/>
    </row>
    <row r="1372">
      <c r="L1372" s="1346" t="n"/>
    </row>
    <row r="1373">
      <c r="L1373" s="1346" t="n"/>
    </row>
    <row r="1374">
      <c r="L1374" s="1346" t="n"/>
    </row>
    <row r="1375">
      <c r="L1375" s="1346" t="n"/>
    </row>
    <row r="1376">
      <c r="L1376" s="1346" t="n"/>
    </row>
    <row r="1377">
      <c r="L1377" s="1346" t="n"/>
    </row>
    <row r="1378">
      <c r="L1378" s="1346" t="n"/>
    </row>
    <row r="1379">
      <c r="L1379" s="1346" t="n"/>
    </row>
    <row r="1380">
      <c r="L1380" s="1346" t="n"/>
    </row>
    <row r="1381">
      <c r="L1381" s="1346" t="n"/>
    </row>
    <row r="1382">
      <c r="L1382" s="1346" t="n"/>
    </row>
    <row r="1383">
      <c r="L1383" s="1346" t="n"/>
    </row>
    <row r="1384">
      <c r="L1384" s="1346" t="n"/>
    </row>
    <row r="1385">
      <c r="L1385" s="1346" t="n"/>
    </row>
    <row r="1386">
      <c r="L1386" s="1346" t="n"/>
    </row>
    <row r="1387">
      <c r="L1387" s="1346" t="n"/>
    </row>
    <row r="1388">
      <c r="L1388" s="1346" t="n"/>
    </row>
    <row r="1389">
      <c r="L1389" s="1346" t="n"/>
    </row>
    <row r="1390">
      <c r="L1390" s="1346" t="n"/>
    </row>
    <row r="1391">
      <c r="L1391" s="1346" t="n"/>
    </row>
    <row r="1392">
      <c r="L1392" s="1346" t="n"/>
    </row>
    <row r="1393">
      <c r="L1393" s="1346" t="n"/>
    </row>
    <row r="1394">
      <c r="L1394" s="1346" t="n"/>
    </row>
    <row r="1395">
      <c r="L1395" s="1346" t="n"/>
    </row>
    <row r="1396">
      <c r="L1396" s="1346" t="n"/>
    </row>
    <row r="1397">
      <c r="L1397" s="1346" t="n"/>
    </row>
    <row r="1398">
      <c r="L1398" s="1346" t="n"/>
    </row>
    <row r="1399">
      <c r="L1399" s="1346" t="n"/>
    </row>
    <row r="1400">
      <c r="L1400" s="1346" t="n"/>
    </row>
    <row r="1401">
      <c r="L1401" s="1346" t="n"/>
    </row>
    <row r="1402">
      <c r="L1402" s="1346" t="n"/>
    </row>
    <row r="1403">
      <c r="L1403" s="1346" t="n"/>
    </row>
    <row r="1404">
      <c r="L1404" s="1346" t="n"/>
    </row>
    <row r="1405">
      <c r="L1405" s="1346" t="n"/>
    </row>
    <row r="1406">
      <c r="L1406" s="1346" t="n"/>
    </row>
    <row r="1407">
      <c r="L1407" s="1346" t="n"/>
    </row>
    <row r="1408">
      <c r="L1408" s="1346" t="n"/>
    </row>
    <row r="1409">
      <c r="L1409" s="1346" t="n"/>
    </row>
    <row r="1410">
      <c r="L1410" s="1346" t="n"/>
    </row>
    <row r="1411">
      <c r="L1411" s="1346" t="n"/>
    </row>
    <row r="1412">
      <c r="L1412" s="1346" t="n"/>
    </row>
    <row r="1413">
      <c r="L1413" s="1346" t="n"/>
    </row>
    <row r="1414">
      <c r="L1414" s="1346" t="n"/>
    </row>
    <row r="1415">
      <c r="L1415" s="1346" t="n"/>
    </row>
    <row r="1416">
      <c r="L1416" s="1346" t="n"/>
    </row>
    <row r="1417">
      <c r="L1417" s="1346" t="n"/>
    </row>
    <row r="1418">
      <c r="L1418" s="1346" t="n"/>
    </row>
    <row r="1419">
      <c r="L1419" s="1346" t="n"/>
    </row>
    <row r="1420">
      <c r="L1420" s="1346" t="n"/>
    </row>
    <row r="1421">
      <c r="L1421" s="1346" t="n"/>
    </row>
    <row r="1422">
      <c r="L1422" s="1346" t="n"/>
    </row>
    <row r="1423">
      <c r="L1423" s="1346" t="n"/>
    </row>
    <row r="1424">
      <c r="L1424" s="1346" t="n"/>
    </row>
    <row r="1425">
      <c r="L1425" s="1346" t="n"/>
    </row>
    <row r="1426">
      <c r="L1426" s="1346" t="n"/>
    </row>
    <row r="1427">
      <c r="L1427" s="1346" t="n"/>
    </row>
    <row r="1428">
      <c r="L1428" s="1346" t="n"/>
    </row>
    <row r="1429">
      <c r="L1429" s="1346" t="n"/>
    </row>
    <row r="1430">
      <c r="L1430" s="1346" t="n"/>
    </row>
    <row r="1431">
      <c r="L1431" s="1346" t="n"/>
    </row>
    <row r="1432">
      <c r="L1432" s="1346" t="n"/>
    </row>
    <row r="1433">
      <c r="L1433" s="1346" t="n"/>
    </row>
    <row r="1434">
      <c r="L1434" s="1346" t="n"/>
    </row>
    <row r="1435">
      <c r="L1435" s="1346" t="n"/>
    </row>
    <row r="1436">
      <c r="L1436" s="1346" t="n"/>
    </row>
    <row r="1437">
      <c r="L1437" s="1346" t="n"/>
    </row>
    <row r="1438">
      <c r="L1438" s="1346" t="n"/>
    </row>
    <row r="1439">
      <c r="L1439" s="1346" t="n"/>
    </row>
    <row r="1440">
      <c r="L1440" s="1346" t="n"/>
    </row>
    <row r="1441">
      <c r="L1441" s="1346" t="n"/>
    </row>
    <row r="1442">
      <c r="L1442" s="1346" t="n"/>
    </row>
    <row r="1443">
      <c r="L1443" s="1346" t="n"/>
    </row>
    <row r="1444">
      <c r="L1444" s="1346" t="n"/>
    </row>
    <row r="1445">
      <c r="L1445" s="1346" t="n"/>
    </row>
    <row r="1446">
      <c r="L1446" s="1346" t="n"/>
    </row>
    <row r="1447">
      <c r="L1447" s="1346" t="n"/>
    </row>
    <row r="1448">
      <c r="L1448" s="1346" t="n"/>
    </row>
    <row r="1449">
      <c r="L1449" s="1346" t="n"/>
    </row>
    <row r="1450">
      <c r="L1450" s="1346" t="n"/>
    </row>
    <row r="1451">
      <c r="L1451" s="1346" t="n"/>
    </row>
    <row r="1452">
      <c r="L1452" s="1346" t="n"/>
    </row>
    <row r="1453">
      <c r="L1453" s="1346" t="n"/>
    </row>
    <row r="1454">
      <c r="L1454" s="1346" t="n"/>
    </row>
    <row r="1455">
      <c r="L1455" s="1346" t="n"/>
    </row>
    <row r="1456">
      <c r="L1456" s="1346" t="n"/>
    </row>
    <row r="1457">
      <c r="L1457" s="1346" t="n"/>
    </row>
    <row r="1458">
      <c r="L1458" s="1346" t="n"/>
    </row>
    <row r="1459">
      <c r="L1459" s="1346" t="n"/>
    </row>
    <row r="1460">
      <c r="L1460" s="1346" t="n"/>
    </row>
    <row r="1461">
      <c r="L1461" s="1346" t="n"/>
    </row>
    <row r="1462">
      <c r="L1462" s="1346" t="n"/>
    </row>
    <row r="1463">
      <c r="L1463" s="1346" t="n"/>
    </row>
    <row r="1464">
      <c r="L1464" s="1346" t="n"/>
    </row>
    <row r="1465">
      <c r="L1465" s="1346" t="n"/>
    </row>
    <row r="1466">
      <c r="L1466" s="1346" t="n"/>
    </row>
    <row r="1467">
      <c r="L1467" s="1346" t="n"/>
    </row>
    <row r="1468">
      <c r="L1468" s="1346" t="n"/>
    </row>
    <row r="1469">
      <c r="L1469" s="1346" t="n"/>
    </row>
    <row r="1470">
      <c r="L1470" s="1346" t="n"/>
    </row>
    <row r="1471">
      <c r="L1471" s="1346" t="n"/>
    </row>
    <row r="1472">
      <c r="L1472" s="1346" t="n"/>
    </row>
    <row r="1473">
      <c r="L1473" s="1346" t="n"/>
    </row>
    <row r="1474">
      <c r="L1474" s="1346" t="n"/>
    </row>
    <row r="1475">
      <c r="L1475" s="1346" t="n"/>
    </row>
    <row r="1476">
      <c r="L1476" s="1346" t="n"/>
    </row>
    <row r="1477">
      <c r="L1477" s="1346" t="n"/>
    </row>
    <row r="1478">
      <c r="L1478" s="1346" t="n"/>
    </row>
    <row r="1479">
      <c r="L1479" s="1346" t="n"/>
    </row>
    <row r="1480">
      <c r="L1480" s="1346" t="n"/>
    </row>
    <row r="1481">
      <c r="L1481" s="1346" t="n"/>
    </row>
    <row r="1482">
      <c r="L1482" s="1346" t="n"/>
    </row>
    <row r="1483">
      <c r="L1483" s="1346" t="n"/>
    </row>
    <row r="1484">
      <c r="L1484" s="1346" t="n"/>
    </row>
    <row r="1485">
      <c r="L1485" s="1346" t="n"/>
    </row>
    <row r="1486">
      <c r="L1486" s="1346" t="n"/>
    </row>
    <row r="1487">
      <c r="L1487" s="1346" t="n"/>
    </row>
    <row r="1488">
      <c r="L1488" s="1346" t="n"/>
    </row>
    <row r="1489">
      <c r="L1489" s="1346" t="n"/>
    </row>
    <row r="1490">
      <c r="L1490" s="1346" t="n"/>
    </row>
    <row r="1491">
      <c r="L1491" s="1346" t="n"/>
    </row>
    <row r="1492">
      <c r="L1492" s="1346" t="n"/>
    </row>
    <row r="1493">
      <c r="L1493" s="1346" t="n"/>
    </row>
    <row r="1494">
      <c r="L1494" s="1346" t="n"/>
    </row>
    <row r="1495">
      <c r="L1495" s="1346" t="n"/>
    </row>
    <row r="1496">
      <c r="L1496" s="1346" t="n"/>
    </row>
    <row r="1497">
      <c r="L1497" s="1346" t="n"/>
    </row>
    <row r="1498">
      <c r="L1498" s="1346" t="n"/>
    </row>
  </sheetData>
  <autoFilter ref="A1:V1"/>
  <pageMargins left="0" right="0" top="0.7480314960629921" bottom="0.7480314960629921" header="0.3149606299212598" footer="0.3149606299212598"/>
  <pageSetup orientation="landscape" scale="7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AC50"/>
  <sheetViews>
    <sheetView view="pageBreakPreview" topLeftCell="P34" zoomScale="111" zoomScaleNormal="90" zoomScaleSheetLayoutView="80" workbookViewId="0">
      <selection activeCell="AB37" sqref="AB37:AB43"/>
    </sheetView>
  </sheetViews>
  <sheetFormatPr baseColWidth="10" defaultColWidth="11.44140625" defaultRowHeight="15.9" customHeight="1" outlineLevelRow="2"/>
  <cols>
    <col width="14.44140625" customWidth="1" style="893" min="1" max="1"/>
    <col width="11.33203125" customWidth="1" style="893" min="2" max="2"/>
    <col width="15.88671875" customWidth="1" style="893" min="3" max="3"/>
    <col width="15.6640625" customWidth="1" style="893" min="4" max="4"/>
    <col width="12.6640625" customWidth="1" style="893" min="5" max="5"/>
    <col width="12.44140625" customWidth="1" style="893" min="6" max="6"/>
    <col hidden="1" width="11.44140625" customWidth="1" style="893" min="7" max="8"/>
    <col width="10.109375" customWidth="1" style="893" min="9" max="9"/>
    <col width="11.44140625" customWidth="1" style="896" min="10" max="11"/>
    <col width="12.109375" customWidth="1" style="893" min="12" max="12"/>
    <col width="16.33203125" customWidth="1" style="893" min="13" max="13"/>
    <col width="11.44140625" customWidth="1" style="893" min="14" max="16"/>
    <col hidden="1" width="11.44140625" customWidth="1" style="893" min="17" max="17"/>
    <col width="11.44140625" customWidth="1" style="801" min="18" max="21"/>
    <col width="13.6640625" customWidth="1" style="801" min="22" max="22"/>
    <col width="11.44140625" customWidth="1" style="801" min="23" max="25"/>
    <col width="14.44140625" customWidth="1" style="801" min="26" max="26"/>
    <col width="14.33203125" customWidth="1" style="897" min="27" max="27"/>
    <col width="15.88671875" customWidth="1" style="897" min="28" max="28"/>
    <col width="11.44140625" customWidth="1" style="801" min="29" max="29"/>
    <col width="11.44140625" customWidth="1" style="801" min="30" max="16384"/>
  </cols>
  <sheetData>
    <row r="1" ht="15.9" customHeight="1">
      <c r="C1" s="801" t="inlineStr">
        <is>
          <t>USD</t>
        </is>
      </c>
      <c r="D1" s="801">
        <f>PORTADA!H9</f>
        <v/>
      </c>
      <c r="E1" s="801" t="n"/>
      <c r="F1" s="801" t="n"/>
      <c r="G1" s="801" t="n"/>
      <c r="K1" s="801" t="n"/>
      <c r="L1" s="897" t="n"/>
    </row>
    <row r="2" ht="15.9" customHeight="1">
      <c r="C2" s="801" t="n"/>
      <c r="D2" s="801" t="n"/>
      <c r="E2" s="801" t="n"/>
      <c r="F2" s="801" t="n"/>
      <c r="G2" s="801" t="n"/>
    </row>
    <row r="3" ht="15.9" customHeight="1">
      <c r="C3" s="801" t="inlineStr">
        <is>
          <t>Especie</t>
        </is>
      </c>
      <c r="D3" s="896" t="inlineStr">
        <is>
          <t>Opex Año</t>
        </is>
      </c>
      <c r="E3" s="896" t="inlineStr">
        <is>
          <t>Costo Planta</t>
        </is>
      </c>
      <c r="F3" s="898" t="inlineStr">
        <is>
          <t>Años Opex</t>
        </is>
      </c>
      <c r="G3" s="898" t="inlineStr">
        <is>
          <t>Plantación</t>
        </is>
      </c>
      <c r="H3" s="893" t="inlineStr">
        <is>
          <t>Prep Suelo</t>
        </is>
      </c>
      <c r="U3" s="898" t="n"/>
    </row>
    <row r="4" ht="15.9" customHeight="1">
      <c r="C4" s="801" t="inlineStr">
        <is>
          <t>Cerezo</t>
        </is>
      </c>
      <c r="D4" s="893" t="n">
        <v>2500</v>
      </c>
      <c r="E4" s="1360">
        <f>ROUNDUP(4000/$D$1,1)</f>
        <v/>
      </c>
      <c r="F4" s="900" t="n">
        <v>3</v>
      </c>
      <c r="G4" s="893" t="n">
        <v>0.25</v>
      </c>
      <c r="H4" s="893" t="n">
        <v>1000</v>
      </c>
      <c r="U4" s="1361" t="n"/>
    </row>
    <row r="5" ht="15.9" customHeight="1">
      <c r="C5" s="801" t="inlineStr">
        <is>
          <t>Ciruelo</t>
        </is>
      </c>
      <c r="D5" s="893" t="n">
        <v>2000</v>
      </c>
      <c r="E5" s="1360">
        <f>ROUNDUP(4000/$D$1,1)</f>
        <v/>
      </c>
      <c r="F5" s="900" t="n">
        <v>3</v>
      </c>
      <c r="G5" s="893" t="n">
        <v>0.25</v>
      </c>
      <c r="H5" s="893" t="n">
        <v>1000</v>
      </c>
      <c r="U5" s="1361" t="n"/>
    </row>
    <row r="6" ht="15.9" customHeight="1">
      <c r="C6" s="801" t="inlineStr">
        <is>
          <t>Avellano</t>
        </is>
      </c>
      <c r="D6" s="893" t="n">
        <v>1350</v>
      </c>
      <c r="E6" s="1360">
        <f>ROUNDUP(2700/$D$1,1)</f>
        <v/>
      </c>
      <c r="F6" s="900" t="n">
        <v>4</v>
      </c>
      <c r="G6" s="902" t="n">
        <v>0.2</v>
      </c>
      <c r="H6" s="893" t="n">
        <v>1500</v>
      </c>
      <c r="U6" s="1361" t="n"/>
    </row>
    <row r="7" ht="15.9" customHeight="1">
      <c r="C7" s="801" t="inlineStr">
        <is>
          <t>Manzano</t>
        </is>
      </c>
      <c r="D7" s="893" t="n">
        <v>2000</v>
      </c>
      <c r="E7" s="1360">
        <f>ROUNDUP(4000/$D$1,1)</f>
        <v/>
      </c>
      <c r="F7" s="900" t="n">
        <v>3</v>
      </c>
      <c r="G7" s="893" t="n">
        <v>0.25</v>
      </c>
      <c r="H7" s="893" t="n">
        <v>1000</v>
      </c>
      <c r="U7" s="1361" t="n"/>
    </row>
    <row r="8" ht="15.9" customHeight="1">
      <c r="C8" s="801" t="inlineStr">
        <is>
          <t>Peral</t>
        </is>
      </c>
      <c r="D8" s="893" t="n">
        <v>2000</v>
      </c>
      <c r="E8" s="1360" t="n">
        <v>5</v>
      </c>
      <c r="F8" s="900" t="n">
        <v>3</v>
      </c>
      <c r="G8" s="893" t="n">
        <v>0.25</v>
      </c>
      <c r="H8" s="893" t="n">
        <v>1000</v>
      </c>
      <c r="U8" s="1361" t="n"/>
    </row>
    <row r="9" ht="15.9" customHeight="1">
      <c r="C9" s="801" t="inlineStr">
        <is>
          <t>Nogal</t>
        </is>
      </c>
      <c r="D9" s="893" t="n">
        <v>2200</v>
      </c>
      <c r="E9" s="1360">
        <f>ROUNDUP(6000/$D$1,1)</f>
        <v/>
      </c>
      <c r="F9" s="900" t="n">
        <v>3</v>
      </c>
      <c r="G9" s="893" t="n">
        <v>0.25</v>
      </c>
      <c r="H9" s="893" t="n">
        <v>1000</v>
      </c>
      <c r="U9" s="1361" t="n"/>
    </row>
    <row r="10" ht="15.9" customHeight="1">
      <c r="C10" s="801" t="inlineStr">
        <is>
          <t>Vid Vinifera</t>
        </is>
      </c>
      <c r="D10" s="893" t="n">
        <v>1000</v>
      </c>
      <c r="E10" s="1360">
        <f>ROUNDDOWN(900/$D$1,1)</f>
        <v/>
      </c>
      <c r="F10" s="900" t="n">
        <v>2</v>
      </c>
      <c r="G10" s="893" t="n">
        <v>0.1</v>
      </c>
      <c r="H10" s="893" t="n">
        <v>700</v>
      </c>
      <c r="U10" s="1361" t="n"/>
    </row>
    <row r="11" ht="15.9" customHeight="1">
      <c r="C11" s="801" t="inlineStr">
        <is>
          <t>Kiwi</t>
        </is>
      </c>
      <c r="D11" s="893" t="n">
        <v>2000</v>
      </c>
      <c r="E11" s="1360">
        <f>ROUNDUP(4000/$D$1,1)</f>
        <v/>
      </c>
      <c r="F11" s="900" t="n">
        <v>2</v>
      </c>
      <c r="G11" s="893" t="n">
        <v>0.25</v>
      </c>
      <c r="H11" s="893" t="n">
        <v>1000</v>
      </c>
      <c r="U11" s="1361" t="n"/>
    </row>
    <row r="12" ht="15.9" customHeight="1">
      <c r="C12" s="801" t="inlineStr">
        <is>
          <t>Palto convencional</t>
        </is>
      </c>
      <c r="D12" s="893" t="n">
        <v>2800</v>
      </c>
      <c r="E12" s="1360" t="n">
        <v>5</v>
      </c>
      <c r="F12" s="900" t="n">
        <v>4</v>
      </c>
      <c r="G12" s="893" t="n">
        <v>0.25</v>
      </c>
      <c r="H12" s="893" t="n">
        <v>2500</v>
      </c>
      <c r="U12" s="1361" t="n"/>
    </row>
    <row r="13" ht="15.9" customHeight="1">
      <c r="C13" s="801" t="inlineStr">
        <is>
          <t>Palto Clonal</t>
        </is>
      </c>
      <c r="D13" s="893" t="n">
        <v>2800</v>
      </c>
      <c r="E13" s="1360" t="n">
        <v>14</v>
      </c>
      <c r="F13" s="900" t="n">
        <v>4</v>
      </c>
      <c r="G13" s="893" t="n">
        <v>0.25</v>
      </c>
      <c r="H13" s="893" t="n">
        <v>2500</v>
      </c>
      <c r="U13" s="1361" t="n"/>
    </row>
    <row r="14" ht="15.9" customHeight="1">
      <c r="C14" s="801" t="inlineStr">
        <is>
          <t>Uva de mesa</t>
        </is>
      </c>
      <c r="D14" s="893" t="n">
        <v>2500</v>
      </c>
      <c r="E14" s="893" t="n">
        <v>1.3</v>
      </c>
      <c r="F14" s="893" t="n">
        <v>2</v>
      </c>
      <c r="G14" s="893" t="n">
        <v>0.15</v>
      </c>
      <c r="H14" s="893" t="n">
        <v>1000</v>
      </c>
      <c r="N14" s="801" t="n"/>
      <c r="O14" s="801" t="n"/>
      <c r="P14" s="801" t="n"/>
      <c r="Q14" s="801" t="n"/>
    </row>
    <row r="15" ht="15.9" customHeight="1">
      <c r="C15" s="801" t="inlineStr">
        <is>
          <t>Uva de mesa®</t>
        </is>
      </c>
      <c r="D15" s="893" t="n">
        <v>2500</v>
      </c>
      <c r="E15" s="893" t="n">
        <v>2.5</v>
      </c>
      <c r="F15" s="893" t="n">
        <v>2</v>
      </c>
      <c r="G15" s="893" t="n">
        <v>0.15</v>
      </c>
      <c r="H15" s="893" t="n">
        <v>1000</v>
      </c>
      <c r="N15" s="801" t="n"/>
      <c r="O15" s="801" t="n"/>
      <c r="P15" s="801" t="n"/>
      <c r="Q15" s="801" t="n"/>
    </row>
    <row r="18" ht="15.9" customHeight="1">
      <c r="C18" s="903" t="n"/>
      <c r="D18" s="801" t="n"/>
    </row>
    <row r="19" ht="15.9" customHeight="1">
      <c r="C19" s="801" t="n"/>
      <c r="D19" s="801" t="n"/>
    </row>
    <row r="20" ht="15.9" customHeight="1">
      <c r="C20" s="801" t="n"/>
      <c r="D20" s="801" t="n"/>
    </row>
    <row r="21" ht="15.9" customHeight="1">
      <c r="C21" s="801" t="n"/>
      <c r="D21" s="801" t="n"/>
    </row>
    <row r="22" ht="15.9" customHeight="1">
      <c r="C22" s="904" t="n"/>
      <c r="D22" s="905" t="n"/>
    </row>
    <row r="23" ht="15.9" customHeight="1">
      <c r="C23" s="801" t="n"/>
      <c r="D23" s="801" t="n"/>
    </row>
    <row r="24" ht="15.9" customHeight="1">
      <c r="C24" s="801" t="n"/>
      <c r="D24" s="801" t="n"/>
    </row>
    <row r="27" ht="15.9" customHeight="1">
      <c r="C27" s="903" t="inlineStr">
        <is>
          <t>Estructura</t>
        </is>
      </c>
      <c r="D27" s="893" t="inlineStr">
        <is>
          <t>USD/estruc</t>
        </is>
      </c>
    </row>
    <row r="28" ht="15.9" customHeight="1">
      <c r="C28" s="801" t="inlineStr">
        <is>
          <t>Parron estándar</t>
        </is>
      </c>
      <c r="D28" s="893" t="n">
        <v>7000</v>
      </c>
    </row>
    <row r="29" ht="15.9" customHeight="1">
      <c r="C29" s="801" t="inlineStr">
        <is>
          <t>Open Gable</t>
        </is>
      </c>
      <c r="D29" s="893" t="n">
        <v>10000</v>
      </c>
    </row>
    <row r="30" ht="15.9" customHeight="1">
      <c r="C30" s="801" t="inlineStr">
        <is>
          <t>Espaldera</t>
        </is>
      </c>
      <c r="D30" s="893" t="n">
        <v>3500</v>
      </c>
    </row>
    <row r="31" ht="15.9" customHeight="1">
      <c r="C31" s="801" t="inlineStr">
        <is>
          <t>Alambrado Tutor</t>
        </is>
      </c>
      <c r="D31" s="893" t="n">
        <v>1500</v>
      </c>
    </row>
    <row r="32" ht="15.9" customHeight="1">
      <c r="C32" s="801" t="inlineStr">
        <is>
          <t>No</t>
        </is>
      </c>
      <c r="D32" s="893" t="n">
        <v>0</v>
      </c>
    </row>
    <row r="35" ht="15.9" customHeight="1" thickBot="1"/>
    <row r="36" ht="48" customHeight="1" thickBot="1">
      <c r="A36" s="906" t="inlineStr">
        <is>
          <t>Predio</t>
        </is>
      </c>
      <c r="B36" s="906" t="inlineStr">
        <is>
          <t>ROL</t>
        </is>
      </c>
      <c r="C36" s="906" t="inlineStr">
        <is>
          <t>Especie</t>
        </is>
      </c>
      <c r="D36" s="907" t="inlineStr">
        <is>
          <t>Variedad</t>
        </is>
      </c>
      <c r="E36" s="906" t="inlineStr">
        <is>
          <t>Conducción</t>
        </is>
      </c>
      <c r="F36" s="907" t="inlineStr">
        <is>
          <t>Año Plantación</t>
        </is>
      </c>
      <c r="G36" s="1362" t="inlineStr">
        <is>
          <t>eh
(m)</t>
        </is>
      </c>
      <c r="H36" s="1362" t="inlineStr">
        <is>
          <t>sh
(m)</t>
        </is>
      </c>
      <c r="I36" s="907" t="inlineStr">
        <is>
          <t>Plantas x ha</t>
        </is>
      </c>
      <c r="J36" s="909" t="inlineStr">
        <is>
          <t>Superf. Plantada
ha</t>
        </is>
      </c>
      <c r="K36" s="909" t="inlineStr">
        <is>
          <t>SUPERF CON RIEGO</t>
        </is>
      </c>
      <c r="L36" s="1363" t="inlineStr">
        <is>
          <t>Estructura</t>
        </is>
      </c>
      <c r="M36" s="1363" t="inlineStr">
        <is>
          <t>Riego</t>
        </is>
      </c>
      <c r="N36" s="907" t="inlineStr">
        <is>
          <t>Valor Planta</t>
        </is>
      </c>
      <c r="O36" s="909" t="inlineStr">
        <is>
          <t>Costo Plantación</t>
        </is>
      </c>
      <c r="P36" s="909" t="inlineStr">
        <is>
          <t>Preparación suelo</t>
        </is>
      </c>
      <c r="Q36" s="909" t="inlineStr">
        <is>
          <t>Costo Estructura</t>
        </is>
      </c>
      <c r="R36" s="907" t="inlineStr">
        <is>
          <t>Edad (años)</t>
        </is>
      </c>
      <c r="S36" s="907" t="inlineStr">
        <is>
          <t>Años Opex</t>
        </is>
      </c>
      <c r="T36" s="909" t="inlineStr">
        <is>
          <t>Opex a considerar</t>
        </is>
      </c>
      <c r="U36" s="907" t="inlineStr">
        <is>
          <t>Capex/año</t>
        </is>
      </c>
      <c r="V36" s="907" t="inlineStr">
        <is>
          <t>Capex Total</t>
        </is>
      </c>
      <c r="W36" s="909" t="inlineStr">
        <is>
          <t>Costo Reposición
/ha</t>
        </is>
      </c>
      <c r="X36" s="911" t="inlineStr">
        <is>
          <t>% CASTIGO</t>
        </is>
      </c>
      <c r="Y36" s="911" t="inlineStr">
        <is>
          <t>Valor Ajustado/ha</t>
        </is>
      </c>
      <c r="Z36" s="909" t="inlineStr">
        <is>
          <t>VALOR TOTAL USD</t>
        </is>
      </c>
      <c r="AA36" s="912" t="inlineStr">
        <is>
          <t>VALOR Ch$/ha</t>
        </is>
      </c>
      <c r="AB36" s="912" t="inlineStr">
        <is>
          <t>VALOR TOTAL $</t>
        </is>
      </c>
    </row>
    <row r="37" outlineLevel="2" ht="15.9" customHeight="1">
      <c r="A37" s="913" t="n"/>
      <c r="B37" s="913" t="n"/>
      <c r="C37" s="913" t="n"/>
      <c r="D37" s="913" t="n"/>
      <c r="E37" s="913" t="n"/>
      <c r="F37" s="914" t="n"/>
      <c r="G37" s="913" t="n"/>
      <c r="H37" s="913" t="n"/>
      <c r="I37" s="724" t="n"/>
      <c r="J37" s="915" t="n"/>
      <c r="K37" s="916" t="n"/>
      <c r="L37" s="1364" t="n"/>
      <c r="M37" s="913" t="n"/>
      <c r="N37" s="1365" t="n"/>
      <c r="O37" s="1366" t="n"/>
      <c r="P37" s="1367" t="n"/>
      <c r="Q37" s="1367" t="n"/>
      <c r="R37" s="913" t="n"/>
      <c r="S37" s="921" t="n"/>
      <c r="T37" s="913" t="n"/>
      <c r="U37" s="1368" t="n"/>
      <c r="V37" s="1369" t="n"/>
      <c r="W37" s="1370" t="n"/>
      <c r="X37" s="925" t="n"/>
      <c r="Y37" s="1371" t="n"/>
      <c r="Z37" s="1371" t="n"/>
      <c r="AA37" s="1372" t="n"/>
      <c r="AB37" s="1373" t="n"/>
      <c r="AC37" s="1374" t="n"/>
    </row>
    <row r="38" outlineLevel="2" ht="15.9" customHeight="1">
      <c r="A38" s="913" t="n"/>
      <c r="B38" s="913" t="n"/>
      <c r="C38" s="913" t="n"/>
      <c r="D38" s="921" t="n"/>
      <c r="E38" s="913" t="n"/>
      <c r="F38" s="930" t="n"/>
      <c r="G38" s="921" t="n"/>
      <c r="H38" s="921" t="n"/>
      <c r="I38" s="730" t="n"/>
      <c r="J38" s="931" t="n"/>
      <c r="K38" s="916" t="n"/>
      <c r="L38" s="1364" t="n"/>
      <c r="M38" s="913" t="n"/>
      <c r="N38" s="1365" t="n"/>
      <c r="O38" s="1366" t="n"/>
      <c r="P38" s="1367" t="n"/>
      <c r="Q38" s="1367" t="n"/>
      <c r="R38" s="913" t="n"/>
      <c r="S38" s="921" t="n"/>
      <c r="T38" s="913" t="n"/>
      <c r="U38" s="1368" t="n"/>
      <c r="V38" s="1369" t="n"/>
      <c r="W38" s="1370" t="n"/>
      <c r="X38" s="925" t="n"/>
      <c r="Y38" s="1371" t="n"/>
      <c r="Z38" s="1371" t="n"/>
      <c r="AA38" s="1372" t="n"/>
      <c r="AB38" s="1373" t="n"/>
      <c r="AC38" s="1374" t="n"/>
    </row>
    <row r="39" outlineLevel="2" ht="15.9" customHeight="1">
      <c r="A39" s="913" t="n"/>
      <c r="B39" s="913" t="n"/>
      <c r="C39" s="913" t="n"/>
      <c r="D39" s="921" t="n"/>
      <c r="E39" s="913" t="n"/>
      <c r="F39" s="921" t="n"/>
      <c r="G39" s="921" t="n"/>
      <c r="H39" s="921" t="n"/>
      <c r="I39" s="730" t="n"/>
      <c r="J39" s="932" t="n"/>
      <c r="K39" s="916" t="n"/>
      <c r="L39" s="1364" t="n"/>
      <c r="M39" s="913" t="n"/>
      <c r="N39" s="1365" t="n"/>
      <c r="O39" s="1366" t="n"/>
      <c r="P39" s="1367" t="n"/>
      <c r="Q39" s="1367" t="n"/>
      <c r="R39" s="913" t="n"/>
      <c r="S39" s="921" t="n"/>
      <c r="T39" s="913" t="n"/>
      <c r="U39" s="1368" t="n"/>
      <c r="V39" s="1369" t="n"/>
      <c r="W39" s="1370" t="n"/>
      <c r="X39" s="925" t="n"/>
      <c r="Y39" s="1371" t="n"/>
      <c r="Z39" s="1371" t="n"/>
      <c r="AA39" s="1372" t="n"/>
      <c r="AB39" s="1373" t="n"/>
      <c r="AC39" s="1374" t="n"/>
    </row>
    <row r="40" outlineLevel="2" ht="15.9" customHeight="1">
      <c r="A40" s="913" t="n"/>
      <c r="B40" s="913" t="n"/>
      <c r="C40" s="933" t="n"/>
      <c r="D40" s="934" t="n"/>
      <c r="E40" s="934" t="n"/>
      <c r="F40" s="935" t="n"/>
      <c r="G40" s="934" t="n"/>
      <c r="H40" s="934" t="n"/>
      <c r="I40" s="730" t="n"/>
      <c r="J40" s="936" t="n"/>
      <c r="K40" s="937" t="n"/>
      <c r="L40" s="1364" t="n"/>
      <c r="M40" s="913" t="n"/>
      <c r="N40" s="1365" t="n"/>
      <c r="O40" s="1366" t="n"/>
      <c r="P40" s="1367" t="n"/>
      <c r="Q40" s="1367" t="n"/>
      <c r="R40" s="913" t="n"/>
      <c r="S40" s="921" t="n"/>
      <c r="T40" s="913" t="n"/>
      <c r="U40" s="1368" t="n"/>
      <c r="V40" s="1369" t="n"/>
      <c r="W40" s="1370" t="n"/>
      <c r="X40" s="925" t="n"/>
      <c r="Y40" s="1371" t="n"/>
      <c r="Z40" s="1371" t="n"/>
      <c r="AA40" s="1372" t="n"/>
      <c r="AB40" s="1373" t="n"/>
      <c r="AC40" s="1374" t="n"/>
    </row>
    <row r="41" outlineLevel="2" ht="15.9" customHeight="1">
      <c r="A41" s="913" t="n"/>
      <c r="B41" s="913" t="n"/>
      <c r="C41" s="933" t="n"/>
      <c r="D41" s="921" t="n"/>
      <c r="E41" s="934" t="n"/>
      <c r="F41" s="938" t="n"/>
      <c r="G41" s="921" t="n"/>
      <c r="H41" s="921" t="n"/>
      <c r="I41" s="730" t="n"/>
      <c r="J41" s="932" t="n"/>
      <c r="K41" s="916" t="n"/>
      <c r="L41" s="1364" t="n"/>
      <c r="M41" s="913" t="n"/>
      <c r="N41" s="1365" t="n"/>
      <c r="O41" s="1366" t="n"/>
      <c r="P41" s="1367" t="n"/>
      <c r="Q41" s="1367" t="n"/>
      <c r="R41" s="913" t="n"/>
      <c r="S41" s="921" t="n"/>
      <c r="T41" s="913" t="n"/>
      <c r="U41" s="1368" t="n"/>
      <c r="V41" s="1369" t="n"/>
      <c r="W41" s="1370" t="n"/>
      <c r="X41" s="925" t="n"/>
      <c r="Y41" s="1371" t="n"/>
      <c r="Z41" s="1371" t="n"/>
      <c r="AA41" s="1372" t="n"/>
      <c r="AB41" s="1373" t="n"/>
      <c r="AC41" s="1374" t="n"/>
    </row>
    <row r="42" outlineLevel="2" ht="15.9" customHeight="1" thickBot="1">
      <c r="A42" s="913" t="n"/>
      <c r="B42" s="913" t="n"/>
      <c r="C42" s="933" t="n"/>
      <c r="D42" s="934" t="n"/>
      <c r="E42" s="934" t="n"/>
      <c r="F42" s="935" t="n"/>
      <c r="G42" s="934" t="n"/>
      <c r="H42" s="934" t="n"/>
      <c r="I42" s="735" t="n"/>
      <c r="J42" s="936" t="n"/>
      <c r="K42" s="937" t="n"/>
      <c r="L42" s="1364" t="n"/>
      <c r="M42" s="913" t="n"/>
      <c r="N42" s="1365" t="n"/>
      <c r="O42" s="1366" t="n"/>
      <c r="P42" s="1367" t="n"/>
      <c r="Q42" s="1367" t="n"/>
      <c r="R42" s="913" t="n"/>
      <c r="S42" s="921" t="n"/>
      <c r="T42" s="913" t="n"/>
      <c r="U42" s="1368" t="n"/>
      <c r="V42" s="1369" t="n"/>
      <c r="W42" s="1370" t="n"/>
      <c r="X42" s="925" t="n"/>
      <c r="Y42" s="1371" t="n"/>
      <c r="Z42" s="1371" t="n"/>
      <c r="AA42" s="1372" t="n"/>
      <c r="AB42" s="1373" t="n"/>
      <c r="AC42" s="1374" t="n"/>
    </row>
    <row r="45" ht="15.9" customHeight="1">
      <c r="A45" s="893" t="n"/>
      <c r="B45" s="893" t="n"/>
      <c r="C45" s="893" t="n"/>
      <c r="D45" s="893" t="n"/>
      <c r="E45" s="893" t="n"/>
      <c r="F45" s="1360" t="n"/>
      <c r="G45" s="893" t="n"/>
      <c r="H45" s="893" t="n"/>
    </row>
    <row r="46" ht="15.9" customHeight="1">
      <c r="A46" s="893" t="n"/>
      <c r="B46" s="893" t="n"/>
      <c r="C46" s="893" t="n"/>
      <c r="D46" s="893" t="n"/>
      <c r="E46" s="893" t="n"/>
      <c r="F46" s="1360" t="n"/>
      <c r="G46" s="893" t="n"/>
      <c r="H46" s="893" t="n"/>
    </row>
    <row r="47" ht="15.9" customHeight="1">
      <c r="A47" s="893" t="n"/>
      <c r="B47" s="893" t="n"/>
      <c r="C47" s="893" t="n"/>
      <c r="D47" s="893" t="n"/>
      <c r="E47" s="893" t="n"/>
      <c r="F47" s="1360" t="n"/>
      <c r="G47" s="893" t="n"/>
      <c r="H47" s="893" t="n"/>
    </row>
    <row r="48" ht="15.9" customHeight="1">
      <c r="A48" s="893" t="n"/>
      <c r="B48" s="893" t="n"/>
      <c r="C48" s="893" t="n"/>
      <c r="D48" s="893" t="n"/>
      <c r="E48" s="893" t="n"/>
      <c r="F48" s="1360" t="n"/>
      <c r="G48" s="893" t="n"/>
      <c r="H48" s="893" t="n"/>
    </row>
    <row r="49" ht="15.9" customHeight="1">
      <c r="A49" s="893" t="n"/>
      <c r="B49" s="893" t="n"/>
      <c r="C49" s="893" t="n"/>
      <c r="D49" s="893" t="n"/>
      <c r="E49" s="893" t="n"/>
      <c r="F49" s="1360" t="n"/>
      <c r="G49" s="893" t="n"/>
      <c r="H49" s="893" t="n"/>
    </row>
    <row r="50" ht="15.9" customHeight="1">
      <c r="A50" s="893" t="n"/>
      <c r="B50" s="893" t="n"/>
      <c r="C50" s="893" t="n"/>
      <c r="D50" s="893" t="n"/>
      <c r="E50" s="893" t="n"/>
      <c r="F50" s="1360" t="n"/>
      <c r="G50" s="893" t="n"/>
      <c r="H50" s="893" t="n"/>
    </row>
  </sheetData>
  <autoFilter ref="A36:M42"/>
  <dataValidations count="4">
    <dataValidation sqref="C37:C42" showDropDown="0" showInputMessage="1" showErrorMessage="1" allowBlank="1" type="list">
      <formula1>$C$4:$C$15</formula1>
    </dataValidation>
    <dataValidation sqref="L37:L42" showDropDown="0" showInputMessage="1" showErrorMessage="1" allowBlank="1" type="list">
      <formula1>$C$28:$C$32</formula1>
    </dataValidation>
    <dataValidation sqref="M37:M42" showDropDown="0" showInputMessage="1" showErrorMessage="1" allowBlank="1" type="list">
      <formula1>"microaspersor, goteo, surcos, tendido, pivote"</formula1>
    </dataValidation>
    <dataValidation sqref="F40:F42 J40:J42" showDropDown="0" showInputMessage="0" showErrorMessage="1" allowBlank="1"/>
  </dataValidations>
  <pageMargins left="0.7086614173228347" right="0.7086614173228347" top="0.9448818897637796" bottom="0.7480314960629921" header="0.3149606299212598" footer="0.3149606299212598"/>
  <pageSetup orientation="landscape" scale="67" horizontalDpi="360" verticalDpi="360"/>
  <headerFooter>
    <oddHeader>&amp;L&amp;"Calibri,Normal"&amp;K000000_x000a__x000a_&amp;R&amp;"Calibri,Normal"&amp;K0C5D00&amp;P de &amp;N</oddHeader>
    <oddFooter>&amp;C&amp;"Calibri Italic,Cursiva"&amp;K0C5D00www.fitogreen.cl</oddFooter>
    <evenHeader/>
    <evenFooter/>
    <firstHeader/>
    <firstFooter/>
  </headerFooter>
  <colBreaks count="1" manualBreakCount="1">
    <brk id="28" min="0" max="1048575" man="1"/>
  </colBreaks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Fitogreen</dc:creator>
  <dcterms:created xsi:type="dcterms:W3CDTF">2015-03-13T12:14:22Z</dcterms:created>
  <dcterms:modified xsi:type="dcterms:W3CDTF">2026-10-03T19:07:09Z</dcterms:modified>
  <cp:lastModifiedBy>Fitogreen</cp:lastModifiedBy>
  <cp:lastPrinted>2026-08-17T14:47:24Z</cp:lastPrinted>
</cp:coreProperties>
</file>